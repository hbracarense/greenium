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hbrac\Downloads\"/>
    </mc:Choice>
  </mc:AlternateContent>
  <xr:revisionPtr revIDLastSave="0" documentId="13_ncr:1_{45369406-F60C-4A06-9B25-4B4FCE49A8DD}" xr6:coauthVersionLast="47" xr6:coauthVersionMax="47" xr10:uidLastSave="{00000000-0000-0000-0000-000000000000}"/>
  <bookViews>
    <workbookView minimized="1" xWindow="3795" yWindow="3045" windowWidth="15375" windowHeight="7875" firstSheet="86" activeTab="86" xr2:uid="{D60A6DB9-2E25-4619-BCDC-F966CA1E1502}"/>
  </bookViews>
  <sheets>
    <sheet name="OMNG12" sheetId="6" r:id="rId1"/>
    <sheet name="CEAR25" sheetId="8" r:id="rId2"/>
    <sheet name="PALF38" sheetId="11" r:id="rId3"/>
    <sheet name="TAES14" sheetId="13" r:id="rId4"/>
    <sheet name="TIET39" sheetId="15" r:id="rId5"/>
    <sheet name="CMGD17" sheetId="16" r:id="rId6"/>
    <sheet name="CMGD27" sheetId="18" r:id="rId7"/>
    <sheet name="ELET22" sheetId="20" r:id="rId8"/>
    <sheet name="PALF10" sheetId="22" r:id="rId9"/>
    <sheet name="TIET19" sheetId="24" r:id="rId10"/>
    <sheet name="TAEE26" sheetId="56" r:id="rId11"/>
    <sheet name="CEEBA2" sheetId="26" r:id="rId12"/>
    <sheet name="CEMTA1" sheetId="27" r:id="rId13"/>
    <sheet name="CEPE10" sheetId="28" r:id="rId14"/>
    <sheet name="CEPE20" sheetId="29" r:id="rId15"/>
    <sheet name="COCE27" sheetId="31" r:id="rId16"/>
    <sheet name="CPGT26" sheetId="33" r:id="rId17"/>
    <sheet name="CSRN19" sheetId="35" r:id="rId18"/>
    <sheet name="CSRN39" sheetId="36" r:id="rId19"/>
    <sheet name="CTNS15" sheetId="37" r:id="rId20"/>
    <sheet name="CTNS25" sheetId="38" r:id="rId21"/>
    <sheet name="EBENA0" sheetId="39" r:id="rId22"/>
    <sheet name="EGIE49" sheetId="41" r:id="rId23"/>
    <sheet name="ESCE18" sheetId="42" r:id="rId24"/>
    <sheet name="ESULA2" sheetId="43" r:id="rId25"/>
    <sheet name="MSGT12" sheetId="44" r:id="rId26"/>
    <sheet name="OMGE11" sheetId="46" r:id="rId27"/>
    <sheet name="OMGE21" sheetId="47" r:id="rId28"/>
    <sheet name="OMGE31" sheetId="49" r:id="rId29"/>
    <sheet name="OMGE41" sheetId="51" r:id="rId30"/>
    <sheet name="PPTE11" sheetId="53" r:id="rId31"/>
    <sheet name="ETSP12" sheetId="58" r:id="rId32"/>
    <sheet name="TBGE11" sheetId="59" r:id="rId33"/>
    <sheet name="VDBF12" sheetId="62" r:id="rId34"/>
    <sheet name="NEOE16" sheetId="63" r:id="rId35"/>
    <sheet name="CPGT16" sheetId="65" r:id="rId36"/>
    <sheet name="CPRE29" sheetId="66" r:id="rId37"/>
    <sheet name="EGIE19" sheetId="67" r:id="rId38"/>
    <sheet name="EGIE29" sheetId="70" r:id="rId39"/>
    <sheet name="ELET32" sheetId="71" r:id="rId40"/>
    <sheet name="ELET42" sheetId="72" r:id="rId41"/>
    <sheet name="ELPLB4" sheetId="74" r:id="rId42"/>
    <sheet name="ENGIA1" sheetId="75" r:id="rId43"/>
    <sheet name="LIGHB6" sheetId="76" r:id="rId44"/>
    <sheet name="MGSP12" sheetId="78" r:id="rId45"/>
    <sheet name="TAEE16" sheetId="80" r:id="rId46"/>
    <sheet name="TAEE17" sheetId="81" r:id="rId47"/>
    <sheet name="TIET29" sheetId="83" r:id="rId48"/>
    <sheet name="NEOE26" sheetId="79" r:id="rId49"/>
    <sheet name="CEEBB2" sheetId="85" r:id="rId50"/>
    <sheet name="COCE17" sheetId="86" r:id="rId51"/>
    <sheet name="CRSN39" sheetId="87" r:id="rId52"/>
    <sheet name="CUTI11" sheetId="88" r:id="rId53"/>
    <sheet name="EGIE39" sheetId="90" r:id="rId54"/>
    <sheet name="TAEE18" sheetId="91" r:id="rId55"/>
    <sheet name="CPLD25" sheetId="93" r:id="rId56"/>
    <sheet name="CTEE18" sheetId="95" r:id="rId57"/>
    <sheet name="EGVG21" sheetId="97" r:id="rId58"/>
    <sheet name="ENEV16" sheetId="99" r:id="rId59"/>
    <sheet name="ENGIB4" sheetId="100" r:id="rId60"/>
    <sheet name="ENMTA2" sheetId="101" r:id="rId61"/>
    <sheet name="LIGHA9" sheetId="102" r:id="rId62"/>
    <sheet name="LTTE15" sheetId="104" r:id="rId63"/>
    <sheet name="UTPS21" sheetId="107" r:id="rId64"/>
    <sheet name="UTPS22" sheetId="109" r:id="rId65"/>
    <sheet name="OMGE13" sheetId="111" r:id="rId66"/>
    <sheet name="CLCD14" sheetId="114" r:id="rId67"/>
    <sheet name="ELET13" sheetId="115" r:id="rId68"/>
    <sheet name="ELET23" sheetId="116" r:id="rId69"/>
    <sheet name="ELPLA5" sheetId="118" r:id="rId70"/>
    <sheet name="EQUA11" sheetId="120" r:id="rId71"/>
    <sheet name="LIGHD2" sheetId="121" r:id="rId72"/>
    <sheet name="MANT12" sheetId="123" r:id="rId73"/>
    <sheet name="RIPR22" sheetId="126" r:id="rId74"/>
    <sheet name="TAEEA1" sheetId="127" r:id="rId75"/>
    <sheet name="XNGU17" sheetId="128" r:id="rId76"/>
    <sheet name="RSAN34" sheetId="130" r:id="rId77"/>
    <sheet name="RSAN24" sheetId="132" r:id="rId78"/>
    <sheet name="SAPRA1" sheetId="133" r:id="rId79"/>
    <sheet name="SAPRA3" sheetId="134" r:id="rId80"/>
    <sheet name="RSAN44" sheetId="136" r:id="rId81"/>
    <sheet name="AEGP17" sheetId="137" r:id="rId82"/>
    <sheet name="CAEC11" sheetId="138" r:id="rId83"/>
    <sheet name="CSMGA5" sheetId="143" r:id="rId84"/>
    <sheet name="GSTS13" sheetId="144" r:id="rId85"/>
    <sheet name="SAPRA2" sheetId="145" r:id="rId86"/>
    <sheet name="SBSPA7" sheetId="147" r:id="rId87"/>
    <sheet name="SBSPB7" sheetId="146" r:id="rId88"/>
    <sheet name="SBSPC7" sheetId="148" r:id="rId89"/>
    <sheet name="SNGO18" sheetId="149" r:id="rId90"/>
    <sheet name="ESBG11" sheetId="150" r:id="rId91"/>
    <sheet name="EATE19" sheetId="152" r:id="rId92"/>
    <sheet name="PTAZ11" sheetId="153" r:id="rId93"/>
    <sheet name="TAEEA2" sheetId="154" r:id="rId94"/>
    <sheet name="TPNO13" sheetId="155" r:id="rId95"/>
    <sheet name="GASC12" sheetId="156" r:id="rId96"/>
    <sheet name="CCROA5" sheetId="157" r:id="rId97"/>
    <sheet name="CRMG15" sheetId="158" r:id="rId98"/>
    <sheet name="GASC22" sheetId="160" r:id="rId99"/>
    <sheet name="IVIA18" sheetId="161" r:id="rId100"/>
    <sheet name="RUMOA6" sheetId="162" r:id="rId101"/>
    <sheet name="VIAL19" sheetId="163" r:id="rId102"/>
    <sheet name="Planilha157" sheetId="159" r:id="rId103"/>
    <sheet name="Planilha149" sheetId="151" r:id="rId104"/>
    <sheet name="Planilha133" sheetId="135" r:id="rId105"/>
    <sheet name="Planilha129" sheetId="131" r:id="rId106"/>
    <sheet name="Planilha127" sheetId="129" r:id="rId107"/>
    <sheet name="Planilha123" sheetId="125" r:id="rId108"/>
    <sheet name="Planilha122" sheetId="124" r:id="rId109"/>
    <sheet name="Planilha120" sheetId="122" r:id="rId110"/>
    <sheet name="Planilha117" sheetId="119" r:id="rId111"/>
    <sheet name="Planilha115" sheetId="117" r:id="rId112"/>
    <sheet name="Planilha111" sheetId="110" r:id="rId113"/>
    <sheet name="Planilha105" sheetId="108" r:id="rId114"/>
    <sheet name="Planilha103" sheetId="106" r:id="rId115"/>
    <sheet name="Planilha162" sheetId="164" r:id="rId116"/>
    <sheet name="Planilha163" sheetId="165" r:id="rId117"/>
    <sheet name="Planilha164" sheetId="166" r:id="rId118"/>
    <sheet name="Planilha165" sheetId="167" r:id="rId119"/>
    <sheet name="Planilha102" sheetId="105" r:id="rId120"/>
    <sheet name="Planilha96" sheetId="98" r:id="rId121"/>
    <sheet name="Planilha100" sheetId="103" r:id="rId122"/>
    <sheet name="Planilha88" sheetId="92" r:id="rId123"/>
    <sheet name="Planilha92" sheetId="96" r:id="rId124"/>
    <sheet name="Planilha85" sheetId="89" r:id="rId125"/>
    <sheet name="Planilha80" sheetId="84" r:id="rId126"/>
    <sheet name="Planilha78" sheetId="82" r:id="rId127"/>
    <sheet name="Planilha73" sheetId="77" r:id="rId128"/>
    <sheet name="Planilha166" sheetId="168" r:id="rId129"/>
    <sheet name="Planilha167" sheetId="169" r:id="rId130"/>
    <sheet name="Planilha168" sheetId="170" r:id="rId131"/>
    <sheet name="Planilha169" sheetId="171" r:id="rId132"/>
    <sheet name="Planilha69" sheetId="73" r:id="rId133"/>
    <sheet name="Planilha137" sheetId="139" r:id="rId134"/>
    <sheet name="Planilha138" sheetId="140" r:id="rId135"/>
    <sheet name="Planilha139" sheetId="141" r:id="rId136"/>
    <sheet name="Planilha140" sheetId="142" r:id="rId137"/>
    <sheet name="Planilha90" sheetId="94" r:id="rId138"/>
    <sheet name="Planilha65" sheetId="69" r:id="rId139"/>
    <sheet name="Planilha64" sheetId="68" r:id="rId140"/>
    <sheet name="Planilha60" sheetId="64" r:id="rId141"/>
    <sheet name="Planilha57" sheetId="61" r:id="rId142"/>
    <sheet name="Planilha56" sheetId="60" r:id="rId143"/>
    <sheet name="Planilha53" sheetId="57" r:id="rId144"/>
    <sheet name="Planilha49" sheetId="55" r:id="rId145"/>
    <sheet name="Planilha50" sheetId="54" r:id="rId146"/>
    <sheet name="Planilha48" sheetId="52" r:id="rId147"/>
    <sheet name="Planilha46" sheetId="50" r:id="rId148"/>
    <sheet name="Planilha44" sheetId="48" r:id="rId149"/>
    <sheet name="Planilha41" sheetId="45" r:id="rId150"/>
    <sheet name="Planilha37" sheetId="40" r:id="rId151"/>
    <sheet name="Planilha19" sheetId="34" r:id="rId152"/>
    <sheet name="Planilha20" sheetId="25" r:id="rId153"/>
    <sheet name="Planilha18" sheetId="23" r:id="rId154"/>
    <sheet name="Planilha16" sheetId="21" r:id="rId155"/>
    <sheet name="Planilha14" sheetId="19" r:id="rId156"/>
    <sheet name="Planilha12" sheetId="17" r:id="rId157"/>
    <sheet name="Planilha9" sheetId="14" r:id="rId158"/>
    <sheet name="Planilha3" sheetId="3" r:id="rId159"/>
    <sheet name="Planilha7" sheetId="12" r:id="rId160"/>
    <sheet name="Planilha5" sheetId="10" r:id="rId161"/>
    <sheet name="Planilha109" sheetId="112" r:id="rId162"/>
    <sheet name="Planilha110" sheetId="113" r:id="rId16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15" l="1"/>
  <c r="B48" i="81"/>
  <c r="B17" i="163"/>
  <c r="J17" i="163"/>
  <c r="J16" i="163"/>
  <c r="J15" i="163"/>
  <c r="J14" i="163"/>
  <c r="J13" i="163"/>
  <c r="J4" i="163"/>
  <c r="J5" i="163"/>
  <c r="J6" i="163"/>
  <c r="J7" i="163"/>
  <c r="J8" i="163"/>
  <c r="J9" i="163"/>
  <c r="J10" i="163"/>
  <c r="J11" i="163"/>
  <c r="J12" i="163"/>
  <c r="J3" i="163"/>
  <c r="I4" i="163"/>
  <c r="I5" i="163"/>
  <c r="I6" i="163"/>
  <c r="I7" i="163"/>
  <c r="I8" i="163"/>
  <c r="I9" i="163"/>
  <c r="I10" i="163"/>
  <c r="I11" i="163"/>
  <c r="I12" i="163"/>
  <c r="I3" i="163"/>
  <c r="H4" i="163"/>
  <c r="H5" i="163"/>
  <c r="H6" i="163"/>
  <c r="H7" i="163"/>
  <c r="H8" i="163"/>
  <c r="H9" i="163"/>
  <c r="H10" i="163"/>
  <c r="H11" i="163"/>
  <c r="H12" i="163"/>
  <c r="H3" i="163"/>
  <c r="G4" i="163"/>
  <c r="G5" i="163"/>
  <c r="G6" i="163"/>
  <c r="G7" i="163"/>
  <c r="G8" i="163"/>
  <c r="G9" i="163"/>
  <c r="G10" i="163"/>
  <c r="G11" i="163"/>
  <c r="G12" i="163"/>
  <c r="G3" i="163"/>
  <c r="F4" i="163"/>
  <c r="F5" i="163"/>
  <c r="F6" i="163"/>
  <c r="F7" i="163"/>
  <c r="F8" i="163"/>
  <c r="F9" i="163"/>
  <c r="F10" i="163"/>
  <c r="F11" i="163"/>
  <c r="F12" i="163"/>
  <c r="F3" i="163"/>
  <c r="E4" i="163"/>
  <c r="E5" i="163"/>
  <c r="E6" i="163"/>
  <c r="E7" i="163"/>
  <c r="E8" i="163"/>
  <c r="E9" i="163"/>
  <c r="E10" i="163"/>
  <c r="E11" i="163"/>
  <c r="E12" i="163"/>
  <c r="E3" i="163"/>
  <c r="D4" i="163"/>
  <c r="D5" i="163"/>
  <c r="D6" i="163"/>
  <c r="D7" i="163"/>
  <c r="D8" i="163"/>
  <c r="D9" i="163"/>
  <c r="D10" i="163"/>
  <c r="D11" i="163"/>
  <c r="D12" i="163"/>
  <c r="D3" i="163"/>
  <c r="B28" i="162"/>
  <c r="I26" i="162"/>
  <c r="I25" i="162"/>
  <c r="I24" i="162"/>
  <c r="I23" i="162"/>
  <c r="I22" i="162"/>
  <c r="I3" i="162"/>
  <c r="I4" i="162"/>
  <c r="I5" i="162"/>
  <c r="I6" i="162"/>
  <c r="I7" i="162"/>
  <c r="I8" i="162"/>
  <c r="I9" i="162"/>
  <c r="I10" i="162"/>
  <c r="I11" i="162"/>
  <c r="I12" i="162"/>
  <c r="I13" i="162"/>
  <c r="I14" i="162"/>
  <c r="I15" i="162"/>
  <c r="I16" i="162"/>
  <c r="I17" i="162"/>
  <c r="I18" i="162"/>
  <c r="I19" i="162"/>
  <c r="I20" i="162"/>
  <c r="I21" i="162"/>
  <c r="I2" i="162"/>
  <c r="H3" i="162"/>
  <c r="H4" i="162"/>
  <c r="H5" i="162"/>
  <c r="H6" i="162"/>
  <c r="H7" i="162"/>
  <c r="H8" i="162"/>
  <c r="H9" i="162"/>
  <c r="H10" i="162"/>
  <c r="H11" i="162"/>
  <c r="H12" i="162"/>
  <c r="H13" i="162"/>
  <c r="H14" i="162"/>
  <c r="H15" i="162"/>
  <c r="H16" i="162"/>
  <c r="H17" i="162"/>
  <c r="H18" i="162"/>
  <c r="H19" i="162"/>
  <c r="H20" i="162"/>
  <c r="H21" i="162"/>
  <c r="H2" i="162"/>
  <c r="G3" i="162"/>
  <c r="G4" i="162"/>
  <c r="G5" i="162"/>
  <c r="G6" i="162"/>
  <c r="G7" i="162"/>
  <c r="G8" i="162"/>
  <c r="G9" i="162"/>
  <c r="G10" i="162"/>
  <c r="G11" i="162"/>
  <c r="G12" i="162"/>
  <c r="G13" i="162"/>
  <c r="G14" i="162"/>
  <c r="G15" i="162"/>
  <c r="G16" i="162"/>
  <c r="G17" i="162"/>
  <c r="G18" i="162"/>
  <c r="G19" i="162"/>
  <c r="G20" i="162"/>
  <c r="G21" i="162"/>
  <c r="G2" i="162"/>
  <c r="F3" i="162"/>
  <c r="F4" i="162"/>
  <c r="F5" i="162"/>
  <c r="F6" i="162"/>
  <c r="F7" i="162"/>
  <c r="F8" i="162"/>
  <c r="F9" i="162"/>
  <c r="F10" i="162"/>
  <c r="F11" i="162"/>
  <c r="F12" i="162"/>
  <c r="F13" i="162"/>
  <c r="F14" i="162"/>
  <c r="F15" i="162"/>
  <c r="F16" i="162"/>
  <c r="F17" i="162"/>
  <c r="F18" i="162"/>
  <c r="F19" i="162"/>
  <c r="F20" i="162"/>
  <c r="F21" i="162"/>
  <c r="F2" i="162"/>
  <c r="B25" i="162"/>
  <c r="E3" i="162"/>
  <c r="E4" i="162"/>
  <c r="E5" i="162"/>
  <c r="E6" i="162"/>
  <c r="E7" i="162"/>
  <c r="E8" i="162"/>
  <c r="E9" i="162"/>
  <c r="E10" i="162"/>
  <c r="E11" i="162"/>
  <c r="E12" i="162"/>
  <c r="E13" i="162"/>
  <c r="E14" i="162"/>
  <c r="E15" i="162"/>
  <c r="E16" i="162"/>
  <c r="E17" i="162"/>
  <c r="E18" i="162"/>
  <c r="E19" i="162"/>
  <c r="E20" i="162"/>
  <c r="E21" i="162"/>
  <c r="E2" i="162"/>
  <c r="C3" i="162"/>
  <c r="C4" i="162"/>
  <c r="C5" i="162"/>
  <c r="C6" i="162"/>
  <c r="C7" i="162"/>
  <c r="C8" i="162"/>
  <c r="C9" i="162"/>
  <c r="C10" i="162"/>
  <c r="C11" i="162"/>
  <c r="C12" i="162"/>
  <c r="C13" i="162"/>
  <c r="C14" i="162"/>
  <c r="C15" i="162"/>
  <c r="C16" i="162"/>
  <c r="C17" i="162"/>
  <c r="C18" i="162"/>
  <c r="C19" i="162"/>
  <c r="C20" i="162"/>
  <c r="C21" i="162"/>
  <c r="C2" i="162"/>
  <c r="B17" i="161"/>
  <c r="J17" i="161"/>
  <c r="J15" i="161"/>
  <c r="J16" i="161" s="1"/>
  <c r="J14" i="161"/>
  <c r="J13" i="161"/>
  <c r="J4" i="161"/>
  <c r="J5" i="161"/>
  <c r="J6" i="161"/>
  <c r="J7" i="161"/>
  <c r="J8" i="161"/>
  <c r="J9" i="161"/>
  <c r="J10" i="161"/>
  <c r="J11" i="161"/>
  <c r="J12" i="161"/>
  <c r="J3" i="161"/>
  <c r="I4" i="161"/>
  <c r="I5" i="161"/>
  <c r="I6" i="161"/>
  <c r="I7" i="161"/>
  <c r="I8" i="161"/>
  <c r="I9" i="161"/>
  <c r="I10" i="161"/>
  <c r="I11" i="161"/>
  <c r="I12" i="161"/>
  <c r="I3" i="161"/>
  <c r="H4" i="161"/>
  <c r="H5" i="161"/>
  <c r="H6" i="161"/>
  <c r="H7" i="161"/>
  <c r="H8" i="161"/>
  <c r="H9" i="161"/>
  <c r="H10" i="161"/>
  <c r="H11" i="161"/>
  <c r="H12" i="161"/>
  <c r="H3" i="161"/>
  <c r="G4" i="161"/>
  <c r="G5" i="161"/>
  <c r="G6" i="161"/>
  <c r="G7" i="161"/>
  <c r="G8" i="161"/>
  <c r="G9" i="161"/>
  <c r="G10" i="161"/>
  <c r="G11" i="161"/>
  <c r="G12" i="161"/>
  <c r="G3" i="161"/>
  <c r="F4" i="161"/>
  <c r="F5" i="161"/>
  <c r="F6" i="161"/>
  <c r="F7" i="161"/>
  <c r="F8" i="161"/>
  <c r="F9" i="161"/>
  <c r="F10" i="161"/>
  <c r="F11" i="161"/>
  <c r="F12" i="161"/>
  <c r="F3" i="161"/>
  <c r="E4" i="161"/>
  <c r="E5" i="161"/>
  <c r="E6" i="161"/>
  <c r="E7" i="161"/>
  <c r="E8" i="161"/>
  <c r="E9" i="161"/>
  <c r="E10" i="161"/>
  <c r="E11" i="161"/>
  <c r="E12" i="161"/>
  <c r="E3" i="161"/>
  <c r="D4" i="161"/>
  <c r="D5" i="161"/>
  <c r="D6" i="161"/>
  <c r="D7" i="161"/>
  <c r="D8" i="161"/>
  <c r="D9" i="161"/>
  <c r="D10" i="161"/>
  <c r="D11" i="161"/>
  <c r="D12" i="161"/>
  <c r="D3" i="161"/>
  <c r="B28" i="160"/>
  <c r="I26" i="160"/>
  <c r="I25" i="160"/>
  <c r="I24" i="160"/>
  <c r="I23" i="160"/>
  <c r="I22" i="160"/>
  <c r="I3" i="160"/>
  <c r="I4" i="160"/>
  <c r="I5" i="160"/>
  <c r="I6" i="160"/>
  <c r="I7" i="160"/>
  <c r="I8" i="160"/>
  <c r="I9" i="160"/>
  <c r="I10" i="160"/>
  <c r="I11" i="160"/>
  <c r="I12" i="160"/>
  <c r="I13" i="160"/>
  <c r="I14" i="160"/>
  <c r="I15" i="160"/>
  <c r="I16" i="160"/>
  <c r="I17" i="160"/>
  <c r="I18" i="160"/>
  <c r="I19" i="160"/>
  <c r="I20" i="160"/>
  <c r="I21" i="160"/>
  <c r="I2" i="160"/>
  <c r="H3" i="160"/>
  <c r="H4" i="160"/>
  <c r="H5" i="160"/>
  <c r="H6" i="160"/>
  <c r="H7" i="160"/>
  <c r="H8" i="160"/>
  <c r="H9" i="160"/>
  <c r="H10" i="160"/>
  <c r="H11" i="160"/>
  <c r="H12" i="160"/>
  <c r="H13" i="160"/>
  <c r="H14" i="160"/>
  <c r="H15" i="160"/>
  <c r="H16" i="160"/>
  <c r="H17" i="160"/>
  <c r="H18" i="160"/>
  <c r="H19" i="160"/>
  <c r="H20" i="160"/>
  <c r="H21" i="160"/>
  <c r="H2" i="160"/>
  <c r="B25" i="160"/>
  <c r="G3" i="160"/>
  <c r="G4" i="160"/>
  <c r="G5" i="160"/>
  <c r="G6" i="160"/>
  <c r="G7" i="160"/>
  <c r="G8" i="160"/>
  <c r="G9" i="160"/>
  <c r="G10" i="160"/>
  <c r="G11" i="160"/>
  <c r="G12" i="160"/>
  <c r="G13" i="160"/>
  <c r="G14" i="160"/>
  <c r="G15" i="160"/>
  <c r="G16" i="160"/>
  <c r="G17" i="160"/>
  <c r="G18" i="160"/>
  <c r="G19" i="160"/>
  <c r="G20" i="160"/>
  <c r="G21" i="160"/>
  <c r="G2" i="160"/>
  <c r="F3" i="160"/>
  <c r="F4" i="160"/>
  <c r="F5" i="160"/>
  <c r="F6" i="160"/>
  <c r="F7" i="160"/>
  <c r="F8" i="160"/>
  <c r="F9" i="160"/>
  <c r="F10" i="160"/>
  <c r="F11" i="160"/>
  <c r="F12" i="160"/>
  <c r="F13" i="160"/>
  <c r="F14" i="160"/>
  <c r="F15" i="160"/>
  <c r="F16" i="160"/>
  <c r="F17" i="160"/>
  <c r="F18" i="160"/>
  <c r="F19" i="160"/>
  <c r="F20" i="160"/>
  <c r="F21" i="160"/>
  <c r="F2" i="160"/>
  <c r="E3" i="160"/>
  <c r="E4" i="160"/>
  <c r="E5" i="160"/>
  <c r="E6" i="160"/>
  <c r="E7" i="160"/>
  <c r="E8" i="160"/>
  <c r="E9" i="160"/>
  <c r="E10" i="160"/>
  <c r="E11" i="160"/>
  <c r="E12" i="160"/>
  <c r="E13" i="160"/>
  <c r="E14" i="160"/>
  <c r="E15" i="160"/>
  <c r="E16" i="160"/>
  <c r="E17" i="160"/>
  <c r="E18" i="160"/>
  <c r="E19" i="160"/>
  <c r="E20" i="160"/>
  <c r="E21" i="160"/>
  <c r="E2" i="160"/>
  <c r="C3" i="160"/>
  <c r="C4" i="160"/>
  <c r="C5" i="160"/>
  <c r="C6" i="160"/>
  <c r="C7" i="160"/>
  <c r="C8" i="160"/>
  <c r="C9" i="160"/>
  <c r="C10" i="160"/>
  <c r="C11" i="160"/>
  <c r="C12" i="160"/>
  <c r="C13" i="160"/>
  <c r="C14" i="160"/>
  <c r="C15" i="160"/>
  <c r="C16" i="160"/>
  <c r="C17" i="160"/>
  <c r="C18" i="160"/>
  <c r="C19" i="160"/>
  <c r="C20" i="160"/>
  <c r="C21" i="160"/>
  <c r="C2" i="160"/>
  <c r="B27" i="158"/>
  <c r="I25" i="158"/>
  <c r="I24" i="158"/>
  <c r="I23" i="158"/>
  <c r="I22" i="158"/>
  <c r="I21" i="158"/>
  <c r="I3" i="158"/>
  <c r="I4" i="158"/>
  <c r="I5" i="158"/>
  <c r="I6" i="158"/>
  <c r="I7" i="158"/>
  <c r="I8" i="158"/>
  <c r="I9" i="158"/>
  <c r="I10" i="158"/>
  <c r="I11" i="158"/>
  <c r="I12" i="158"/>
  <c r="I13" i="158"/>
  <c r="I14" i="158"/>
  <c r="I15" i="158"/>
  <c r="I16" i="158"/>
  <c r="I17" i="158"/>
  <c r="I18" i="158"/>
  <c r="I19" i="158"/>
  <c r="I20" i="158"/>
  <c r="I2" i="158"/>
  <c r="H3" i="158"/>
  <c r="H4" i="158"/>
  <c r="H5" i="158"/>
  <c r="H6" i="158"/>
  <c r="H7" i="158"/>
  <c r="H8" i="158"/>
  <c r="H9" i="158"/>
  <c r="H10" i="158"/>
  <c r="H11" i="158"/>
  <c r="H12" i="158"/>
  <c r="H13" i="158"/>
  <c r="H14" i="158"/>
  <c r="H15" i="158"/>
  <c r="H16" i="158"/>
  <c r="H17" i="158"/>
  <c r="H18" i="158"/>
  <c r="H19" i="158"/>
  <c r="H20" i="158"/>
  <c r="H2" i="158"/>
  <c r="G2" i="158"/>
  <c r="F2" i="158"/>
  <c r="G3" i="158"/>
  <c r="G4" i="158"/>
  <c r="G5" i="158"/>
  <c r="G6" i="158"/>
  <c r="G7" i="158"/>
  <c r="G8" i="158"/>
  <c r="G9" i="158"/>
  <c r="G10" i="158"/>
  <c r="G11" i="158"/>
  <c r="G12" i="158"/>
  <c r="G13" i="158"/>
  <c r="G14" i="158"/>
  <c r="G15" i="158"/>
  <c r="G16" i="158"/>
  <c r="G17" i="158"/>
  <c r="G18" i="158"/>
  <c r="G19" i="158"/>
  <c r="G20" i="158"/>
  <c r="F3" i="158"/>
  <c r="F4" i="158"/>
  <c r="F5" i="158"/>
  <c r="F6" i="158"/>
  <c r="F7" i="158"/>
  <c r="F8" i="158"/>
  <c r="F9" i="158"/>
  <c r="F10" i="158"/>
  <c r="F11" i="158"/>
  <c r="F12" i="158"/>
  <c r="F13" i="158"/>
  <c r="F14" i="158"/>
  <c r="F15" i="158"/>
  <c r="F16" i="158"/>
  <c r="F17" i="158"/>
  <c r="F18" i="158"/>
  <c r="F19" i="158"/>
  <c r="F20" i="158"/>
  <c r="B24" i="158"/>
  <c r="E3" i="158"/>
  <c r="E4" i="158"/>
  <c r="E5" i="158"/>
  <c r="E6" i="158"/>
  <c r="E7" i="158"/>
  <c r="E8" i="158"/>
  <c r="E9" i="158"/>
  <c r="E10" i="158"/>
  <c r="E11" i="158"/>
  <c r="E12" i="158"/>
  <c r="E13" i="158"/>
  <c r="E14" i="158"/>
  <c r="E15" i="158"/>
  <c r="E16" i="158"/>
  <c r="E17" i="158"/>
  <c r="E18" i="158"/>
  <c r="E19" i="158"/>
  <c r="E20" i="158"/>
  <c r="E2" i="158"/>
  <c r="C3" i="158"/>
  <c r="C4" i="158"/>
  <c r="C5" i="158"/>
  <c r="C6" i="158"/>
  <c r="C7" i="158"/>
  <c r="C8" i="158"/>
  <c r="C9" i="158"/>
  <c r="C10" i="158"/>
  <c r="C11" i="158"/>
  <c r="C12" i="158"/>
  <c r="C13" i="158"/>
  <c r="C14" i="158"/>
  <c r="C15" i="158"/>
  <c r="C16" i="158"/>
  <c r="C17" i="158"/>
  <c r="C18" i="158"/>
  <c r="C19" i="158"/>
  <c r="C20" i="158"/>
  <c r="C2" i="158"/>
  <c r="F2" i="157"/>
  <c r="F3" i="157"/>
  <c r="F4" i="157"/>
  <c r="F5" i="157"/>
  <c r="F6" i="157"/>
  <c r="F7" i="157"/>
  <c r="F8" i="157"/>
  <c r="F9" i="157"/>
  <c r="F10" i="157"/>
  <c r="F11" i="157"/>
  <c r="F12" i="157"/>
  <c r="F13" i="157"/>
  <c r="F14" i="157"/>
  <c r="F15" i="157"/>
  <c r="F16" i="157"/>
  <c r="F17" i="157"/>
  <c r="F18" i="157"/>
  <c r="F19" i="157"/>
  <c r="F20" i="157"/>
  <c r="F21" i="157"/>
  <c r="F22" i="157"/>
  <c r="F23" i="157"/>
  <c r="F24" i="157"/>
  <c r="F25" i="157"/>
  <c r="F26" i="157"/>
  <c r="H3" i="157"/>
  <c r="H4" i="157"/>
  <c r="H5" i="157"/>
  <c r="H6" i="157"/>
  <c r="H7" i="157"/>
  <c r="H8" i="157"/>
  <c r="H9" i="157"/>
  <c r="H10" i="157"/>
  <c r="H11" i="157"/>
  <c r="H12" i="157"/>
  <c r="H13" i="157"/>
  <c r="H14" i="157"/>
  <c r="H15" i="157"/>
  <c r="H16" i="157"/>
  <c r="H17" i="157"/>
  <c r="H18" i="157"/>
  <c r="H19" i="157"/>
  <c r="H20" i="157"/>
  <c r="H21" i="157"/>
  <c r="H22" i="157"/>
  <c r="H23" i="157"/>
  <c r="H24" i="157"/>
  <c r="H25" i="157"/>
  <c r="H26" i="157"/>
  <c r="H2" i="157"/>
  <c r="B30" i="157"/>
  <c r="E3" i="157"/>
  <c r="E4" i="157"/>
  <c r="G4" i="157" s="1"/>
  <c r="I4" i="157" s="1"/>
  <c r="E5" i="157"/>
  <c r="G5" i="157" s="1"/>
  <c r="I5" i="157" s="1"/>
  <c r="E6" i="157"/>
  <c r="E7" i="157"/>
  <c r="G7" i="157" s="1"/>
  <c r="E8" i="157"/>
  <c r="G8" i="157" s="1"/>
  <c r="I8" i="157" s="1"/>
  <c r="E9" i="157"/>
  <c r="E10" i="157"/>
  <c r="E11" i="157"/>
  <c r="E12" i="157"/>
  <c r="G12" i="157" s="1"/>
  <c r="I12" i="157" s="1"/>
  <c r="E13" i="157"/>
  <c r="G13" i="157" s="1"/>
  <c r="I13" i="157" s="1"/>
  <c r="E14" i="157"/>
  <c r="E15" i="157"/>
  <c r="G15" i="157" s="1"/>
  <c r="E16" i="157"/>
  <c r="G16" i="157" s="1"/>
  <c r="I16" i="157" s="1"/>
  <c r="E17" i="157"/>
  <c r="E18" i="157"/>
  <c r="E19" i="157"/>
  <c r="G19" i="157" s="1"/>
  <c r="E20" i="157"/>
  <c r="G20" i="157" s="1"/>
  <c r="I20" i="157" s="1"/>
  <c r="E21" i="157"/>
  <c r="G21" i="157" s="1"/>
  <c r="I21" i="157" s="1"/>
  <c r="E22" i="157"/>
  <c r="E23" i="157"/>
  <c r="G23" i="157" s="1"/>
  <c r="E24" i="157"/>
  <c r="G24" i="157" s="1"/>
  <c r="I24" i="157" s="1"/>
  <c r="E25" i="157"/>
  <c r="E26" i="157"/>
  <c r="E2" i="157"/>
  <c r="C3" i="157"/>
  <c r="C4" i="157"/>
  <c r="C5" i="157"/>
  <c r="C6" i="157"/>
  <c r="C7" i="157"/>
  <c r="C8" i="157"/>
  <c r="C9" i="157"/>
  <c r="C10" i="157"/>
  <c r="C11" i="157"/>
  <c r="C12" i="157"/>
  <c r="C13" i="157"/>
  <c r="C14" i="157"/>
  <c r="C15" i="157"/>
  <c r="C16" i="157"/>
  <c r="C17" i="157"/>
  <c r="C18" i="157"/>
  <c r="C19" i="157"/>
  <c r="C20" i="157"/>
  <c r="C21" i="157"/>
  <c r="C22" i="157"/>
  <c r="C23" i="157"/>
  <c r="C24" i="157"/>
  <c r="C25" i="157"/>
  <c r="C26" i="157"/>
  <c r="C2" i="157"/>
  <c r="B19" i="156"/>
  <c r="J19" i="156"/>
  <c r="J18" i="156"/>
  <c r="J17" i="156"/>
  <c r="J16" i="156"/>
  <c r="J15" i="156"/>
  <c r="J4" i="156"/>
  <c r="J5" i="156"/>
  <c r="J6" i="156"/>
  <c r="J7" i="156"/>
  <c r="J8" i="156"/>
  <c r="J9" i="156"/>
  <c r="J10" i="156"/>
  <c r="J11" i="156"/>
  <c r="J12" i="156"/>
  <c r="J13" i="156"/>
  <c r="J14" i="156"/>
  <c r="J3" i="156"/>
  <c r="I4" i="156"/>
  <c r="I5" i="156"/>
  <c r="I6" i="156"/>
  <c r="I7" i="156"/>
  <c r="I8" i="156"/>
  <c r="I9" i="156"/>
  <c r="I10" i="156"/>
  <c r="I11" i="156"/>
  <c r="I12" i="156"/>
  <c r="I13" i="156"/>
  <c r="I14" i="156"/>
  <c r="I3" i="156"/>
  <c r="H4" i="156"/>
  <c r="H5" i="156"/>
  <c r="H6" i="156"/>
  <c r="H7" i="156"/>
  <c r="H8" i="156"/>
  <c r="H9" i="156"/>
  <c r="H10" i="156"/>
  <c r="H11" i="156"/>
  <c r="H12" i="156"/>
  <c r="H13" i="156"/>
  <c r="H14" i="156"/>
  <c r="H3" i="156"/>
  <c r="G4" i="156"/>
  <c r="G5" i="156"/>
  <c r="G6" i="156"/>
  <c r="G7" i="156"/>
  <c r="G8" i="156"/>
  <c r="G9" i="156"/>
  <c r="G10" i="156"/>
  <c r="G11" i="156"/>
  <c r="G12" i="156"/>
  <c r="G13" i="156"/>
  <c r="G14" i="156"/>
  <c r="G3" i="156"/>
  <c r="F4" i="156"/>
  <c r="F5" i="156"/>
  <c r="F6" i="156"/>
  <c r="F7" i="156"/>
  <c r="F8" i="156"/>
  <c r="F9" i="156"/>
  <c r="F10" i="156"/>
  <c r="F11" i="156"/>
  <c r="F12" i="156"/>
  <c r="F13" i="156"/>
  <c r="F14" i="156"/>
  <c r="F3" i="156"/>
  <c r="E4" i="156"/>
  <c r="E5" i="156"/>
  <c r="E6" i="156"/>
  <c r="E7" i="156"/>
  <c r="E8" i="156"/>
  <c r="E9" i="156"/>
  <c r="E10" i="156"/>
  <c r="E11" i="156"/>
  <c r="E12" i="156"/>
  <c r="E13" i="156"/>
  <c r="E14" i="156"/>
  <c r="E3" i="156"/>
  <c r="D4" i="156"/>
  <c r="D5" i="156"/>
  <c r="D6" i="156"/>
  <c r="D7" i="156"/>
  <c r="D8" i="156"/>
  <c r="D9" i="156"/>
  <c r="D10" i="156"/>
  <c r="D11" i="156"/>
  <c r="D12" i="156"/>
  <c r="D13" i="156"/>
  <c r="D14" i="156"/>
  <c r="D3" i="156"/>
  <c r="B43" i="155"/>
  <c r="I41" i="155"/>
  <c r="I40" i="155"/>
  <c r="I39" i="155"/>
  <c r="I38" i="155"/>
  <c r="I37" i="155"/>
  <c r="I3" i="155"/>
  <c r="I4" i="155"/>
  <c r="I5" i="155"/>
  <c r="I6" i="155"/>
  <c r="I7" i="155"/>
  <c r="I8" i="155"/>
  <c r="I9" i="155"/>
  <c r="I10" i="155"/>
  <c r="I11" i="155"/>
  <c r="I12" i="155"/>
  <c r="I13" i="155"/>
  <c r="I14" i="155"/>
  <c r="I15" i="155"/>
  <c r="I16" i="155"/>
  <c r="I17" i="155"/>
  <c r="I18" i="155"/>
  <c r="I19" i="155"/>
  <c r="I20" i="155"/>
  <c r="I21" i="155"/>
  <c r="I22" i="155"/>
  <c r="I23" i="155"/>
  <c r="I24" i="155"/>
  <c r="I25" i="155"/>
  <c r="I26" i="155"/>
  <c r="I27" i="155"/>
  <c r="I28" i="155"/>
  <c r="I29" i="155"/>
  <c r="I30" i="155"/>
  <c r="I31" i="155"/>
  <c r="I32" i="155"/>
  <c r="I33" i="155"/>
  <c r="I34" i="155"/>
  <c r="I35" i="155"/>
  <c r="I36" i="155"/>
  <c r="I2" i="155"/>
  <c r="H3" i="155"/>
  <c r="H4" i="155"/>
  <c r="H5" i="155"/>
  <c r="H6" i="155"/>
  <c r="H7" i="155"/>
  <c r="H8" i="155"/>
  <c r="H9" i="155"/>
  <c r="H10" i="155"/>
  <c r="H11" i="155"/>
  <c r="H12" i="155"/>
  <c r="H13" i="155"/>
  <c r="H14" i="155"/>
  <c r="H15" i="155"/>
  <c r="H16" i="155"/>
  <c r="H17" i="155"/>
  <c r="H18" i="155"/>
  <c r="H19" i="155"/>
  <c r="H20" i="155"/>
  <c r="H21" i="155"/>
  <c r="H22" i="155"/>
  <c r="H23" i="155"/>
  <c r="H24" i="155"/>
  <c r="H25" i="155"/>
  <c r="H26" i="155"/>
  <c r="H27" i="155"/>
  <c r="H28" i="155"/>
  <c r="H29" i="155"/>
  <c r="H30" i="155"/>
  <c r="H31" i="155"/>
  <c r="H32" i="155"/>
  <c r="H33" i="155"/>
  <c r="H34" i="155"/>
  <c r="H35" i="155"/>
  <c r="H36" i="155"/>
  <c r="H2" i="155"/>
  <c r="B40" i="155"/>
  <c r="G3" i="155"/>
  <c r="G4" i="155"/>
  <c r="G5" i="155"/>
  <c r="G6" i="155"/>
  <c r="G7" i="155"/>
  <c r="G8" i="155"/>
  <c r="G9" i="155"/>
  <c r="G10" i="155"/>
  <c r="G11" i="155"/>
  <c r="G12" i="155"/>
  <c r="G13" i="155"/>
  <c r="G14" i="155"/>
  <c r="G15" i="155"/>
  <c r="G16" i="155"/>
  <c r="G17" i="155"/>
  <c r="G18" i="155"/>
  <c r="G19" i="155"/>
  <c r="G20" i="155"/>
  <c r="G21" i="155"/>
  <c r="G22" i="155"/>
  <c r="G23" i="155"/>
  <c r="G24" i="155"/>
  <c r="G25" i="155"/>
  <c r="G26" i="155"/>
  <c r="G27" i="155"/>
  <c r="G28" i="155"/>
  <c r="G29" i="155"/>
  <c r="G30" i="155"/>
  <c r="G31" i="155"/>
  <c r="G32" i="155"/>
  <c r="G33" i="155"/>
  <c r="G34" i="155"/>
  <c r="G35" i="155"/>
  <c r="G36" i="155"/>
  <c r="G2" i="155"/>
  <c r="F3" i="155"/>
  <c r="F4" i="155"/>
  <c r="F5" i="155"/>
  <c r="F6" i="155"/>
  <c r="F7" i="155"/>
  <c r="F8" i="155"/>
  <c r="F9" i="155"/>
  <c r="F10" i="155"/>
  <c r="F11" i="155"/>
  <c r="F12" i="155"/>
  <c r="F13" i="155"/>
  <c r="F14" i="155"/>
  <c r="F15" i="155"/>
  <c r="F16" i="155"/>
  <c r="F17" i="155"/>
  <c r="F18" i="155"/>
  <c r="F19" i="155"/>
  <c r="F20" i="155"/>
  <c r="F21" i="155"/>
  <c r="F22" i="155"/>
  <c r="F23" i="155"/>
  <c r="F24" i="155"/>
  <c r="F25" i="155"/>
  <c r="F26" i="155"/>
  <c r="F27" i="155"/>
  <c r="F28" i="155"/>
  <c r="F29" i="155"/>
  <c r="F30" i="155"/>
  <c r="F31" i="155"/>
  <c r="F32" i="155"/>
  <c r="F33" i="155"/>
  <c r="F34" i="155"/>
  <c r="F35" i="155"/>
  <c r="F36" i="155"/>
  <c r="F2" i="155"/>
  <c r="E3" i="155"/>
  <c r="E4" i="155"/>
  <c r="E5" i="155"/>
  <c r="E6" i="155"/>
  <c r="E7" i="155"/>
  <c r="E8" i="155"/>
  <c r="E9" i="155"/>
  <c r="E10" i="155"/>
  <c r="E11" i="155"/>
  <c r="E12" i="155"/>
  <c r="E13" i="155"/>
  <c r="E14" i="155"/>
  <c r="E15" i="155"/>
  <c r="E16" i="155"/>
  <c r="E17" i="155"/>
  <c r="E18" i="155"/>
  <c r="E19" i="155"/>
  <c r="E20" i="155"/>
  <c r="E21" i="155"/>
  <c r="E22" i="155"/>
  <c r="E23" i="155"/>
  <c r="E24" i="155"/>
  <c r="E25" i="155"/>
  <c r="E26" i="155"/>
  <c r="E27" i="155"/>
  <c r="E28" i="155"/>
  <c r="E29" i="155"/>
  <c r="E30" i="155"/>
  <c r="E31" i="155"/>
  <c r="E32" i="155"/>
  <c r="E33" i="155"/>
  <c r="E34" i="155"/>
  <c r="E35" i="155"/>
  <c r="E36" i="155"/>
  <c r="E2" i="155"/>
  <c r="C3" i="155"/>
  <c r="C4" i="155"/>
  <c r="C5" i="155"/>
  <c r="C6" i="155"/>
  <c r="C7" i="155"/>
  <c r="C8" i="155"/>
  <c r="C9" i="155"/>
  <c r="C10" i="155"/>
  <c r="C11" i="155"/>
  <c r="C12" i="155"/>
  <c r="C13" i="155"/>
  <c r="C14" i="155"/>
  <c r="C15" i="155"/>
  <c r="C16" i="155"/>
  <c r="C17" i="155"/>
  <c r="C18" i="155"/>
  <c r="C19" i="155"/>
  <c r="C20" i="155"/>
  <c r="C21" i="155"/>
  <c r="C22" i="155"/>
  <c r="C23" i="155"/>
  <c r="C24" i="155"/>
  <c r="C25" i="155"/>
  <c r="C26" i="155"/>
  <c r="C27" i="155"/>
  <c r="C28" i="155"/>
  <c r="C29" i="155"/>
  <c r="C30" i="155"/>
  <c r="C31" i="155"/>
  <c r="C32" i="155"/>
  <c r="C33" i="155"/>
  <c r="C34" i="155"/>
  <c r="C35" i="155"/>
  <c r="C36" i="155"/>
  <c r="C2" i="155"/>
  <c r="B38" i="154"/>
  <c r="I36" i="154"/>
  <c r="I35" i="154"/>
  <c r="I34" i="154"/>
  <c r="I33" i="154"/>
  <c r="I32" i="154"/>
  <c r="I3" i="154"/>
  <c r="I4" i="154"/>
  <c r="I5" i="154"/>
  <c r="I6" i="154"/>
  <c r="I7" i="154"/>
  <c r="I8" i="154"/>
  <c r="I9" i="154"/>
  <c r="I10" i="154"/>
  <c r="I11" i="154"/>
  <c r="I12" i="154"/>
  <c r="I13" i="154"/>
  <c r="I14" i="154"/>
  <c r="I15" i="154"/>
  <c r="I16" i="154"/>
  <c r="I17" i="154"/>
  <c r="I18" i="154"/>
  <c r="I19" i="154"/>
  <c r="I20" i="154"/>
  <c r="I21" i="154"/>
  <c r="I22" i="154"/>
  <c r="I23" i="154"/>
  <c r="I24" i="154"/>
  <c r="I25" i="154"/>
  <c r="I26" i="154"/>
  <c r="I27" i="154"/>
  <c r="I28" i="154"/>
  <c r="I29" i="154"/>
  <c r="I30" i="154"/>
  <c r="I31" i="154"/>
  <c r="I2" i="154"/>
  <c r="H3" i="154"/>
  <c r="H4" i="154"/>
  <c r="H5" i="154"/>
  <c r="H6" i="154"/>
  <c r="H7" i="154"/>
  <c r="H8" i="154"/>
  <c r="H9" i="154"/>
  <c r="H10" i="154"/>
  <c r="H11" i="154"/>
  <c r="H12" i="154"/>
  <c r="H13" i="154"/>
  <c r="H14" i="154"/>
  <c r="H15" i="154"/>
  <c r="H16" i="154"/>
  <c r="H17" i="154"/>
  <c r="H18" i="154"/>
  <c r="H19" i="154"/>
  <c r="H20" i="154"/>
  <c r="H21" i="154"/>
  <c r="H22" i="154"/>
  <c r="H23" i="154"/>
  <c r="H24" i="154"/>
  <c r="H25" i="154"/>
  <c r="H26" i="154"/>
  <c r="H27" i="154"/>
  <c r="H28" i="154"/>
  <c r="H29" i="154"/>
  <c r="H30" i="154"/>
  <c r="H31" i="154"/>
  <c r="H2" i="154"/>
  <c r="B35" i="154"/>
  <c r="G3" i="154"/>
  <c r="G4" i="154"/>
  <c r="G5" i="154"/>
  <c r="G6" i="154"/>
  <c r="G7" i="154"/>
  <c r="G8" i="154"/>
  <c r="G9" i="154"/>
  <c r="G10" i="154"/>
  <c r="G11" i="154"/>
  <c r="G12" i="154"/>
  <c r="G13" i="154"/>
  <c r="G14" i="154"/>
  <c r="G15" i="154"/>
  <c r="G16" i="154"/>
  <c r="G17" i="154"/>
  <c r="G18" i="154"/>
  <c r="G19" i="154"/>
  <c r="G20" i="154"/>
  <c r="G21" i="154"/>
  <c r="G22" i="154"/>
  <c r="G23" i="154"/>
  <c r="G24" i="154"/>
  <c r="G25" i="154"/>
  <c r="G26" i="154"/>
  <c r="G27" i="154"/>
  <c r="G28" i="154"/>
  <c r="G29" i="154"/>
  <c r="G30" i="154"/>
  <c r="G31" i="154"/>
  <c r="G2" i="154"/>
  <c r="F3" i="154"/>
  <c r="F4" i="154"/>
  <c r="F5" i="154"/>
  <c r="F6" i="154"/>
  <c r="F7" i="154"/>
  <c r="F8" i="154"/>
  <c r="F9" i="154"/>
  <c r="F10" i="154"/>
  <c r="F11" i="154"/>
  <c r="F12" i="154"/>
  <c r="F13" i="154"/>
  <c r="F14" i="154"/>
  <c r="F15" i="154"/>
  <c r="F16" i="154"/>
  <c r="F17" i="154"/>
  <c r="F18" i="154"/>
  <c r="F19" i="154"/>
  <c r="F20" i="154"/>
  <c r="F21" i="154"/>
  <c r="F22" i="154"/>
  <c r="F23" i="154"/>
  <c r="F24" i="154"/>
  <c r="F25" i="154"/>
  <c r="F26" i="154"/>
  <c r="F27" i="154"/>
  <c r="F28" i="154"/>
  <c r="F29" i="154"/>
  <c r="F30" i="154"/>
  <c r="F31" i="154"/>
  <c r="F2" i="154"/>
  <c r="E3" i="154"/>
  <c r="E4" i="154"/>
  <c r="E5" i="154"/>
  <c r="E6" i="154"/>
  <c r="E7" i="154"/>
  <c r="E8" i="154"/>
  <c r="E9" i="154"/>
  <c r="E10" i="154"/>
  <c r="E11" i="154"/>
  <c r="E12" i="154"/>
  <c r="E13" i="154"/>
  <c r="E14" i="154"/>
  <c r="E15" i="154"/>
  <c r="E16" i="154"/>
  <c r="E17" i="154"/>
  <c r="E18" i="154"/>
  <c r="E19" i="154"/>
  <c r="E20" i="154"/>
  <c r="E21" i="154"/>
  <c r="E22" i="154"/>
  <c r="E23" i="154"/>
  <c r="E24" i="154"/>
  <c r="E25" i="154"/>
  <c r="E26" i="154"/>
  <c r="E27" i="154"/>
  <c r="E28" i="154"/>
  <c r="E29" i="154"/>
  <c r="E30" i="154"/>
  <c r="E31" i="154"/>
  <c r="E2" i="154"/>
  <c r="C3" i="154"/>
  <c r="C4" i="154"/>
  <c r="C5" i="154"/>
  <c r="C6" i="154"/>
  <c r="C7" i="154"/>
  <c r="C8" i="154"/>
  <c r="C9" i="154"/>
  <c r="C10" i="154"/>
  <c r="C11" i="154"/>
  <c r="C12" i="154"/>
  <c r="C13" i="154"/>
  <c r="C14" i="154"/>
  <c r="C15" i="154"/>
  <c r="C16" i="154"/>
  <c r="C17" i="154"/>
  <c r="C18" i="154"/>
  <c r="C19" i="154"/>
  <c r="C20" i="154"/>
  <c r="C21" i="154"/>
  <c r="C22" i="154"/>
  <c r="C23" i="154"/>
  <c r="C24" i="154"/>
  <c r="C25" i="154"/>
  <c r="C26" i="154"/>
  <c r="C27" i="154"/>
  <c r="C28" i="154"/>
  <c r="C29" i="154"/>
  <c r="C30" i="154"/>
  <c r="C31" i="154"/>
  <c r="C2" i="154"/>
  <c r="B55" i="153"/>
  <c r="I53" i="153"/>
  <c r="I52" i="153"/>
  <c r="I51" i="153"/>
  <c r="I50" i="153"/>
  <c r="I49" i="153"/>
  <c r="I3" i="153"/>
  <c r="I4" i="153"/>
  <c r="I5" i="153"/>
  <c r="I6" i="153"/>
  <c r="I7" i="153"/>
  <c r="I8" i="153"/>
  <c r="I9" i="153"/>
  <c r="I10" i="153"/>
  <c r="I11" i="153"/>
  <c r="I12" i="153"/>
  <c r="I13" i="153"/>
  <c r="I14" i="153"/>
  <c r="I15" i="153"/>
  <c r="I16" i="153"/>
  <c r="I17" i="153"/>
  <c r="I18" i="153"/>
  <c r="I19" i="153"/>
  <c r="I20" i="153"/>
  <c r="I21" i="153"/>
  <c r="I22" i="153"/>
  <c r="I23" i="153"/>
  <c r="I24" i="153"/>
  <c r="I25" i="153"/>
  <c r="I26" i="153"/>
  <c r="I27" i="153"/>
  <c r="I28" i="153"/>
  <c r="I29" i="153"/>
  <c r="I30" i="153"/>
  <c r="I31" i="153"/>
  <c r="I32" i="153"/>
  <c r="I33" i="153"/>
  <c r="I34" i="153"/>
  <c r="I35" i="153"/>
  <c r="I36" i="153"/>
  <c r="I37" i="153"/>
  <c r="I38" i="153"/>
  <c r="I39" i="153"/>
  <c r="I40" i="153"/>
  <c r="I41" i="153"/>
  <c r="I42" i="153"/>
  <c r="I43" i="153"/>
  <c r="I44" i="153"/>
  <c r="I45" i="153"/>
  <c r="I46" i="153"/>
  <c r="I47" i="153"/>
  <c r="I48" i="153"/>
  <c r="I2" i="153"/>
  <c r="H3" i="153"/>
  <c r="H4" i="153"/>
  <c r="H5" i="153"/>
  <c r="H6" i="153"/>
  <c r="H7" i="153"/>
  <c r="H8" i="153"/>
  <c r="H9" i="153"/>
  <c r="H10" i="153"/>
  <c r="H11" i="153"/>
  <c r="H12" i="153"/>
  <c r="H13" i="153"/>
  <c r="H14" i="153"/>
  <c r="H15" i="153"/>
  <c r="H16" i="153"/>
  <c r="H17" i="153"/>
  <c r="H18" i="153"/>
  <c r="H19" i="153"/>
  <c r="H20" i="153"/>
  <c r="H21" i="153"/>
  <c r="H22" i="153"/>
  <c r="H23" i="153"/>
  <c r="H24" i="153"/>
  <c r="H25" i="153"/>
  <c r="H26" i="153"/>
  <c r="H27" i="153"/>
  <c r="H28" i="153"/>
  <c r="H29" i="153"/>
  <c r="H30" i="153"/>
  <c r="H31" i="153"/>
  <c r="H32" i="153"/>
  <c r="H33" i="153"/>
  <c r="H34" i="153"/>
  <c r="H35" i="153"/>
  <c r="H36" i="153"/>
  <c r="H37" i="153"/>
  <c r="H38" i="153"/>
  <c r="H39" i="153"/>
  <c r="H40" i="153"/>
  <c r="H41" i="153"/>
  <c r="H42" i="153"/>
  <c r="H43" i="153"/>
  <c r="H44" i="153"/>
  <c r="H45" i="153"/>
  <c r="H46" i="153"/>
  <c r="H47" i="153"/>
  <c r="H48" i="153"/>
  <c r="H2" i="153"/>
  <c r="B52" i="153"/>
  <c r="G3" i="153"/>
  <c r="G4" i="153"/>
  <c r="G5" i="153"/>
  <c r="G6" i="153"/>
  <c r="G7" i="153"/>
  <c r="G8" i="153"/>
  <c r="G9" i="153"/>
  <c r="G10" i="153"/>
  <c r="G11" i="153"/>
  <c r="G12" i="153"/>
  <c r="G13" i="153"/>
  <c r="G14" i="153"/>
  <c r="G15" i="153"/>
  <c r="G16" i="153"/>
  <c r="G17" i="153"/>
  <c r="G18" i="153"/>
  <c r="G19" i="153"/>
  <c r="G20" i="153"/>
  <c r="G21" i="153"/>
  <c r="G22" i="153"/>
  <c r="G23" i="153"/>
  <c r="G24" i="153"/>
  <c r="G25" i="153"/>
  <c r="G26" i="153"/>
  <c r="G27" i="153"/>
  <c r="G28" i="153"/>
  <c r="G29" i="153"/>
  <c r="G30" i="153"/>
  <c r="G31" i="153"/>
  <c r="G32" i="153"/>
  <c r="G33" i="153"/>
  <c r="G34" i="153"/>
  <c r="G35" i="153"/>
  <c r="G36" i="153"/>
  <c r="G37" i="153"/>
  <c r="G38" i="153"/>
  <c r="G39" i="153"/>
  <c r="G40" i="153"/>
  <c r="G41" i="153"/>
  <c r="G42" i="153"/>
  <c r="G43" i="153"/>
  <c r="G44" i="153"/>
  <c r="G45" i="153"/>
  <c r="G46" i="153"/>
  <c r="G47" i="153"/>
  <c r="G48" i="153"/>
  <c r="G2" i="153"/>
  <c r="F3" i="153"/>
  <c r="F4" i="153"/>
  <c r="F5" i="153"/>
  <c r="F6" i="153"/>
  <c r="F7" i="153"/>
  <c r="F8" i="153"/>
  <c r="F9" i="153"/>
  <c r="F10" i="153"/>
  <c r="F11" i="153"/>
  <c r="F12" i="153"/>
  <c r="F13" i="153"/>
  <c r="F14" i="153"/>
  <c r="F15" i="153"/>
  <c r="F16" i="153"/>
  <c r="F17" i="153"/>
  <c r="F18" i="153"/>
  <c r="F19" i="153"/>
  <c r="F20" i="153"/>
  <c r="F21" i="153"/>
  <c r="F22" i="153"/>
  <c r="F23" i="153"/>
  <c r="F24" i="153"/>
  <c r="F25" i="153"/>
  <c r="F26" i="153"/>
  <c r="F27" i="153"/>
  <c r="F28" i="153"/>
  <c r="F29" i="153"/>
  <c r="F30" i="153"/>
  <c r="F31" i="153"/>
  <c r="F32" i="153"/>
  <c r="F33" i="153"/>
  <c r="F34" i="153"/>
  <c r="F35" i="153"/>
  <c r="F36" i="153"/>
  <c r="F37" i="153"/>
  <c r="F38" i="153"/>
  <c r="F39" i="153"/>
  <c r="F40" i="153"/>
  <c r="F41" i="153"/>
  <c r="F42" i="153"/>
  <c r="F43" i="153"/>
  <c r="F44" i="153"/>
  <c r="F45" i="153"/>
  <c r="F46" i="153"/>
  <c r="F47" i="153"/>
  <c r="F48" i="153"/>
  <c r="F2" i="153"/>
  <c r="E3" i="153"/>
  <c r="E4" i="153"/>
  <c r="E5" i="153"/>
  <c r="E6" i="153"/>
  <c r="E7" i="153"/>
  <c r="E8" i="153"/>
  <c r="E9" i="153"/>
  <c r="E10" i="153"/>
  <c r="E11" i="153"/>
  <c r="E12" i="153"/>
  <c r="E13" i="153"/>
  <c r="E14" i="153"/>
  <c r="E15" i="153"/>
  <c r="E16" i="153"/>
  <c r="E17" i="153"/>
  <c r="E18" i="153"/>
  <c r="E19" i="153"/>
  <c r="E20" i="153"/>
  <c r="E21" i="153"/>
  <c r="E22" i="153"/>
  <c r="E23" i="153"/>
  <c r="E24" i="153"/>
  <c r="E25" i="153"/>
  <c r="E26" i="153"/>
  <c r="E27" i="153"/>
  <c r="E28" i="153"/>
  <c r="E29" i="153"/>
  <c r="E30" i="153"/>
  <c r="E31" i="153"/>
  <c r="E32" i="153"/>
  <c r="E33" i="153"/>
  <c r="E34" i="153"/>
  <c r="E35" i="153"/>
  <c r="E36" i="153"/>
  <c r="E37" i="153"/>
  <c r="E38" i="153"/>
  <c r="E39" i="153"/>
  <c r="E40" i="153"/>
  <c r="E41" i="153"/>
  <c r="E42" i="153"/>
  <c r="E43" i="153"/>
  <c r="E44" i="153"/>
  <c r="E45" i="153"/>
  <c r="E46" i="153"/>
  <c r="E47" i="153"/>
  <c r="E48" i="153"/>
  <c r="E2" i="153"/>
  <c r="C3" i="153"/>
  <c r="C4" i="153"/>
  <c r="C5" i="153"/>
  <c r="C6" i="153"/>
  <c r="C7" i="153"/>
  <c r="C8" i="153"/>
  <c r="C9" i="153"/>
  <c r="C10" i="153"/>
  <c r="C11" i="153"/>
  <c r="C12" i="153"/>
  <c r="C13" i="153"/>
  <c r="C14" i="153"/>
  <c r="C15" i="153"/>
  <c r="C16" i="153"/>
  <c r="C17" i="153"/>
  <c r="C18" i="153"/>
  <c r="C19" i="153"/>
  <c r="C20" i="153"/>
  <c r="C21" i="153"/>
  <c r="C22" i="153"/>
  <c r="C23" i="153"/>
  <c r="C24" i="153"/>
  <c r="C25" i="153"/>
  <c r="C26" i="153"/>
  <c r="C27" i="153"/>
  <c r="C28" i="153"/>
  <c r="C29" i="153"/>
  <c r="C30" i="153"/>
  <c r="C31" i="153"/>
  <c r="C32" i="153"/>
  <c r="C33" i="153"/>
  <c r="C34" i="153"/>
  <c r="C35" i="153"/>
  <c r="C36" i="153"/>
  <c r="C37" i="153"/>
  <c r="C38" i="153"/>
  <c r="C39" i="153"/>
  <c r="C40" i="153"/>
  <c r="C41" i="153"/>
  <c r="C42" i="153"/>
  <c r="C43" i="153"/>
  <c r="C44" i="153"/>
  <c r="C45" i="153"/>
  <c r="C46" i="153"/>
  <c r="C47" i="153"/>
  <c r="C48" i="153"/>
  <c r="C2" i="153"/>
  <c r="C3" i="151"/>
  <c r="D3" i="151" s="1"/>
  <c r="C4" i="151"/>
  <c r="C5" i="151"/>
  <c r="C6" i="151"/>
  <c r="C7" i="151"/>
  <c r="C8" i="151"/>
  <c r="C9" i="151"/>
  <c r="C10" i="151"/>
  <c r="C11" i="151"/>
  <c r="C12" i="151"/>
  <c r="C13" i="151"/>
  <c r="C14" i="151"/>
  <c r="C15" i="151"/>
  <c r="C16" i="151"/>
  <c r="C17" i="151"/>
  <c r="C18" i="151"/>
  <c r="C19" i="151"/>
  <c r="C20" i="151"/>
  <c r="C21" i="151"/>
  <c r="C22" i="151"/>
  <c r="C23" i="151"/>
  <c r="C24" i="151"/>
  <c r="C25" i="151"/>
  <c r="C26" i="151"/>
  <c r="C27" i="151"/>
  <c r="C28" i="151"/>
  <c r="C29" i="151"/>
  <c r="C30" i="151"/>
  <c r="C31" i="151"/>
  <c r="C32" i="151"/>
  <c r="C33" i="151"/>
  <c r="C34" i="151"/>
  <c r="C35" i="151"/>
  <c r="C36" i="151"/>
  <c r="C37" i="151"/>
  <c r="C38" i="151"/>
  <c r="C39" i="151"/>
  <c r="C40" i="151"/>
  <c r="C41" i="151"/>
  <c r="C42" i="151"/>
  <c r="C43" i="151"/>
  <c r="C44" i="151"/>
  <c r="C45" i="151"/>
  <c r="C46" i="151"/>
  <c r="C47" i="151"/>
  <c r="C48" i="151"/>
  <c r="C49" i="151"/>
  <c r="C50" i="151"/>
  <c r="C51" i="151"/>
  <c r="C52" i="151"/>
  <c r="C53" i="151"/>
  <c r="C54" i="151"/>
  <c r="C55" i="151"/>
  <c r="C56" i="151"/>
  <c r="C57" i="151"/>
  <c r="C58" i="151"/>
  <c r="C59" i="151"/>
  <c r="C60" i="151"/>
  <c r="C61" i="151"/>
  <c r="C62" i="151"/>
  <c r="C63" i="151"/>
  <c r="C64" i="151"/>
  <c r="C65" i="151"/>
  <c r="C66" i="151"/>
  <c r="C67" i="151"/>
  <c r="C68" i="151"/>
  <c r="C69" i="151"/>
  <c r="C70" i="151"/>
  <c r="C71" i="151"/>
  <c r="C72" i="151"/>
  <c r="C73" i="151"/>
  <c r="C74" i="151"/>
  <c r="C75" i="151"/>
  <c r="C76" i="151"/>
  <c r="C77" i="151"/>
  <c r="C78" i="151"/>
  <c r="C79" i="151"/>
  <c r="C80" i="151"/>
  <c r="C81" i="151"/>
  <c r="C82" i="151"/>
  <c r="C83" i="151"/>
  <c r="C84" i="151"/>
  <c r="C85" i="151"/>
  <c r="C86" i="151"/>
  <c r="C87" i="151"/>
  <c r="C88" i="151"/>
  <c r="C89" i="151"/>
  <c r="C90" i="151"/>
  <c r="C91" i="151"/>
  <c r="C92" i="151"/>
  <c r="C93" i="151"/>
  <c r="C94" i="151"/>
  <c r="C95" i="151"/>
  <c r="C96" i="151"/>
  <c r="C97" i="151"/>
  <c r="C98" i="151"/>
  <c r="C99" i="151"/>
  <c r="C100" i="151"/>
  <c r="C101" i="151"/>
  <c r="C102" i="151"/>
  <c r="C103" i="151"/>
  <c r="C104" i="151"/>
  <c r="C105" i="151"/>
  <c r="C106" i="151"/>
  <c r="C107" i="151"/>
  <c r="C108" i="151"/>
  <c r="C109" i="151"/>
  <c r="C110" i="151"/>
  <c r="C111" i="151"/>
  <c r="C112" i="151"/>
  <c r="C113" i="151"/>
  <c r="C114" i="151"/>
  <c r="C115" i="151"/>
  <c r="C116" i="151"/>
  <c r="C117" i="151"/>
  <c r="C118" i="151"/>
  <c r="C119" i="151"/>
  <c r="C120" i="151"/>
  <c r="C121" i="151"/>
  <c r="C122" i="151"/>
  <c r="C123" i="151"/>
  <c r="C124" i="151"/>
  <c r="C125" i="151"/>
  <c r="C126" i="151"/>
  <c r="C127" i="151"/>
  <c r="C128" i="151"/>
  <c r="C129" i="151"/>
  <c r="C130" i="151"/>
  <c r="C131" i="151"/>
  <c r="C132" i="151"/>
  <c r="C133" i="151"/>
  <c r="C134" i="151"/>
  <c r="C135" i="151"/>
  <c r="C136" i="151"/>
  <c r="C137" i="151"/>
  <c r="C138" i="151"/>
  <c r="C139" i="151"/>
  <c r="C140" i="151"/>
  <c r="C141" i="151"/>
  <c r="C142" i="151"/>
  <c r="C143" i="151"/>
  <c r="C144" i="151"/>
  <c r="C145" i="151"/>
  <c r="C146" i="151"/>
  <c r="C147" i="151"/>
  <c r="C148" i="151"/>
  <c r="C149" i="151"/>
  <c r="C150" i="151"/>
  <c r="C151" i="151"/>
  <c r="C152" i="151"/>
  <c r="C153" i="151"/>
  <c r="C154" i="151"/>
  <c r="C155" i="151"/>
  <c r="C156" i="151"/>
  <c r="C157" i="151"/>
  <c r="C158" i="151"/>
  <c r="C159" i="151"/>
  <c r="C160" i="151"/>
  <c r="C161" i="151"/>
  <c r="C162" i="151"/>
  <c r="C163" i="151"/>
  <c r="C164" i="151"/>
  <c r="C165" i="151"/>
  <c r="C166" i="151"/>
  <c r="C167" i="151"/>
  <c r="C168" i="151"/>
  <c r="C169" i="151"/>
  <c r="C170" i="151"/>
  <c r="C171" i="151"/>
  <c r="C172" i="151"/>
  <c r="C173" i="151"/>
  <c r="C174" i="151"/>
  <c r="C175" i="151"/>
  <c r="C176" i="151"/>
  <c r="C177" i="151"/>
  <c r="C178" i="151"/>
  <c r="C179" i="151"/>
  <c r="C180" i="151"/>
  <c r="C181" i="151"/>
  <c r="C182" i="151"/>
  <c r="C183" i="151"/>
  <c r="C184" i="151"/>
  <c r="C185" i="151"/>
  <c r="C186" i="151"/>
  <c r="C187" i="151"/>
  <c r="C188" i="151"/>
  <c r="C189" i="151"/>
  <c r="C190" i="151"/>
  <c r="C191" i="151"/>
  <c r="C192" i="151"/>
  <c r="C193" i="151"/>
  <c r="C194" i="151"/>
  <c r="C195" i="151"/>
  <c r="C196" i="151"/>
  <c r="C197" i="151"/>
  <c r="C198" i="151"/>
  <c r="C199" i="151"/>
  <c r="C200" i="151"/>
  <c r="C201" i="151"/>
  <c r="C202" i="151"/>
  <c r="C203" i="151"/>
  <c r="C204" i="151"/>
  <c r="C205" i="151"/>
  <c r="C206" i="151"/>
  <c r="C207" i="151"/>
  <c r="C208" i="151"/>
  <c r="C209" i="151"/>
  <c r="C210" i="151"/>
  <c r="C211" i="151"/>
  <c r="C212" i="151"/>
  <c r="C213" i="151"/>
  <c r="C214" i="151"/>
  <c r="C215" i="151"/>
  <c r="C216" i="151"/>
  <c r="C217" i="151"/>
  <c r="C218" i="151"/>
  <c r="C219" i="151"/>
  <c r="C220" i="151"/>
  <c r="C221" i="151"/>
  <c r="C222" i="151"/>
  <c r="C223" i="151"/>
  <c r="C224" i="151"/>
  <c r="C225" i="151"/>
  <c r="C226" i="151"/>
  <c r="C227" i="151"/>
  <c r="C228" i="151"/>
  <c r="C229" i="151"/>
  <c r="C230" i="151"/>
  <c r="C231" i="151"/>
  <c r="C232" i="151"/>
  <c r="C233" i="151"/>
  <c r="C234" i="151"/>
  <c r="C235" i="151"/>
  <c r="C236" i="151"/>
  <c r="C237" i="151"/>
  <c r="C238" i="151"/>
  <c r="C239" i="151"/>
  <c r="C240" i="151"/>
  <c r="C241" i="151"/>
  <c r="C242" i="151"/>
  <c r="C243" i="151"/>
  <c r="C244" i="151"/>
  <c r="C245" i="151"/>
  <c r="C246" i="151"/>
  <c r="C247" i="151"/>
  <c r="C248" i="151"/>
  <c r="C249" i="151"/>
  <c r="C250" i="151"/>
  <c r="C251" i="151"/>
  <c r="C252" i="151"/>
  <c r="C253" i="151"/>
  <c r="C254" i="151"/>
  <c r="C255" i="151"/>
  <c r="C256" i="151"/>
  <c r="C257" i="151"/>
  <c r="C258" i="151"/>
  <c r="C259" i="151"/>
  <c r="C260" i="151"/>
  <c r="C261" i="151"/>
  <c r="C262" i="151"/>
  <c r="C263" i="151"/>
  <c r="C264" i="151"/>
  <c r="C265" i="151"/>
  <c r="C266" i="151"/>
  <c r="C267" i="151"/>
  <c r="C268" i="151"/>
  <c r="C269" i="151"/>
  <c r="C270" i="151"/>
  <c r="C271" i="151"/>
  <c r="C272" i="151"/>
  <c r="C273" i="151"/>
  <c r="C274" i="151"/>
  <c r="C275" i="151"/>
  <c r="C276" i="151"/>
  <c r="C277" i="151"/>
  <c r="C278" i="151"/>
  <c r="C279" i="151"/>
  <c r="C280" i="151"/>
  <c r="C281" i="151"/>
  <c r="C282" i="151"/>
  <c r="C283" i="151"/>
  <c r="C284" i="151"/>
  <c r="C285" i="151"/>
  <c r="C286" i="151"/>
  <c r="C287" i="151"/>
  <c r="C288" i="151"/>
  <c r="C289" i="151"/>
  <c r="C290" i="151"/>
  <c r="C291" i="151"/>
  <c r="C292" i="151"/>
  <c r="C293" i="151"/>
  <c r="C294" i="151"/>
  <c r="C295" i="151"/>
  <c r="C296" i="151"/>
  <c r="C297" i="151"/>
  <c r="C298" i="151"/>
  <c r="C299" i="151"/>
  <c r="C300" i="151"/>
  <c r="C301" i="151"/>
  <c r="C302" i="151"/>
  <c r="C2" i="151"/>
  <c r="B17" i="152"/>
  <c r="J17" i="152"/>
  <c r="J16" i="152"/>
  <c r="J15" i="152"/>
  <c r="J14" i="152"/>
  <c r="J13" i="152"/>
  <c r="J4" i="152"/>
  <c r="J5" i="152"/>
  <c r="J6" i="152"/>
  <c r="J7" i="152"/>
  <c r="J8" i="152"/>
  <c r="J9" i="152"/>
  <c r="J10" i="152"/>
  <c r="J11" i="152"/>
  <c r="J12" i="152"/>
  <c r="J3" i="152"/>
  <c r="I4" i="152"/>
  <c r="I5" i="152"/>
  <c r="I6" i="152"/>
  <c r="I7" i="152"/>
  <c r="I8" i="152"/>
  <c r="I9" i="152"/>
  <c r="I10" i="152"/>
  <c r="I11" i="152"/>
  <c r="I12" i="152"/>
  <c r="I3" i="152"/>
  <c r="H4" i="152"/>
  <c r="H5" i="152"/>
  <c r="H6" i="152"/>
  <c r="H7" i="152"/>
  <c r="H8" i="152"/>
  <c r="H9" i="152"/>
  <c r="H10" i="152"/>
  <c r="H11" i="152"/>
  <c r="H12" i="152"/>
  <c r="H3" i="152"/>
  <c r="G4" i="152"/>
  <c r="G5" i="152"/>
  <c r="G6" i="152"/>
  <c r="G7" i="152"/>
  <c r="G8" i="152"/>
  <c r="G9" i="152"/>
  <c r="G10" i="152"/>
  <c r="G11" i="152"/>
  <c r="G12" i="152"/>
  <c r="G3" i="152"/>
  <c r="F4" i="152"/>
  <c r="F5" i="152"/>
  <c r="F6" i="152"/>
  <c r="F7" i="152"/>
  <c r="F8" i="152"/>
  <c r="F9" i="152"/>
  <c r="F10" i="152"/>
  <c r="F11" i="152"/>
  <c r="F12" i="152"/>
  <c r="F3" i="152"/>
  <c r="E4" i="152"/>
  <c r="E5" i="152"/>
  <c r="E6" i="152"/>
  <c r="E7" i="152"/>
  <c r="E8" i="152"/>
  <c r="E9" i="152"/>
  <c r="E10" i="152"/>
  <c r="E11" i="152"/>
  <c r="E12" i="152"/>
  <c r="E3" i="152"/>
  <c r="D4" i="152"/>
  <c r="D5" i="152"/>
  <c r="D6" i="152"/>
  <c r="D7" i="152"/>
  <c r="D8" i="152"/>
  <c r="D9" i="152"/>
  <c r="D10" i="152"/>
  <c r="D11" i="152"/>
  <c r="D12" i="152"/>
  <c r="D3" i="152"/>
  <c r="B26" i="150"/>
  <c r="I24" i="150"/>
  <c r="I23" i="150"/>
  <c r="I22" i="150"/>
  <c r="I21" i="150"/>
  <c r="I20" i="150"/>
  <c r="I3" i="150"/>
  <c r="I4" i="150"/>
  <c r="I5" i="150"/>
  <c r="I6" i="150"/>
  <c r="I7" i="150"/>
  <c r="I8" i="150"/>
  <c r="I9" i="150"/>
  <c r="I10" i="150"/>
  <c r="I11" i="150"/>
  <c r="I12" i="150"/>
  <c r="I13" i="150"/>
  <c r="I14" i="150"/>
  <c r="I15" i="150"/>
  <c r="I16" i="150"/>
  <c r="I17" i="150"/>
  <c r="I18" i="150"/>
  <c r="I19" i="150"/>
  <c r="I2" i="150"/>
  <c r="H3" i="150"/>
  <c r="H4" i="150"/>
  <c r="H5" i="150"/>
  <c r="H6" i="150"/>
  <c r="H7" i="150"/>
  <c r="H8" i="150"/>
  <c r="H9" i="150"/>
  <c r="H10" i="150"/>
  <c r="H11" i="150"/>
  <c r="H12" i="150"/>
  <c r="H13" i="150"/>
  <c r="H14" i="150"/>
  <c r="H15" i="150"/>
  <c r="H16" i="150"/>
  <c r="H17" i="150"/>
  <c r="H18" i="150"/>
  <c r="H19" i="150"/>
  <c r="H2" i="150"/>
  <c r="G3" i="150"/>
  <c r="G4" i="150"/>
  <c r="G5" i="150"/>
  <c r="G6" i="150"/>
  <c r="G7" i="150"/>
  <c r="G8" i="150"/>
  <c r="G9" i="150"/>
  <c r="G10" i="150"/>
  <c r="G11" i="150"/>
  <c r="G12" i="150"/>
  <c r="G13" i="150"/>
  <c r="G14" i="150"/>
  <c r="G15" i="150"/>
  <c r="G16" i="150"/>
  <c r="G17" i="150"/>
  <c r="G18" i="150"/>
  <c r="G19" i="150"/>
  <c r="G2" i="150"/>
  <c r="F3" i="150"/>
  <c r="F4" i="150"/>
  <c r="F5" i="150"/>
  <c r="F6" i="150"/>
  <c r="F7" i="150"/>
  <c r="F8" i="150"/>
  <c r="F9" i="150"/>
  <c r="F10" i="150"/>
  <c r="F11" i="150"/>
  <c r="F12" i="150"/>
  <c r="F13" i="150"/>
  <c r="F14" i="150"/>
  <c r="F15" i="150"/>
  <c r="F16" i="150"/>
  <c r="F17" i="150"/>
  <c r="F18" i="150"/>
  <c r="F19" i="150"/>
  <c r="F2" i="150"/>
  <c r="B23" i="150"/>
  <c r="E3" i="150"/>
  <c r="E4" i="150"/>
  <c r="E5" i="150"/>
  <c r="E6" i="150"/>
  <c r="E7" i="150"/>
  <c r="E8" i="150"/>
  <c r="E9" i="150"/>
  <c r="E10" i="150"/>
  <c r="E11" i="150"/>
  <c r="E12" i="150"/>
  <c r="E13" i="150"/>
  <c r="E14" i="150"/>
  <c r="E15" i="150"/>
  <c r="E16" i="150"/>
  <c r="E17" i="150"/>
  <c r="E18" i="150"/>
  <c r="E19" i="150"/>
  <c r="E2" i="150"/>
  <c r="C3" i="150"/>
  <c r="C4" i="150"/>
  <c r="C5" i="150"/>
  <c r="C6" i="150"/>
  <c r="C7" i="150"/>
  <c r="C8" i="150"/>
  <c r="C9" i="150"/>
  <c r="C10" i="150"/>
  <c r="C11" i="150"/>
  <c r="C12" i="150"/>
  <c r="C13" i="150"/>
  <c r="C14" i="150"/>
  <c r="C15" i="150"/>
  <c r="C16" i="150"/>
  <c r="C17" i="150"/>
  <c r="C18" i="150"/>
  <c r="C19" i="150"/>
  <c r="C2" i="150"/>
  <c r="B67" i="149"/>
  <c r="J67" i="149"/>
  <c r="J66" i="149"/>
  <c r="J65" i="149"/>
  <c r="J64" i="149"/>
  <c r="J63" i="149"/>
  <c r="J4" i="149"/>
  <c r="J5" i="149"/>
  <c r="J6" i="149"/>
  <c r="J7" i="149"/>
  <c r="J8" i="149"/>
  <c r="J9" i="149"/>
  <c r="J10" i="149"/>
  <c r="J11" i="149"/>
  <c r="J12" i="149"/>
  <c r="J13" i="149"/>
  <c r="J14" i="149"/>
  <c r="J15" i="149"/>
  <c r="J16" i="149"/>
  <c r="J17" i="149"/>
  <c r="J18" i="149"/>
  <c r="J19" i="149"/>
  <c r="J20" i="149"/>
  <c r="J21" i="149"/>
  <c r="J22" i="149"/>
  <c r="J23" i="149"/>
  <c r="J24" i="149"/>
  <c r="J25" i="149"/>
  <c r="J26" i="149"/>
  <c r="J27" i="149"/>
  <c r="J28" i="149"/>
  <c r="J29" i="149"/>
  <c r="J30" i="149"/>
  <c r="J31" i="149"/>
  <c r="J32" i="149"/>
  <c r="J33" i="149"/>
  <c r="J34" i="149"/>
  <c r="J35" i="149"/>
  <c r="J36" i="149"/>
  <c r="J37" i="149"/>
  <c r="J38" i="149"/>
  <c r="J39" i="149"/>
  <c r="J40" i="149"/>
  <c r="J41" i="149"/>
  <c r="J42" i="149"/>
  <c r="J43" i="149"/>
  <c r="J44" i="149"/>
  <c r="J45" i="149"/>
  <c r="J46" i="149"/>
  <c r="J47" i="149"/>
  <c r="J48" i="149"/>
  <c r="J49" i="149"/>
  <c r="J50" i="149"/>
  <c r="J51" i="149"/>
  <c r="J52" i="149"/>
  <c r="J53" i="149"/>
  <c r="J54" i="149"/>
  <c r="J55" i="149"/>
  <c r="J56" i="149"/>
  <c r="J57" i="149"/>
  <c r="J58" i="149"/>
  <c r="J59" i="149"/>
  <c r="J60" i="149"/>
  <c r="J61" i="149"/>
  <c r="J62" i="149"/>
  <c r="J3" i="149"/>
  <c r="I62" i="149"/>
  <c r="I4" i="149"/>
  <c r="I5" i="149"/>
  <c r="I6" i="149"/>
  <c r="I7" i="149"/>
  <c r="I8" i="149"/>
  <c r="I9" i="149"/>
  <c r="I10" i="149"/>
  <c r="I11" i="149"/>
  <c r="I12" i="149"/>
  <c r="I13" i="149"/>
  <c r="I14" i="149"/>
  <c r="I15" i="149"/>
  <c r="I16" i="149"/>
  <c r="I17" i="149"/>
  <c r="I18" i="149"/>
  <c r="I19" i="149"/>
  <c r="I20" i="149"/>
  <c r="I21" i="149"/>
  <c r="I22" i="149"/>
  <c r="I23" i="149"/>
  <c r="I24" i="149"/>
  <c r="I25" i="149"/>
  <c r="I26" i="149"/>
  <c r="I27" i="149"/>
  <c r="I28" i="149"/>
  <c r="I29" i="149"/>
  <c r="I30" i="149"/>
  <c r="I31" i="149"/>
  <c r="I32" i="149"/>
  <c r="I33" i="149"/>
  <c r="I34" i="149"/>
  <c r="I35" i="149"/>
  <c r="I36" i="149"/>
  <c r="I37" i="149"/>
  <c r="I38" i="149"/>
  <c r="I39" i="149"/>
  <c r="I40" i="149"/>
  <c r="I41" i="149"/>
  <c r="I42" i="149"/>
  <c r="I43" i="149"/>
  <c r="I44" i="149"/>
  <c r="I45" i="149"/>
  <c r="I46" i="149"/>
  <c r="I47" i="149"/>
  <c r="I48" i="149"/>
  <c r="I49" i="149"/>
  <c r="I50" i="149"/>
  <c r="I51" i="149"/>
  <c r="I52" i="149"/>
  <c r="I53" i="149"/>
  <c r="I54" i="149"/>
  <c r="I55" i="149"/>
  <c r="I56" i="149"/>
  <c r="I57" i="149"/>
  <c r="I58" i="149"/>
  <c r="I59" i="149"/>
  <c r="I60" i="149"/>
  <c r="I61" i="149"/>
  <c r="I3" i="149"/>
  <c r="H4" i="149"/>
  <c r="H5" i="149"/>
  <c r="H6" i="149"/>
  <c r="H7" i="149"/>
  <c r="H8" i="149"/>
  <c r="H9" i="149"/>
  <c r="H10" i="149"/>
  <c r="H11" i="149"/>
  <c r="H12" i="149"/>
  <c r="H13" i="149"/>
  <c r="H14" i="149"/>
  <c r="H15" i="149"/>
  <c r="H16" i="149"/>
  <c r="H17" i="149"/>
  <c r="H18" i="149"/>
  <c r="H19" i="149"/>
  <c r="H20" i="149"/>
  <c r="H21" i="149"/>
  <c r="H22" i="149"/>
  <c r="H23" i="149"/>
  <c r="H24" i="149"/>
  <c r="H25" i="149"/>
  <c r="H26" i="149"/>
  <c r="H27" i="149"/>
  <c r="H28" i="149"/>
  <c r="H29" i="149"/>
  <c r="H30" i="149"/>
  <c r="H31" i="149"/>
  <c r="H32" i="149"/>
  <c r="H33" i="149"/>
  <c r="H34" i="149"/>
  <c r="H35" i="149"/>
  <c r="H36" i="149"/>
  <c r="H37" i="149"/>
  <c r="H38" i="149"/>
  <c r="H39" i="149"/>
  <c r="H40" i="149"/>
  <c r="H41" i="149"/>
  <c r="H42" i="149"/>
  <c r="H43" i="149"/>
  <c r="H44" i="149"/>
  <c r="H45" i="149"/>
  <c r="H46" i="149"/>
  <c r="H47" i="149"/>
  <c r="H48" i="149"/>
  <c r="H49" i="149"/>
  <c r="H50" i="149"/>
  <c r="H51" i="149"/>
  <c r="H52" i="149"/>
  <c r="H53" i="149"/>
  <c r="H54" i="149"/>
  <c r="H55" i="149"/>
  <c r="H56" i="149"/>
  <c r="H57" i="149"/>
  <c r="H58" i="149"/>
  <c r="H59" i="149"/>
  <c r="H60" i="149"/>
  <c r="H61" i="149"/>
  <c r="H62" i="149"/>
  <c r="H3" i="149"/>
  <c r="G4" i="149"/>
  <c r="G5" i="149"/>
  <c r="G6" i="149"/>
  <c r="G7" i="149"/>
  <c r="G8" i="149"/>
  <c r="G9" i="149"/>
  <c r="G10" i="149"/>
  <c r="G11" i="149"/>
  <c r="G12" i="149"/>
  <c r="G13" i="149"/>
  <c r="G14" i="149"/>
  <c r="G15" i="149"/>
  <c r="G16" i="149"/>
  <c r="G17" i="149"/>
  <c r="G18" i="149"/>
  <c r="G19" i="149"/>
  <c r="G20" i="149"/>
  <c r="G21" i="149"/>
  <c r="G22" i="149"/>
  <c r="G23" i="149"/>
  <c r="G24" i="149"/>
  <c r="G25" i="149"/>
  <c r="G26" i="149"/>
  <c r="G27" i="149"/>
  <c r="G28" i="149"/>
  <c r="G29" i="149"/>
  <c r="G30" i="149"/>
  <c r="G31" i="149"/>
  <c r="G32" i="149"/>
  <c r="G33" i="149"/>
  <c r="G34" i="149"/>
  <c r="G35" i="149"/>
  <c r="G36" i="149"/>
  <c r="G37" i="149"/>
  <c r="G38" i="149"/>
  <c r="G39" i="149"/>
  <c r="G40" i="149"/>
  <c r="G41" i="149"/>
  <c r="G42" i="149"/>
  <c r="G43" i="149"/>
  <c r="G44" i="149"/>
  <c r="G45" i="149"/>
  <c r="G46" i="149"/>
  <c r="G47" i="149"/>
  <c r="G48" i="149"/>
  <c r="G49" i="149"/>
  <c r="G50" i="149"/>
  <c r="G51" i="149"/>
  <c r="G52" i="149"/>
  <c r="G53" i="149"/>
  <c r="G54" i="149"/>
  <c r="G55" i="149"/>
  <c r="G56" i="149"/>
  <c r="G57" i="149"/>
  <c r="G58" i="149"/>
  <c r="G59" i="149"/>
  <c r="G60" i="149"/>
  <c r="G61" i="149"/>
  <c r="G62" i="149"/>
  <c r="G3" i="149"/>
  <c r="F4" i="149"/>
  <c r="F5" i="149"/>
  <c r="F6" i="149"/>
  <c r="F7" i="149"/>
  <c r="F8" i="149"/>
  <c r="F9" i="149"/>
  <c r="F10" i="149"/>
  <c r="F11" i="149"/>
  <c r="F12" i="149"/>
  <c r="F13" i="149"/>
  <c r="F14" i="149"/>
  <c r="F15" i="149"/>
  <c r="F16" i="149"/>
  <c r="F17" i="149"/>
  <c r="F18" i="149"/>
  <c r="F19" i="149"/>
  <c r="F20" i="149"/>
  <c r="F21" i="149"/>
  <c r="F22" i="149"/>
  <c r="F23" i="149"/>
  <c r="F24" i="149"/>
  <c r="F25" i="149"/>
  <c r="F26" i="149"/>
  <c r="F27" i="149"/>
  <c r="F28" i="149"/>
  <c r="F29" i="149"/>
  <c r="F30" i="149"/>
  <c r="F31" i="149"/>
  <c r="F32" i="149"/>
  <c r="F33" i="149"/>
  <c r="F34" i="149"/>
  <c r="F35" i="149"/>
  <c r="F36" i="149"/>
  <c r="F37" i="149"/>
  <c r="F38" i="149"/>
  <c r="F39" i="149"/>
  <c r="F40" i="149"/>
  <c r="F41" i="149"/>
  <c r="F42" i="149"/>
  <c r="F43" i="149"/>
  <c r="F44" i="149"/>
  <c r="F45" i="149"/>
  <c r="F46" i="149"/>
  <c r="F47" i="149"/>
  <c r="F48" i="149"/>
  <c r="F49" i="149"/>
  <c r="F50" i="149"/>
  <c r="F51" i="149"/>
  <c r="F52" i="149"/>
  <c r="F53" i="149"/>
  <c r="F54" i="149"/>
  <c r="F55" i="149"/>
  <c r="F56" i="149"/>
  <c r="F57" i="149"/>
  <c r="F58" i="149"/>
  <c r="F59" i="149"/>
  <c r="F60" i="149"/>
  <c r="F61" i="149"/>
  <c r="F62" i="149"/>
  <c r="F3" i="149"/>
  <c r="E4" i="149"/>
  <c r="E5" i="149"/>
  <c r="E6" i="149"/>
  <c r="E7" i="149"/>
  <c r="E8" i="149"/>
  <c r="E9" i="149"/>
  <c r="E10" i="149"/>
  <c r="E11" i="149"/>
  <c r="E12" i="149"/>
  <c r="E13" i="149"/>
  <c r="E14" i="149"/>
  <c r="E15" i="149"/>
  <c r="E16" i="149"/>
  <c r="E17" i="149"/>
  <c r="E18" i="149"/>
  <c r="E19" i="149"/>
  <c r="E20" i="149"/>
  <c r="E21" i="149"/>
  <c r="E22" i="149"/>
  <c r="E23" i="149"/>
  <c r="E24" i="149"/>
  <c r="E25" i="149"/>
  <c r="E26" i="149"/>
  <c r="E27" i="149"/>
  <c r="E28" i="149"/>
  <c r="E29" i="149"/>
  <c r="E30" i="149"/>
  <c r="E31" i="149"/>
  <c r="E32" i="149"/>
  <c r="E33" i="149"/>
  <c r="E34" i="149"/>
  <c r="E35" i="149"/>
  <c r="E36" i="149"/>
  <c r="E37" i="149"/>
  <c r="E38" i="149"/>
  <c r="E39" i="149"/>
  <c r="E40" i="149"/>
  <c r="E41" i="149"/>
  <c r="E42" i="149"/>
  <c r="E43" i="149"/>
  <c r="E44" i="149"/>
  <c r="E45" i="149"/>
  <c r="E46" i="149"/>
  <c r="E47" i="149"/>
  <c r="E48" i="149"/>
  <c r="E49" i="149"/>
  <c r="E50" i="149"/>
  <c r="E51" i="149"/>
  <c r="E52" i="149"/>
  <c r="E53" i="149"/>
  <c r="E54" i="149"/>
  <c r="E55" i="149"/>
  <c r="E56" i="149"/>
  <c r="E57" i="149"/>
  <c r="E58" i="149"/>
  <c r="E59" i="149"/>
  <c r="E60" i="149"/>
  <c r="E61" i="149"/>
  <c r="E62" i="149"/>
  <c r="E3" i="149"/>
  <c r="D4" i="149"/>
  <c r="D5" i="149"/>
  <c r="D6" i="149"/>
  <c r="D7" i="149"/>
  <c r="D8" i="149"/>
  <c r="D9" i="149"/>
  <c r="D10" i="149"/>
  <c r="D11" i="149"/>
  <c r="D12" i="149"/>
  <c r="D13" i="149"/>
  <c r="D14" i="149"/>
  <c r="D15" i="149"/>
  <c r="D16" i="149"/>
  <c r="D17" i="149"/>
  <c r="D18" i="149"/>
  <c r="D19" i="149"/>
  <c r="D20" i="149"/>
  <c r="D21" i="149"/>
  <c r="D22" i="149"/>
  <c r="D23" i="149"/>
  <c r="D24" i="149"/>
  <c r="D25" i="149"/>
  <c r="D26" i="149"/>
  <c r="D27" i="149"/>
  <c r="D28" i="149"/>
  <c r="D29" i="149"/>
  <c r="D30" i="149"/>
  <c r="D31" i="149"/>
  <c r="D32" i="149"/>
  <c r="D33" i="149"/>
  <c r="D34" i="149"/>
  <c r="D35" i="149"/>
  <c r="D36" i="149"/>
  <c r="D37" i="149"/>
  <c r="D38" i="149"/>
  <c r="D39" i="149"/>
  <c r="D40" i="149"/>
  <c r="D41" i="149"/>
  <c r="D42" i="149"/>
  <c r="D43" i="149"/>
  <c r="D44" i="149"/>
  <c r="D45" i="149"/>
  <c r="D46" i="149"/>
  <c r="D47" i="149"/>
  <c r="D48" i="149"/>
  <c r="D49" i="149"/>
  <c r="D50" i="149"/>
  <c r="D51" i="149"/>
  <c r="D52" i="149"/>
  <c r="D53" i="149"/>
  <c r="D54" i="149"/>
  <c r="D55" i="149"/>
  <c r="D56" i="149"/>
  <c r="D57" i="149"/>
  <c r="D58" i="149"/>
  <c r="D59" i="149"/>
  <c r="D60" i="149"/>
  <c r="D61" i="149"/>
  <c r="D62" i="149"/>
  <c r="D3" i="149"/>
  <c r="B23" i="148"/>
  <c r="J23" i="148"/>
  <c r="J22" i="148"/>
  <c r="J21" i="148"/>
  <c r="J20" i="148"/>
  <c r="J19" i="148"/>
  <c r="J4" i="148"/>
  <c r="J5" i="148"/>
  <c r="J6" i="148"/>
  <c r="J7" i="148"/>
  <c r="J8" i="148"/>
  <c r="J9" i="148"/>
  <c r="J10" i="148"/>
  <c r="J11" i="148"/>
  <c r="J12" i="148"/>
  <c r="J13" i="148"/>
  <c r="J14" i="148"/>
  <c r="J15" i="148"/>
  <c r="J16" i="148"/>
  <c r="J17" i="148"/>
  <c r="J18" i="148"/>
  <c r="J3" i="148"/>
  <c r="I4" i="148"/>
  <c r="I5" i="148"/>
  <c r="I6" i="148"/>
  <c r="I7" i="148"/>
  <c r="I8" i="148"/>
  <c r="I9" i="148"/>
  <c r="I10" i="148"/>
  <c r="I11" i="148"/>
  <c r="I12" i="148"/>
  <c r="I13" i="148"/>
  <c r="I14" i="148"/>
  <c r="I15" i="148"/>
  <c r="I16" i="148"/>
  <c r="I17" i="148"/>
  <c r="I18" i="148"/>
  <c r="I3" i="148"/>
  <c r="H4" i="148"/>
  <c r="H5" i="148"/>
  <c r="H6" i="148"/>
  <c r="H7" i="148"/>
  <c r="H8" i="148"/>
  <c r="H9" i="148"/>
  <c r="H10" i="148"/>
  <c r="H11" i="148"/>
  <c r="H12" i="148"/>
  <c r="H13" i="148"/>
  <c r="H14" i="148"/>
  <c r="H15" i="148"/>
  <c r="H16" i="148"/>
  <c r="H17" i="148"/>
  <c r="H18" i="148"/>
  <c r="H3" i="148"/>
  <c r="G4" i="148"/>
  <c r="G5" i="148"/>
  <c r="G6" i="148"/>
  <c r="G7" i="148"/>
  <c r="G8" i="148"/>
  <c r="G9" i="148"/>
  <c r="G10" i="148"/>
  <c r="G11" i="148"/>
  <c r="G12" i="148"/>
  <c r="G13" i="148"/>
  <c r="G14" i="148"/>
  <c r="G15" i="148"/>
  <c r="G16" i="148"/>
  <c r="G17" i="148"/>
  <c r="G18" i="148"/>
  <c r="G3" i="148"/>
  <c r="F4" i="148"/>
  <c r="F5" i="148"/>
  <c r="F6" i="148"/>
  <c r="F7" i="148"/>
  <c r="F8" i="148"/>
  <c r="F9" i="148"/>
  <c r="F10" i="148"/>
  <c r="F11" i="148"/>
  <c r="F12" i="148"/>
  <c r="F13" i="148"/>
  <c r="F14" i="148"/>
  <c r="F15" i="148"/>
  <c r="F16" i="148"/>
  <c r="F17" i="148"/>
  <c r="F18" i="148"/>
  <c r="F3" i="148"/>
  <c r="E4" i="148"/>
  <c r="E5" i="148"/>
  <c r="E6" i="148"/>
  <c r="E7" i="148"/>
  <c r="E8" i="148"/>
  <c r="E9" i="148"/>
  <c r="E10" i="148"/>
  <c r="E11" i="148"/>
  <c r="E12" i="148"/>
  <c r="E13" i="148"/>
  <c r="E14" i="148"/>
  <c r="E15" i="148"/>
  <c r="E16" i="148"/>
  <c r="E17" i="148"/>
  <c r="E18" i="148"/>
  <c r="E3" i="148"/>
  <c r="D4" i="148"/>
  <c r="D5" i="148"/>
  <c r="D6" i="148"/>
  <c r="D7" i="148"/>
  <c r="D8" i="148"/>
  <c r="D9" i="148"/>
  <c r="D10" i="148"/>
  <c r="D11" i="148"/>
  <c r="D12" i="148"/>
  <c r="D13" i="148"/>
  <c r="D14" i="148"/>
  <c r="D15" i="148"/>
  <c r="D16" i="148"/>
  <c r="D17" i="148"/>
  <c r="D18" i="148"/>
  <c r="D3" i="148"/>
  <c r="B13" i="147"/>
  <c r="J13" i="147"/>
  <c r="J12" i="147"/>
  <c r="J11" i="147"/>
  <c r="J10" i="147"/>
  <c r="J9" i="147"/>
  <c r="I4" i="147"/>
  <c r="I5" i="147"/>
  <c r="I6" i="147"/>
  <c r="I7" i="147"/>
  <c r="I8" i="147"/>
  <c r="I3" i="147"/>
  <c r="G4" i="147"/>
  <c r="G5" i="147"/>
  <c r="G6" i="147"/>
  <c r="G7" i="147"/>
  <c r="G8" i="147"/>
  <c r="G3" i="147"/>
  <c r="E4" i="147"/>
  <c r="E5" i="147"/>
  <c r="E6" i="147"/>
  <c r="E7" i="147"/>
  <c r="E8" i="147"/>
  <c r="E3" i="147"/>
  <c r="F3" i="147" s="1"/>
  <c r="H3" i="147" s="1"/>
  <c r="J3" i="147" s="1"/>
  <c r="F8" i="147"/>
  <c r="D8" i="147"/>
  <c r="D7" i="147"/>
  <c r="D6" i="147"/>
  <c r="F6" i="147" s="1"/>
  <c r="H6" i="147" s="1"/>
  <c r="J6" i="147" s="1"/>
  <c r="F5" i="147"/>
  <c r="H5" i="147" s="1"/>
  <c r="D5" i="147"/>
  <c r="F4" i="147"/>
  <c r="H4" i="147" s="1"/>
  <c r="J4" i="147" s="1"/>
  <c r="D4" i="147"/>
  <c r="D3" i="147"/>
  <c r="E4" i="146"/>
  <c r="E5" i="146"/>
  <c r="F5" i="146" s="1"/>
  <c r="G5" i="146" s="1"/>
  <c r="E6" i="146"/>
  <c r="E7" i="146"/>
  <c r="E8" i="146"/>
  <c r="E9" i="146"/>
  <c r="F9" i="146" s="1"/>
  <c r="G9" i="146" s="1"/>
  <c r="H9" i="146" s="1"/>
  <c r="J9" i="146" s="1"/>
  <c r="E10" i="146"/>
  <c r="E11" i="146"/>
  <c r="F11" i="146" s="1"/>
  <c r="G11" i="146" s="1"/>
  <c r="H11" i="146" s="1"/>
  <c r="E12" i="146"/>
  <c r="E3" i="146"/>
  <c r="I4" i="146"/>
  <c r="I5" i="146"/>
  <c r="I6" i="146"/>
  <c r="I7" i="146"/>
  <c r="I8" i="146"/>
  <c r="I9" i="146"/>
  <c r="I10" i="146"/>
  <c r="I11" i="146"/>
  <c r="I12" i="146"/>
  <c r="J14" i="146" s="1"/>
  <c r="I3" i="146"/>
  <c r="F4" i="146"/>
  <c r="G4" i="146" s="1"/>
  <c r="H4" i="146" s="1"/>
  <c r="J4" i="146" s="1"/>
  <c r="F6" i="146"/>
  <c r="G6" i="146" s="1"/>
  <c r="H6" i="146" s="1"/>
  <c r="F7" i="146"/>
  <c r="G7" i="146" s="1"/>
  <c r="H7" i="146" s="1"/>
  <c r="J7" i="146" s="1"/>
  <c r="F8" i="146"/>
  <c r="G8" i="146" s="1"/>
  <c r="H8" i="146" s="1"/>
  <c r="F10" i="146"/>
  <c r="G10" i="146" s="1"/>
  <c r="H10" i="146" s="1"/>
  <c r="J10" i="146" s="1"/>
  <c r="F12" i="146"/>
  <c r="G12" i="146" s="1"/>
  <c r="H12" i="146" s="1"/>
  <c r="J12" i="146" s="1"/>
  <c r="F3" i="146"/>
  <c r="G3" i="146" s="1"/>
  <c r="H3" i="146" s="1"/>
  <c r="D4" i="146"/>
  <c r="D5" i="146"/>
  <c r="D6" i="146"/>
  <c r="D7" i="146"/>
  <c r="D8" i="146"/>
  <c r="D9" i="146"/>
  <c r="D10" i="146"/>
  <c r="D11" i="146"/>
  <c r="D12" i="146"/>
  <c r="D3" i="146"/>
  <c r="B24" i="145"/>
  <c r="I22" i="145"/>
  <c r="I21" i="145"/>
  <c r="I20" i="145"/>
  <c r="I19" i="145"/>
  <c r="I18" i="145"/>
  <c r="I3" i="145"/>
  <c r="I4" i="145"/>
  <c r="I5" i="145"/>
  <c r="I6" i="145"/>
  <c r="I7" i="145"/>
  <c r="I8" i="145"/>
  <c r="I9" i="145"/>
  <c r="I10" i="145"/>
  <c r="I11" i="145"/>
  <c r="I12" i="145"/>
  <c r="I13" i="145"/>
  <c r="I14" i="145"/>
  <c r="I15" i="145"/>
  <c r="I16" i="145"/>
  <c r="I17" i="145"/>
  <c r="I2" i="145"/>
  <c r="H3" i="145"/>
  <c r="H4" i="145"/>
  <c r="H5" i="145"/>
  <c r="H6" i="145"/>
  <c r="H7" i="145"/>
  <c r="H8" i="145"/>
  <c r="H9" i="145"/>
  <c r="H10" i="145"/>
  <c r="H11" i="145"/>
  <c r="H12" i="145"/>
  <c r="H13" i="145"/>
  <c r="H14" i="145"/>
  <c r="H15" i="145"/>
  <c r="H16" i="145"/>
  <c r="H17" i="145"/>
  <c r="H2" i="145"/>
  <c r="B21" i="145"/>
  <c r="G3" i="145"/>
  <c r="G4" i="145"/>
  <c r="G5" i="145"/>
  <c r="G6" i="145"/>
  <c r="G7" i="145"/>
  <c r="G8" i="145"/>
  <c r="G9" i="145"/>
  <c r="G10" i="145"/>
  <c r="G11" i="145"/>
  <c r="G12" i="145"/>
  <c r="G13" i="145"/>
  <c r="G14" i="145"/>
  <c r="G15" i="145"/>
  <c r="G16" i="145"/>
  <c r="G17" i="145"/>
  <c r="G2" i="145"/>
  <c r="F3" i="145"/>
  <c r="F4" i="145"/>
  <c r="F5" i="145"/>
  <c r="F6" i="145"/>
  <c r="F7" i="145"/>
  <c r="F8" i="145"/>
  <c r="F9" i="145"/>
  <c r="F10" i="145"/>
  <c r="F11" i="145"/>
  <c r="F12" i="145"/>
  <c r="F13" i="145"/>
  <c r="F14" i="145"/>
  <c r="F15" i="145"/>
  <c r="F16" i="145"/>
  <c r="F17" i="145"/>
  <c r="F2" i="145"/>
  <c r="E3" i="145"/>
  <c r="E4" i="145"/>
  <c r="E5" i="145"/>
  <c r="E6" i="145"/>
  <c r="E7" i="145"/>
  <c r="E8" i="145"/>
  <c r="E9" i="145"/>
  <c r="E10" i="145"/>
  <c r="E11" i="145"/>
  <c r="E12" i="145"/>
  <c r="E13" i="145"/>
  <c r="E14" i="145"/>
  <c r="E15" i="145"/>
  <c r="E16" i="145"/>
  <c r="E17" i="145"/>
  <c r="E2" i="145"/>
  <c r="C3" i="145"/>
  <c r="C4" i="145"/>
  <c r="C5" i="145"/>
  <c r="C6" i="145"/>
  <c r="C7" i="145"/>
  <c r="C8" i="145"/>
  <c r="C9" i="145"/>
  <c r="C10" i="145"/>
  <c r="C11" i="145"/>
  <c r="C12" i="145"/>
  <c r="C13" i="145"/>
  <c r="C14" i="145"/>
  <c r="C15" i="145"/>
  <c r="C16" i="145"/>
  <c r="C17" i="145"/>
  <c r="C2" i="145"/>
  <c r="B17" i="144"/>
  <c r="J17" i="144"/>
  <c r="J16" i="144"/>
  <c r="J15" i="144"/>
  <c r="J14" i="144"/>
  <c r="J13" i="144"/>
  <c r="J4" i="144"/>
  <c r="J5" i="144"/>
  <c r="J6" i="144"/>
  <c r="J7" i="144"/>
  <c r="J8" i="144"/>
  <c r="J9" i="144"/>
  <c r="J10" i="144"/>
  <c r="J11" i="144"/>
  <c r="J12" i="144"/>
  <c r="J3" i="144"/>
  <c r="I4" i="144"/>
  <c r="I5" i="144"/>
  <c r="I6" i="144"/>
  <c r="I7" i="144"/>
  <c r="I8" i="144"/>
  <c r="I9" i="144"/>
  <c r="I10" i="144"/>
  <c r="I11" i="144"/>
  <c r="I12" i="144"/>
  <c r="I3" i="144"/>
  <c r="H4" i="144"/>
  <c r="H5" i="144"/>
  <c r="H6" i="144"/>
  <c r="H7" i="144"/>
  <c r="H8" i="144"/>
  <c r="H9" i="144"/>
  <c r="H10" i="144"/>
  <c r="H11" i="144"/>
  <c r="H12" i="144"/>
  <c r="H3" i="144"/>
  <c r="G4" i="144"/>
  <c r="G5" i="144"/>
  <c r="G6" i="144"/>
  <c r="G7" i="144"/>
  <c r="G8" i="144"/>
  <c r="G9" i="144"/>
  <c r="G10" i="144"/>
  <c r="G11" i="144"/>
  <c r="G12" i="144"/>
  <c r="G3" i="144"/>
  <c r="F4" i="144"/>
  <c r="F5" i="144"/>
  <c r="F6" i="144"/>
  <c r="F7" i="144"/>
  <c r="F8" i="144"/>
  <c r="F9" i="144"/>
  <c r="F10" i="144"/>
  <c r="F11" i="144"/>
  <c r="F12" i="144"/>
  <c r="F3" i="144"/>
  <c r="E4" i="144"/>
  <c r="E5" i="144"/>
  <c r="E6" i="144"/>
  <c r="E7" i="144"/>
  <c r="E8" i="144"/>
  <c r="E9" i="144"/>
  <c r="E10" i="144"/>
  <c r="E11" i="144"/>
  <c r="E12" i="144"/>
  <c r="E3" i="144"/>
  <c r="D4" i="144"/>
  <c r="D5" i="144"/>
  <c r="D6" i="144"/>
  <c r="D7" i="144"/>
  <c r="D8" i="144"/>
  <c r="D9" i="144"/>
  <c r="D10" i="144"/>
  <c r="D11" i="144"/>
  <c r="D12" i="144"/>
  <c r="D3" i="144"/>
  <c r="B27" i="143"/>
  <c r="J27" i="143"/>
  <c r="J26" i="143"/>
  <c r="J25" i="143"/>
  <c r="J24" i="143"/>
  <c r="J23" i="143"/>
  <c r="J4" i="143"/>
  <c r="J5" i="143"/>
  <c r="J6" i="143"/>
  <c r="J7" i="143"/>
  <c r="J8" i="143"/>
  <c r="J9" i="143"/>
  <c r="J10" i="143"/>
  <c r="J11" i="143"/>
  <c r="J12" i="143"/>
  <c r="J13" i="143"/>
  <c r="J14" i="143"/>
  <c r="J15" i="143"/>
  <c r="J16" i="143"/>
  <c r="J17" i="143"/>
  <c r="J18" i="143"/>
  <c r="J19" i="143"/>
  <c r="J20" i="143"/>
  <c r="J21" i="143"/>
  <c r="J22" i="143"/>
  <c r="J3" i="143"/>
  <c r="I4" i="143"/>
  <c r="I5" i="143"/>
  <c r="I6" i="143"/>
  <c r="I7" i="143"/>
  <c r="I8" i="143"/>
  <c r="I9" i="143"/>
  <c r="I10" i="143"/>
  <c r="I11" i="143"/>
  <c r="I12" i="143"/>
  <c r="I13" i="143"/>
  <c r="I14" i="143"/>
  <c r="I15" i="143"/>
  <c r="I16" i="143"/>
  <c r="I17" i="143"/>
  <c r="I18" i="143"/>
  <c r="I19" i="143"/>
  <c r="I20" i="143"/>
  <c r="I21" i="143"/>
  <c r="I22" i="143"/>
  <c r="I3" i="143"/>
  <c r="H4" i="143"/>
  <c r="H5" i="143"/>
  <c r="H6" i="143"/>
  <c r="H7" i="143"/>
  <c r="H8" i="143"/>
  <c r="H9" i="143"/>
  <c r="H10" i="143"/>
  <c r="H11" i="143"/>
  <c r="H12" i="143"/>
  <c r="H13" i="143"/>
  <c r="H14" i="143"/>
  <c r="H15" i="143"/>
  <c r="H16" i="143"/>
  <c r="H17" i="143"/>
  <c r="H18" i="143"/>
  <c r="H19" i="143"/>
  <c r="H20" i="143"/>
  <c r="H21" i="143"/>
  <c r="H22" i="143"/>
  <c r="H3" i="143"/>
  <c r="G4" i="143"/>
  <c r="G5" i="143"/>
  <c r="G6" i="143"/>
  <c r="G7" i="143"/>
  <c r="G8" i="143"/>
  <c r="G9" i="143"/>
  <c r="G10" i="143"/>
  <c r="G11" i="143"/>
  <c r="G12" i="143"/>
  <c r="G13" i="143"/>
  <c r="G14" i="143"/>
  <c r="G15" i="143"/>
  <c r="G16" i="143"/>
  <c r="G17" i="143"/>
  <c r="G18" i="143"/>
  <c r="G19" i="143"/>
  <c r="G20" i="143"/>
  <c r="G21" i="143"/>
  <c r="G22" i="143"/>
  <c r="G3" i="143"/>
  <c r="F4" i="143"/>
  <c r="F5" i="143"/>
  <c r="F6" i="143"/>
  <c r="F7" i="143"/>
  <c r="F8" i="143"/>
  <c r="F9" i="143"/>
  <c r="F10" i="143"/>
  <c r="F11" i="143"/>
  <c r="F12" i="143"/>
  <c r="F13" i="143"/>
  <c r="F14" i="143"/>
  <c r="F15" i="143"/>
  <c r="F16" i="143"/>
  <c r="F17" i="143"/>
  <c r="F18" i="143"/>
  <c r="F19" i="143"/>
  <c r="F20" i="143"/>
  <c r="F21" i="143"/>
  <c r="F22" i="143"/>
  <c r="F3" i="143"/>
  <c r="E4" i="143"/>
  <c r="E5" i="143"/>
  <c r="E6" i="143"/>
  <c r="E7" i="143"/>
  <c r="E8" i="143"/>
  <c r="E9" i="143"/>
  <c r="E10" i="143"/>
  <c r="E11" i="143"/>
  <c r="E12" i="143"/>
  <c r="E13" i="143"/>
  <c r="E14" i="143"/>
  <c r="E15" i="143"/>
  <c r="E16" i="143"/>
  <c r="E17" i="143"/>
  <c r="E18" i="143"/>
  <c r="E19" i="143"/>
  <c r="E20" i="143"/>
  <c r="E21" i="143"/>
  <c r="E22" i="143"/>
  <c r="E3" i="143"/>
  <c r="D4" i="143"/>
  <c r="D5" i="143"/>
  <c r="D6" i="143"/>
  <c r="D7" i="143"/>
  <c r="D8" i="143"/>
  <c r="D9" i="143"/>
  <c r="D10" i="143"/>
  <c r="D11" i="143"/>
  <c r="D12" i="143"/>
  <c r="D13" i="143"/>
  <c r="D14" i="143"/>
  <c r="D15" i="143"/>
  <c r="D16" i="143"/>
  <c r="D17" i="143"/>
  <c r="D18" i="143"/>
  <c r="D19" i="143"/>
  <c r="D20" i="143"/>
  <c r="D21" i="143"/>
  <c r="D22" i="143"/>
  <c r="D3" i="143"/>
  <c r="B17" i="138"/>
  <c r="J17" i="138"/>
  <c r="J16" i="138"/>
  <c r="J15" i="138"/>
  <c r="J14" i="138"/>
  <c r="J13" i="138"/>
  <c r="J4" i="138"/>
  <c r="J5" i="138"/>
  <c r="J6" i="138"/>
  <c r="J7" i="138"/>
  <c r="J8" i="138"/>
  <c r="J9" i="138"/>
  <c r="J10" i="138"/>
  <c r="J11" i="138"/>
  <c r="J12" i="138"/>
  <c r="J3" i="138"/>
  <c r="I4" i="138"/>
  <c r="I5" i="138"/>
  <c r="I6" i="138"/>
  <c r="I7" i="138"/>
  <c r="I8" i="138"/>
  <c r="I9" i="138"/>
  <c r="I10" i="138"/>
  <c r="I11" i="138"/>
  <c r="I12" i="138"/>
  <c r="I3" i="138"/>
  <c r="H4" i="138"/>
  <c r="H5" i="138"/>
  <c r="H6" i="138"/>
  <c r="H7" i="138"/>
  <c r="H8" i="138"/>
  <c r="H9" i="138"/>
  <c r="H10" i="138"/>
  <c r="H11" i="138"/>
  <c r="H12" i="138"/>
  <c r="H3" i="138"/>
  <c r="G4" i="138"/>
  <c r="G5" i="138"/>
  <c r="G6" i="138"/>
  <c r="G7" i="138"/>
  <c r="G8" i="138"/>
  <c r="G9" i="138"/>
  <c r="G10" i="138"/>
  <c r="G11" i="138"/>
  <c r="G12" i="138"/>
  <c r="G3" i="138"/>
  <c r="F4" i="138"/>
  <c r="F5" i="138"/>
  <c r="F6" i="138"/>
  <c r="F7" i="138"/>
  <c r="F8" i="138"/>
  <c r="F9" i="138"/>
  <c r="F10" i="138"/>
  <c r="F11" i="138"/>
  <c r="F12" i="138"/>
  <c r="F3" i="138"/>
  <c r="E4" i="138"/>
  <c r="E5" i="138"/>
  <c r="E6" i="138"/>
  <c r="E7" i="138"/>
  <c r="E8" i="138"/>
  <c r="E9" i="138"/>
  <c r="E10" i="138"/>
  <c r="E11" i="138"/>
  <c r="E12" i="138"/>
  <c r="E3" i="138"/>
  <c r="D4" i="138"/>
  <c r="D5" i="138"/>
  <c r="D6" i="138"/>
  <c r="D7" i="138"/>
  <c r="D8" i="138"/>
  <c r="D9" i="138"/>
  <c r="D10" i="138"/>
  <c r="D11" i="138"/>
  <c r="D12" i="138"/>
  <c r="D3" i="138"/>
  <c r="B19" i="137"/>
  <c r="J19" i="137"/>
  <c r="J18" i="137"/>
  <c r="J17" i="137"/>
  <c r="J16" i="137"/>
  <c r="J15" i="137"/>
  <c r="J4" i="137"/>
  <c r="J5" i="137"/>
  <c r="J6" i="137"/>
  <c r="J7" i="137"/>
  <c r="J8" i="137"/>
  <c r="J9" i="137"/>
  <c r="J10" i="137"/>
  <c r="J11" i="137"/>
  <c r="J12" i="137"/>
  <c r="J13" i="137"/>
  <c r="J14" i="137"/>
  <c r="J3" i="137"/>
  <c r="I4" i="137"/>
  <c r="I5" i="137"/>
  <c r="I6" i="137"/>
  <c r="I7" i="137"/>
  <c r="I8" i="137"/>
  <c r="I9" i="137"/>
  <c r="I10" i="137"/>
  <c r="I11" i="137"/>
  <c r="I12" i="137"/>
  <c r="I13" i="137"/>
  <c r="I14" i="137"/>
  <c r="I3" i="137"/>
  <c r="H4" i="137"/>
  <c r="H5" i="137"/>
  <c r="H6" i="137"/>
  <c r="H7" i="137"/>
  <c r="H8" i="137"/>
  <c r="H9" i="137"/>
  <c r="H10" i="137"/>
  <c r="H11" i="137"/>
  <c r="H12" i="137"/>
  <c r="H13" i="137"/>
  <c r="H14" i="137"/>
  <c r="H3" i="137"/>
  <c r="G4" i="137"/>
  <c r="G5" i="137"/>
  <c r="G6" i="137"/>
  <c r="G7" i="137"/>
  <c r="G8" i="137"/>
  <c r="G9" i="137"/>
  <c r="G10" i="137"/>
  <c r="G11" i="137"/>
  <c r="G12" i="137"/>
  <c r="G13" i="137"/>
  <c r="G14" i="137"/>
  <c r="G3" i="137"/>
  <c r="E4" i="137"/>
  <c r="E5" i="137"/>
  <c r="E6" i="137"/>
  <c r="E7" i="137"/>
  <c r="E8" i="137"/>
  <c r="E9" i="137"/>
  <c r="E10" i="137"/>
  <c r="E11" i="137"/>
  <c r="E12" i="137"/>
  <c r="E13" i="137"/>
  <c r="E14" i="137"/>
  <c r="E3" i="137"/>
  <c r="D4" i="137"/>
  <c r="D5" i="137"/>
  <c r="F5" i="137" s="1"/>
  <c r="D6" i="137"/>
  <c r="F6" i="137" s="1"/>
  <c r="D7" i="137"/>
  <c r="F7" i="137" s="1"/>
  <c r="D8" i="137"/>
  <c r="F8" i="137" s="1"/>
  <c r="D9" i="137"/>
  <c r="F9" i="137" s="1"/>
  <c r="D10" i="137"/>
  <c r="D11" i="137"/>
  <c r="D12" i="137"/>
  <c r="D13" i="137"/>
  <c r="F13" i="137" s="1"/>
  <c r="D14" i="137"/>
  <c r="F14" i="137" s="1"/>
  <c r="D3" i="137"/>
  <c r="F3" i="137" s="1"/>
  <c r="B28" i="136"/>
  <c r="I26" i="136"/>
  <c r="I25" i="136"/>
  <c r="I24" i="136"/>
  <c r="I23" i="136"/>
  <c r="I22" i="136"/>
  <c r="I3" i="136"/>
  <c r="I4" i="136"/>
  <c r="I5" i="136"/>
  <c r="I6" i="136"/>
  <c r="I7" i="136"/>
  <c r="I8" i="136"/>
  <c r="I9" i="136"/>
  <c r="I10" i="136"/>
  <c r="I11" i="136"/>
  <c r="I12" i="136"/>
  <c r="I13" i="136"/>
  <c r="I14" i="136"/>
  <c r="I15" i="136"/>
  <c r="I16" i="136"/>
  <c r="I17" i="136"/>
  <c r="I18" i="136"/>
  <c r="I19" i="136"/>
  <c r="I20" i="136"/>
  <c r="I21" i="136"/>
  <c r="I2" i="136"/>
  <c r="H3" i="136"/>
  <c r="H4" i="136"/>
  <c r="H5" i="136"/>
  <c r="H6" i="136"/>
  <c r="H7" i="136"/>
  <c r="H8" i="136"/>
  <c r="H9" i="136"/>
  <c r="H10" i="136"/>
  <c r="H11" i="136"/>
  <c r="H12" i="136"/>
  <c r="H13" i="136"/>
  <c r="H14" i="136"/>
  <c r="H15" i="136"/>
  <c r="H16" i="136"/>
  <c r="H17" i="136"/>
  <c r="H18" i="136"/>
  <c r="H19" i="136"/>
  <c r="H20" i="136"/>
  <c r="H21" i="136"/>
  <c r="H2" i="136"/>
  <c r="G3" i="136"/>
  <c r="G4" i="136"/>
  <c r="G5" i="136"/>
  <c r="G6" i="136"/>
  <c r="G7" i="136"/>
  <c r="G8" i="136"/>
  <c r="G9" i="136"/>
  <c r="G10" i="136"/>
  <c r="G11" i="136"/>
  <c r="G12" i="136"/>
  <c r="G13" i="136"/>
  <c r="G14" i="136"/>
  <c r="G15" i="136"/>
  <c r="G16" i="136"/>
  <c r="G17" i="136"/>
  <c r="G18" i="136"/>
  <c r="G19" i="136"/>
  <c r="G20" i="136"/>
  <c r="G21" i="136"/>
  <c r="G2" i="136"/>
  <c r="F3" i="136"/>
  <c r="F4" i="136"/>
  <c r="F5" i="136"/>
  <c r="F6" i="136"/>
  <c r="F7" i="136"/>
  <c r="F8" i="136"/>
  <c r="F9" i="136"/>
  <c r="F10" i="136"/>
  <c r="F11" i="136"/>
  <c r="F12" i="136"/>
  <c r="F13" i="136"/>
  <c r="F14" i="136"/>
  <c r="F15" i="136"/>
  <c r="F16" i="136"/>
  <c r="F17" i="136"/>
  <c r="F18" i="136"/>
  <c r="F19" i="136"/>
  <c r="F20" i="136"/>
  <c r="F21" i="136"/>
  <c r="F2" i="136"/>
  <c r="B25" i="136"/>
  <c r="E3" i="136"/>
  <c r="E4" i="136"/>
  <c r="E5" i="136"/>
  <c r="E6" i="136"/>
  <c r="E7" i="136"/>
  <c r="E8" i="136"/>
  <c r="E9" i="136"/>
  <c r="E10" i="136"/>
  <c r="E11" i="136"/>
  <c r="E12" i="136"/>
  <c r="E13" i="136"/>
  <c r="E14" i="136"/>
  <c r="E15" i="136"/>
  <c r="E16" i="136"/>
  <c r="E17" i="136"/>
  <c r="E18" i="136"/>
  <c r="E19" i="136"/>
  <c r="E20" i="136"/>
  <c r="E21" i="136"/>
  <c r="E2" i="136"/>
  <c r="C3" i="136"/>
  <c r="C4" i="136"/>
  <c r="C5" i="136"/>
  <c r="C6" i="136"/>
  <c r="C7" i="136"/>
  <c r="C8" i="136"/>
  <c r="C9" i="136"/>
  <c r="C10" i="136"/>
  <c r="C11" i="136"/>
  <c r="C12" i="136"/>
  <c r="C13" i="136"/>
  <c r="C14" i="136"/>
  <c r="C15" i="136"/>
  <c r="C16" i="136"/>
  <c r="C17" i="136"/>
  <c r="C18" i="136"/>
  <c r="C19" i="136"/>
  <c r="C20" i="136"/>
  <c r="C21" i="136"/>
  <c r="C2" i="136"/>
  <c r="B28" i="134"/>
  <c r="I26" i="134"/>
  <c r="I25" i="134"/>
  <c r="I24" i="134"/>
  <c r="I23" i="134"/>
  <c r="I22" i="134"/>
  <c r="I3" i="134"/>
  <c r="I4" i="134"/>
  <c r="I5" i="134"/>
  <c r="I6" i="134"/>
  <c r="I7" i="134"/>
  <c r="I8" i="134"/>
  <c r="I9" i="134"/>
  <c r="I10" i="134"/>
  <c r="I11" i="134"/>
  <c r="I12" i="134"/>
  <c r="I13" i="134"/>
  <c r="I14" i="134"/>
  <c r="I15" i="134"/>
  <c r="I16" i="134"/>
  <c r="I17" i="134"/>
  <c r="I18" i="134"/>
  <c r="I19" i="134"/>
  <c r="I20" i="134"/>
  <c r="I21" i="134"/>
  <c r="I2" i="134"/>
  <c r="H3" i="134"/>
  <c r="H4" i="134"/>
  <c r="H5" i="134"/>
  <c r="H6" i="134"/>
  <c r="H7" i="134"/>
  <c r="H8" i="134"/>
  <c r="H9" i="134"/>
  <c r="H10" i="134"/>
  <c r="H11" i="134"/>
  <c r="H12" i="134"/>
  <c r="H13" i="134"/>
  <c r="H14" i="134"/>
  <c r="H15" i="134"/>
  <c r="H16" i="134"/>
  <c r="H17" i="134"/>
  <c r="H18" i="134"/>
  <c r="H19" i="134"/>
  <c r="H20" i="134"/>
  <c r="H21" i="134"/>
  <c r="H2" i="134"/>
  <c r="G3" i="134"/>
  <c r="G4" i="134"/>
  <c r="G5" i="134"/>
  <c r="G6" i="134"/>
  <c r="G7" i="134"/>
  <c r="G8" i="134"/>
  <c r="G9" i="134"/>
  <c r="G10" i="134"/>
  <c r="G11" i="134"/>
  <c r="G12" i="134"/>
  <c r="G13" i="134"/>
  <c r="G14" i="134"/>
  <c r="G15" i="134"/>
  <c r="G16" i="134"/>
  <c r="G17" i="134"/>
  <c r="G18" i="134"/>
  <c r="G19" i="134"/>
  <c r="G20" i="134"/>
  <c r="G21" i="134"/>
  <c r="G2" i="134"/>
  <c r="F3" i="134"/>
  <c r="F4" i="134"/>
  <c r="F5" i="134"/>
  <c r="F6" i="134"/>
  <c r="F7" i="134"/>
  <c r="F8" i="134"/>
  <c r="F9" i="134"/>
  <c r="F10" i="134"/>
  <c r="F11" i="134"/>
  <c r="F12" i="134"/>
  <c r="F13" i="134"/>
  <c r="F14" i="134"/>
  <c r="F15" i="134"/>
  <c r="F16" i="134"/>
  <c r="F17" i="134"/>
  <c r="F18" i="134"/>
  <c r="F19" i="134"/>
  <c r="F20" i="134"/>
  <c r="F21" i="134"/>
  <c r="F2" i="134"/>
  <c r="B25" i="134"/>
  <c r="E3" i="134"/>
  <c r="E4" i="134"/>
  <c r="E5" i="134"/>
  <c r="E6" i="134"/>
  <c r="E7" i="134"/>
  <c r="E8" i="134"/>
  <c r="E9" i="134"/>
  <c r="E10" i="134"/>
  <c r="E11" i="134"/>
  <c r="E12" i="134"/>
  <c r="E13" i="134"/>
  <c r="E14" i="134"/>
  <c r="E15" i="134"/>
  <c r="E16" i="134"/>
  <c r="E17" i="134"/>
  <c r="E18" i="134"/>
  <c r="E19" i="134"/>
  <c r="E20" i="134"/>
  <c r="E21" i="134"/>
  <c r="E2" i="134"/>
  <c r="C3" i="134"/>
  <c r="C4" i="134"/>
  <c r="C5" i="134"/>
  <c r="C6" i="134"/>
  <c r="C7" i="134"/>
  <c r="C8" i="134"/>
  <c r="C9" i="134"/>
  <c r="C10" i="134"/>
  <c r="C11" i="134"/>
  <c r="C12" i="134"/>
  <c r="C13" i="134"/>
  <c r="C14" i="134"/>
  <c r="C15" i="134"/>
  <c r="C16" i="134"/>
  <c r="C17" i="134"/>
  <c r="C18" i="134"/>
  <c r="C19" i="134"/>
  <c r="C20" i="134"/>
  <c r="C21" i="134"/>
  <c r="C2" i="134"/>
  <c r="D3" i="135"/>
  <c r="D4" i="135" s="1"/>
  <c r="D5" i="135" s="1"/>
  <c r="D6" i="135" s="1"/>
  <c r="D7" i="135" s="1"/>
  <c r="D8" i="135" s="1"/>
  <c r="D9" i="135" s="1"/>
  <c r="D10" i="135" s="1"/>
  <c r="D11" i="135" s="1"/>
  <c r="D12" i="135" s="1"/>
  <c r="D13" i="135" s="1"/>
  <c r="D14" i="135" s="1"/>
  <c r="D15" i="135" s="1"/>
  <c r="D16" i="135" s="1"/>
  <c r="D17" i="135" s="1"/>
  <c r="D18" i="135" s="1"/>
  <c r="D19" i="135" s="1"/>
  <c r="D20" i="135" s="1"/>
  <c r="D21" i="135" s="1"/>
  <c r="D22" i="135" s="1"/>
  <c r="D23" i="135" s="1"/>
  <c r="D24" i="135" s="1"/>
  <c r="D25" i="135" s="1"/>
  <c r="D26" i="135" s="1"/>
  <c r="D27" i="135" s="1"/>
  <c r="D28" i="135" s="1"/>
  <c r="D29" i="135" s="1"/>
  <c r="D30" i="135" s="1"/>
  <c r="D31" i="135" s="1"/>
  <c r="D32" i="135" s="1"/>
  <c r="D33" i="135" s="1"/>
  <c r="D34" i="135" s="1"/>
  <c r="D35" i="135" s="1"/>
  <c r="D36" i="135" s="1"/>
  <c r="D37" i="135" s="1"/>
  <c r="D38" i="135" s="1"/>
  <c r="D39" i="135" s="1"/>
  <c r="D40" i="135" s="1"/>
  <c r="D41" i="135" s="1"/>
  <c r="D42" i="135" s="1"/>
  <c r="D43" i="135" s="1"/>
  <c r="D44" i="135" s="1"/>
  <c r="D45" i="135" s="1"/>
  <c r="D46" i="135" s="1"/>
  <c r="D47" i="135" s="1"/>
  <c r="D48" i="135" s="1"/>
  <c r="D49" i="135" s="1"/>
  <c r="D50" i="135" s="1"/>
  <c r="D51" i="135" s="1"/>
  <c r="D52" i="135" s="1"/>
  <c r="D53" i="135" s="1"/>
  <c r="D54" i="135" s="1"/>
  <c r="D55" i="135" s="1"/>
  <c r="D56" i="135" s="1"/>
  <c r="D57" i="135" s="1"/>
  <c r="D58" i="135" s="1"/>
  <c r="D59" i="135" s="1"/>
  <c r="D60" i="135" s="1"/>
  <c r="D61" i="135" s="1"/>
  <c r="D62" i="135" s="1"/>
  <c r="D63" i="135" s="1"/>
  <c r="D64" i="135" s="1"/>
  <c r="D65" i="135" s="1"/>
  <c r="D66" i="135" s="1"/>
  <c r="D67" i="135" s="1"/>
  <c r="D68" i="135" s="1"/>
  <c r="D69" i="135" s="1"/>
  <c r="D70" i="135" s="1"/>
  <c r="D71" i="135" s="1"/>
  <c r="D72" i="135" s="1"/>
  <c r="D73" i="135" s="1"/>
  <c r="D74" i="135" s="1"/>
  <c r="D75" i="135" s="1"/>
  <c r="D76" i="135" s="1"/>
  <c r="D77" i="135" s="1"/>
  <c r="D78" i="135" s="1"/>
  <c r="D79" i="135" s="1"/>
  <c r="D80" i="135" s="1"/>
  <c r="D81" i="135" s="1"/>
  <c r="D82" i="135" s="1"/>
  <c r="D83" i="135" s="1"/>
  <c r="D84" i="135" s="1"/>
  <c r="D85" i="135" s="1"/>
  <c r="D86" i="135" s="1"/>
  <c r="D87" i="135" s="1"/>
  <c r="D88" i="135" s="1"/>
  <c r="D89" i="135" s="1"/>
  <c r="D90" i="135" s="1"/>
  <c r="D91" i="135" s="1"/>
  <c r="D92" i="135" s="1"/>
  <c r="D93" i="135" s="1"/>
  <c r="D94" i="135" s="1"/>
  <c r="D95" i="135" s="1"/>
  <c r="D96" i="135" s="1"/>
  <c r="D97" i="135" s="1"/>
  <c r="D98" i="135" s="1"/>
  <c r="D99" i="135" s="1"/>
  <c r="D100" i="135" s="1"/>
  <c r="D101" i="135" s="1"/>
  <c r="D102" i="135" s="1"/>
  <c r="D103" i="135" s="1"/>
  <c r="D104" i="135" s="1"/>
  <c r="D105" i="135" s="1"/>
  <c r="D106" i="135" s="1"/>
  <c r="D107" i="135" s="1"/>
  <c r="D108" i="135" s="1"/>
  <c r="D109" i="135" s="1"/>
  <c r="D110" i="135" s="1"/>
  <c r="D111" i="135" s="1"/>
  <c r="D112" i="135" s="1"/>
  <c r="D113" i="135" s="1"/>
  <c r="D114" i="135" s="1"/>
  <c r="D115" i="135" s="1"/>
  <c r="D116" i="135" s="1"/>
  <c r="D117" i="135" s="1"/>
  <c r="D118" i="135" s="1"/>
  <c r="D119" i="135" s="1"/>
  <c r="D120" i="135" s="1"/>
  <c r="D121" i="135" s="1"/>
  <c r="D122" i="135" s="1"/>
  <c r="B17" i="133"/>
  <c r="J17" i="133"/>
  <c r="J16" i="133"/>
  <c r="J15" i="133"/>
  <c r="J14" i="133"/>
  <c r="J13" i="133"/>
  <c r="J4" i="133"/>
  <c r="J5" i="133"/>
  <c r="J6" i="133"/>
  <c r="J7" i="133"/>
  <c r="J8" i="133"/>
  <c r="J9" i="133"/>
  <c r="J10" i="133"/>
  <c r="J11" i="133"/>
  <c r="J12" i="133"/>
  <c r="J3" i="133"/>
  <c r="I4" i="133"/>
  <c r="I5" i="133"/>
  <c r="I6" i="133"/>
  <c r="I7" i="133"/>
  <c r="I8" i="133"/>
  <c r="I9" i="133"/>
  <c r="I10" i="133"/>
  <c r="I11" i="133"/>
  <c r="I12" i="133"/>
  <c r="I3" i="133"/>
  <c r="H4" i="133"/>
  <c r="H5" i="133"/>
  <c r="H6" i="133"/>
  <c r="H7" i="133"/>
  <c r="H8" i="133"/>
  <c r="H9" i="133"/>
  <c r="H10" i="133"/>
  <c r="H11" i="133"/>
  <c r="H12" i="133"/>
  <c r="H3" i="133"/>
  <c r="G4" i="133"/>
  <c r="G5" i="133"/>
  <c r="G6" i="133"/>
  <c r="G7" i="133"/>
  <c r="G8" i="133"/>
  <c r="G9" i="133"/>
  <c r="G10" i="133"/>
  <c r="G11" i="133"/>
  <c r="G12" i="133"/>
  <c r="G3" i="133"/>
  <c r="F4" i="133"/>
  <c r="F5" i="133"/>
  <c r="F6" i="133"/>
  <c r="F7" i="133"/>
  <c r="F8" i="133"/>
  <c r="F9" i="133"/>
  <c r="F10" i="133"/>
  <c r="F11" i="133"/>
  <c r="F12" i="133"/>
  <c r="F3" i="133"/>
  <c r="E4" i="133"/>
  <c r="E5" i="133"/>
  <c r="E6" i="133"/>
  <c r="E7" i="133"/>
  <c r="E8" i="133"/>
  <c r="E9" i="133"/>
  <c r="E10" i="133"/>
  <c r="E11" i="133"/>
  <c r="E12" i="133"/>
  <c r="E3" i="133"/>
  <c r="D4" i="133"/>
  <c r="D5" i="133"/>
  <c r="D6" i="133"/>
  <c r="D7" i="133"/>
  <c r="D8" i="133"/>
  <c r="D9" i="133"/>
  <c r="D10" i="133"/>
  <c r="D11" i="133"/>
  <c r="D12" i="133"/>
  <c r="D3" i="133"/>
  <c r="B17" i="132"/>
  <c r="J17" i="132"/>
  <c r="J16" i="132"/>
  <c r="J15" i="132"/>
  <c r="J14" i="132"/>
  <c r="J13" i="132"/>
  <c r="J4" i="132"/>
  <c r="J5" i="132"/>
  <c r="J6" i="132"/>
  <c r="J7" i="132"/>
  <c r="J8" i="132"/>
  <c r="J9" i="132"/>
  <c r="J10" i="132"/>
  <c r="J11" i="132"/>
  <c r="J12" i="132"/>
  <c r="J3" i="132"/>
  <c r="I4" i="132"/>
  <c r="I5" i="132"/>
  <c r="I6" i="132"/>
  <c r="I7" i="132"/>
  <c r="I8" i="132"/>
  <c r="I9" i="132"/>
  <c r="I10" i="132"/>
  <c r="I11" i="132"/>
  <c r="I12" i="132"/>
  <c r="I3" i="132"/>
  <c r="G3" i="132"/>
  <c r="H3" i="132" s="1"/>
  <c r="H4" i="132"/>
  <c r="H5" i="132"/>
  <c r="H6" i="132"/>
  <c r="H7" i="132"/>
  <c r="H8" i="132"/>
  <c r="H9" i="132"/>
  <c r="H10" i="132"/>
  <c r="H11" i="132"/>
  <c r="H12" i="132"/>
  <c r="G4" i="132"/>
  <c r="G5" i="132"/>
  <c r="G6" i="132"/>
  <c r="G7" i="132"/>
  <c r="G8" i="132"/>
  <c r="G9" i="132"/>
  <c r="G10" i="132"/>
  <c r="G11" i="132"/>
  <c r="G12" i="132"/>
  <c r="F4" i="132"/>
  <c r="F5" i="132"/>
  <c r="F6" i="132"/>
  <c r="F7" i="132"/>
  <c r="F8" i="132"/>
  <c r="F9" i="132"/>
  <c r="F10" i="132"/>
  <c r="F11" i="132"/>
  <c r="F12" i="132"/>
  <c r="F3" i="132"/>
  <c r="E4" i="132"/>
  <c r="E5" i="132"/>
  <c r="E6" i="132"/>
  <c r="E7" i="132"/>
  <c r="E8" i="132"/>
  <c r="E9" i="132"/>
  <c r="E10" i="132"/>
  <c r="E11" i="132"/>
  <c r="E12" i="132"/>
  <c r="E3" i="132"/>
  <c r="D4" i="132"/>
  <c r="D5" i="132"/>
  <c r="D6" i="132"/>
  <c r="D7" i="132"/>
  <c r="D8" i="132"/>
  <c r="D9" i="132"/>
  <c r="D10" i="132"/>
  <c r="D11" i="132"/>
  <c r="D12" i="132"/>
  <c r="D3" i="132"/>
  <c r="B22" i="130"/>
  <c r="I20" i="130"/>
  <c r="I19" i="130"/>
  <c r="I18" i="130"/>
  <c r="I17" i="130"/>
  <c r="I16" i="130"/>
  <c r="I3" i="130"/>
  <c r="I4" i="130"/>
  <c r="I5" i="130"/>
  <c r="I6" i="130"/>
  <c r="I7" i="130"/>
  <c r="I8" i="130"/>
  <c r="I9" i="130"/>
  <c r="I10" i="130"/>
  <c r="I11" i="130"/>
  <c r="I12" i="130"/>
  <c r="I13" i="130"/>
  <c r="I14" i="130"/>
  <c r="I15" i="130"/>
  <c r="I2" i="130"/>
  <c r="H3" i="130"/>
  <c r="H4" i="130"/>
  <c r="H5" i="130"/>
  <c r="H6" i="130"/>
  <c r="H7" i="130"/>
  <c r="H8" i="130"/>
  <c r="H9" i="130"/>
  <c r="H10" i="130"/>
  <c r="H11" i="130"/>
  <c r="H12" i="130"/>
  <c r="H13" i="130"/>
  <c r="H14" i="130"/>
  <c r="H15" i="130"/>
  <c r="H2" i="130"/>
  <c r="G3" i="130"/>
  <c r="G4" i="130"/>
  <c r="G5" i="130"/>
  <c r="G6" i="130"/>
  <c r="G7" i="130"/>
  <c r="G8" i="130"/>
  <c r="G9" i="130"/>
  <c r="G10" i="130"/>
  <c r="G11" i="130"/>
  <c r="G12" i="130"/>
  <c r="G13" i="130"/>
  <c r="G14" i="130"/>
  <c r="G15" i="130"/>
  <c r="G2" i="130"/>
  <c r="F3" i="130"/>
  <c r="F4" i="130"/>
  <c r="F5" i="130"/>
  <c r="F6" i="130"/>
  <c r="F7" i="130"/>
  <c r="F8" i="130"/>
  <c r="F9" i="130"/>
  <c r="F10" i="130"/>
  <c r="F11" i="130"/>
  <c r="F12" i="130"/>
  <c r="F13" i="130"/>
  <c r="F14" i="130"/>
  <c r="F15" i="130"/>
  <c r="F2" i="130"/>
  <c r="B19" i="130"/>
  <c r="E3" i="130"/>
  <c r="E4" i="130"/>
  <c r="E5" i="130"/>
  <c r="E6" i="130"/>
  <c r="E7" i="130"/>
  <c r="E8" i="130"/>
  <c r="E9" i="130"/>
  <c r="E10" i="130"/>
  <c r="E11" i="130"/>
  <c r="E12" i="130"/>
  <c r="E13" i="130"/>
  <c r="E14" i="130"/>
  <c r="E15" i="130"/>
  <c r="E2" i="130"/>
  <c r="C3" i="130"/>
  <c r="C4" i="130"/>
  <c r="C5" i="130"/>
  <c r="C6" i="130"/>
  <c r="C7" i="130"/>
  <c r="C8" i="130"/>
  <c r="C9" i="130"/>
  <c r="C10" i="130"/>
  <c r="C11" i="130"/>
  <c r="C12" i="130"/>
  <c r="C13" i="130"/>
  <c r="C14" i="130"/>
  <c r="C15" i="130"/>
  <c r="C2" i="130"/>
  <c r="D3" i="131"/>
  <c r="D4" i="131" s="1"/>
  <c r="D5" i="131" s="1"/>
  <c r="D6" i="131" s="1"/>
  <c r="D7" i="131" s="1"/>
  <c r="D8" i="131" s="1"/>
  <c r="D9" i="131" s="1"/>
  <c r="D10" i="131" s="1"/>
  <c r="D11" i="131" s="1"/>
  <c r="D12" i="131" s="1"/>
  <c r="D13" i="131" s="1"/>
  <c r="D14" i="131" s="1"/>
  <c r="D15" i="131" s="1"/>
  <c r="D16" i="131" s="1"/>
  <c r="D17" i="131" s="1"/>
  <c r="D18" i="131" s="1"/>
  <c r="D19" i="131" s="1"/>
  <c r="D20" i="131" s="1"/>
  <c r="D21" i="131" s="1"/>
  <c r="D22" i="131" s="1"/>
  <c r="D23" i="131" s="1"/>
  <c r="D24" i="131" s="1"/>
  <c r="D25" i="131" s="1"/>
  <c r="D26" i="131" s="1"/>
  <c r="D27" i="131" s="1"/>
  <c r="D28" i="131" s="1"/>
  <c r="D29" i="131" s="1"/>
  <c r="D30" i="131" s="1"/>
  <c r="D31" i="131" s="1"/>
  <c r="D32" i="131" s="1"/>
  <c r="D33" i="131" s="1"/>
  <c r="D34" i="131" s="1"/>
  <c r="D35" i="131" s="1"/>
  <c r="D36" i="131" s="1"/>
  <c r="D37" i="131" s="1"/>
  <c r="D38" i="131" s="1"/>
  <c r="D39" i="131" s="1"/>
  <c r="D40" i="131" s="1"/>
  <c r="D41" i="131" s="1"/>
  <c r="D42" i="131" s="1"/>
  <c r="D43" i="131" s="1"/>
  <c r="D44" i="131" s="1"/>
  <c r="D45" i="131" s="1"/>
  <c r="D46" i="131" s="1"/>
  <c r="D47" i="131" s="1"/>
  <c r="D48" i="131" s="1"/>
  <c r="D49" i="131" s="1"/>
  <c r="D50" i="131" s="1"/>
  <c r="D51" i="131" s="1"/>
  <c r="D52" i="131" s="1"/>
  <c r="D53" i="131" s="1"/>
  <c r="D54" i="131" s="1"/>
  <c r="D55" i="131" s="1"/>
  <c r="D56" i="131" s="1"/>
  <c r="D57" i="131" s="1"/>
  <c r="D58" i="131" s="1"/>
  <c r="D59" i="131" s="1"/>
  <c r="D60" i="131" s="1"/>
  <c r="D61" i="131" s="1"/>
  <c r="D62" i="131" s="1"/>
  <c r="D63" i="131" s="1"/>
  <c r="D64" i="131" s="1"/>
  <c r="D65" i="131" s="1"/>
  <c r="D66" i="131" s="1"/>
  <c r="D67" i="131" s="1"/>
  <c r="D68" i="131" s="1"/>
  <c r="D69" i="131" s="1"/>
  <c r="D70" i="131" s="1"/>
  <c r="D71" i="131" s="1"/>
  <c r="D72" i="131" s="1"/>
  <c r="D73" i="131" s="1"/>
  <c r="D74" i="131" s="1"/>
  <c r="D75" i="131" s="1"/>
  <c r="D76" i="131" s="1"/>
  <c r="D77" i="131" s="1"/>
  <c r="D78" i="131" s="1"/>
  <c r="D79" i="131" s="1"/>
  <c r="D80" i="131" s="1"/>
  <c r="D81" i="131" s="1"/>
  <c r="D82" i="131" s="1"/>
  <c r="D83" i="131" s="1"/>
  <c r="D84" i="131" s="1"/>
  <c r="D85" i="131" s="1"/>
  <c r="B35" i="128"/>
  <c r="I33" i="128"/>
  <c r="I32" i="128"/>
  <c r="I31" i="128"/>
  <c r="I30" i="128"/>
  <c r="I29" i="128"/>
  <c r="I3" i="128"/>
  <c r="I4" i="128"/>
  <c r="I5" i="128"/>
  <c r="I6" i="128"/>
  <c r="I7" i="128"/>
  <c r="I8" i="128"/>
  <c r="I9" i="128"/>
  <c r="I10" i="128"/>
  <c r="I11" i="128"/>
  <c r="I12" i="128"/>
  <c r="I13" i="128"/>
  <c r="I14" i="128"/>
  <c r="I15" i="128"/>
  <c r="I16" i="128"/>
  <c r="I17" i="128"/>
  <c r="I18" i="128"/>
  <c r="I19" i="128"/>
  <c r="I20" i="128"/>
  <c r="I21" i="128"/>
  <c r="I22" i="128"/>
  <c r="I23" i="128"/>
  <c r="I24" i="128"/>
  <c r="I25" i="128"/>
  <c r="I26" i="128"/>
  <c r="I27" i="128"/>
  <c r="I28" i="128"/>
  <c r="I2" i="128"/>
  <c r="H3" i="128"/>
  <c r="H4" i="128"/>
  <c r="H5" i="128"/>
  <c r="H6" i="128"/>
  <c r="H7" i="128"/>
  <c r="H8" i="128"/>
  <c r="H9" i="128"/>
  <c r="H10" i="128"/>
  <c r="H11" i="128"/>
  <c r="H12" i="128"/>
  <c r="H13" i="128"/>
  <c r="H14" i="128"/>
  <c r="H15" i="128"/>
  <c r="H16" i="128"/>
  <c r="H17" i="128"/>
  <c r="H18" i="128"/>
  <c r="H19" i="128"/>
  <c r="H20" i="128"/>
  <c r="H21" i="128"/>
  <c r="H22" i="128"/>
  <c r="H23" i="128"/>
  <c r="H24" i="128"/>
  <c r="H25" i="128"/>
  <c r="H26" i="128"/>
  <c r="H27" i="128"/>
  <c r="H28" i="128"/>
  <c r="H2" i="128"/>
  <c r="G3" i="128"/>
  <c r="G4" i="128"/>
  <c r="G5" i="128"/>
  <c r="G6" i="128"/>
  <c r="G7" i="128"/>
  <c r="G8" i="128"/>
  <c r="G9" i="128"/>
  <c r="G10" i="128"/>
  <c r="G11" i="128"/>
  <c r="G12" i="128"/>
  <c r="G13" i="128"/>
  <c r="G14" i="128"/>
  <c r="G15" i="128"/>
  <c r="G16" i="128"/>
  <c r="G17" i="128"/>
  <c r="G18" i="128"/>
  <c r="G19" i="128"/>
  <c r="G20" i="128"/>
  <c r="G21" i="128"/>
  <c r="G22" i="128"/>
  <c r="G23" i="128"/>
  <c r="G24" i="128"/>
  <c r="G25" i="128"/>
  <c r="G26" i="128"/>
  <c r="G27" i="128"/>
  <c r="G28" i="128"/>
  <c r="G2" i="128"/>
  <c r="F3" i="128"/>
  <c r="F4" i="128"/>
  <c r="F5" i="128"/>
  <c r="F6" i="128"/>
  <c r="F7" i="128"/>
  <c r="F8" i="128"/>
  <c r="F9" i="128"/>
  <c r="F10" i="128"/>
  <c r="F11" i="128"/>
  <c r="F12" i="128"/>
  <c r="F13" i="128"/>
  <c r="F14" i="128"/>
  <c r="F15" i="128"/>
  <c r="F16" i="128"/>
  <c r="F17" i="128"/>
  <c r="F18" i="128"/>
  <c r="F19" i="128"/>
  <c r="F20" i="128"/>
  <c r="F21" i="128"/>
  <c r="F22" i="128"/>
  <c r="F23" i="128"/>
  <c r="F24" i="128"/>
  <c r="F25" i="128"/>
  <c r="F26" i="128"/>
  <c r="F27" i="128"/>
  <c r="F28" i="128"/>
  <c r="F2" i="128"/>
  <c r="B32" i="128"/>
  <c r="E3" i="128"/>
  <c r="E4" i="128"/>
  <c r="E5" i="128"/>
  <c r="E6" i="128"/>
  <c r="E7" i="128"/>
  <c r="E8" i="128"/>
  <c r="E9" i="128"/>
  <c r="E10" i="128"/>
  <c r="E11" i="128"/>
  <c r="E12" i="128"/>
  <c r="E13" i="128"/>
  <c r="E14" i="128"/>
  <c r="E15" i="128"/>
  <c r="E16" i="128"/>
  <c r="E17" i="128"/>
  <c r="E18" i="128"/>
  <c r="E19" i="128"/>
  <c r="E20" i="128"/>
  <c r="E21" i="128"/>
  <c r="E22" i="128"/>
  <c r="E23" i="128"/>
  <c r="E24" i="128"/>
  <c r="E25" i="128"/>
  <c r="E26" i="128"/>
  <c r="E27" i="128"/>
  <c r="E28" i="128"/>
  <c r="E2" i="128"/>
  <c r="C3" i="128"/>
  <c r="C4" i="128"/>
  <c r="C5" i="128"/>
  <c r="C6" i="128"/>
  <c r="C7" i="128"/>
  <c r="C8" i="128"/>
  <c r="C9" i="128"/>
  <c r="C10" i="128"/>
  <c r="C11" i="128"/>
  <c r="C12" i="128"/>
  <c r="C13" i="128"/>
  <c r="C14" i="128"/>
  <c r="C15" i="128"/>
  <c r="C16" i="128"/>
  <c r="C17" i="128"/>
  <c r="C18" i="128"/>
  <c r="C19" i="128"/>
  <c r="C20" i="128"/>
  <c r="C21" i="128"/>
  <c r="C22" i="128"/>
  <c r="C23" i="128"/>
  <c r="C24" i="128"/>
  <c r="C25" i="128"/>
  <c r="C26" i="128"/>
  <c r="C27" i="128"/>
  <c r="C28" i="128"/>
  <c r="C2" i="128"/>
  <c r="D3" i="129"/>
  <c r="D4" i="129" s="1"/>
  <c r="D5" i="129" s="1"/>
  <c r="D6" i="129" s="1"/>
  <c r="D7" i="129" s="1"/>
  <c r="D8" i="129" s="1"/>
  <c r="D9" i="129" s="1"/>
  <c r="D10" i="129" s="1"/>
  <c r="D11" i="129" s="1"/>
  <c r="D12" i="129" s="1"/>
  <c r="D13" i="129" s="1"/>
  <c r="D14" i="129" s="1"/>
  <c r="D15" i="129" s="1"/>
  <c r="D16" i="129" s="1"/>
  <c r="D17" i="129" s="1"/>
  <c r="D18" i="129" s="1"/>
  <c r="D19" i="129" s="1"/>
  <c r="D20" i="129" s="1"/>
  <c r="D21" i="129" s="1"/>
  <c r="D22" i="129" s="1"/>
  <c r="D23" i="129" s="1"/>
  <c r="D24" i="129" s="1"/>
  <c r="D25" i="129" s="1"/>
  <c r="D26" i="129" s="1"/>
  <c r="D27" i="129" s="1"/>
  <c r="D28" i="129" s="1"/>
  <c r="D29" i="129" s="1"/>
  <c r="D30" i="129" s="1"/>
  <c r="D31" i="129" s="1"/>
  <c r="D32" i="129" s="1"/>
  <c r="D33" i="129" s="1"/>
  <c r="D34" i="129" s="1"/>
  <c r="D35" i="129" s="1"/>
  <c r="D36" i="129" s="1"/>
  <c r="D37" i="129" s="1"/>
  <c r="D38" i="129" s="1"/>
  <c r="D39" i="129" s="1"/>
  <c r="D40" i="129" s="1"/>
  <c r="D41" i="129" s="1"/>
  <c r="D42" i="129" s="1"/>
  <c r="D43" i="129" s="1"/>
  <c r="D44" i="129" s="1"/>
  <c r="D45" i="129" s="1"/>
  <c r="D46" i="129" s="1"/>
  <c r="D47" i="129" s="1"/>
  <c r="D48" i="129" s="1"/>
  <c r="D49" i="129" s="1"/>
  <c r="D50" i="129" s="1"/>
  <c r="D51" i="129" s="1"/>
  <c r="D52" i="129" s="1"/>
  <c r="D53" i="129" s="1"/>
  <c r="D54" i="129" s="1"/>
  <c r="D55" i="129" s="1"/>
  <c r="D56" i="129" s="1"/>
  <c r="D57" i="129" s="1"/>
  <c r="D58" i="129" s="1"/>
  <c r="D59" i="129" s="1"/>
  <c r="D60" i="129" s="1"/>
  <c r="D61" i="129" s="1"/>
  <c r="D62" i="129" s="1"/>
  <c r="D63" i="129" s="1"/>
  <c r="D64" i="129" s="1"/>
  <c r="D65" i="129" s="1"/>
  <c r="D66" i="129" s="1"/>
  <c r="D67" i="129" s="1"/>
  <c r="D68" i="129" s="1"/>
  <c r="D69" i="129" s="1"/>
  <c r="D70" i="129" s="1"/>
  <c r="D71" i="129" s="1"/>
  <c r="D72" i="129" s="1"/>
  <c r="D73" i="129" s="1"/>
  <c r="D74" i="129" s="1"/>
  <c r="D75" i="129" s="1"/>
  <c r="D76" i="129" s="1"/>
  <c r="D77" i="129" s="1"/>
  <c r="D78" i="129" s="1"/>
  <c r="D79" i="129" s="1"/>
  <c r="D80" i="129" s="1"/>
  <c r="D81" i="129" s="1"/>
  <c r="D82" i="129" s="1"/>
  <c r="D83" i="129" s="1"/>
  <c r="D84" i="129" s="1"/>
  <c r="D85" i="129" s="1"/>
  <c r="D86" i="129" s="1"/>
  <c r="D87" i="129" s="1"/>
  <c r="D88" i="129" s="1"/>
  <c r="D89" i="129" s="1"/>
  <c r="D90" i="129" s="1"/>
  <c r="D91" i="129" s="1"/>
  <c r="D92" i="129" s="1"/>
  <c r="D93" i="129" s="1"/>
  <c r="D94" i="129" s="1"/>
  <c r="D95" i="129" s="1"/>
  <c r="D96" i="129" s="1"/>
  <c r="D97" i="129" s="1"/>
  <c r="D98" i="129" s="1"/>
  <c r="D99" i="129" s="1"/>
  <c r="D100" i="129" s="1"/>
  <c r="D101" i="129" s="1"/>
  <c r="D102" i="129" s="1"/>
  <c r="D103" i="129" s="1"/>
  <c r="D104" i="129" s="1"/>
  <c r="D105" i="129" s="1"/>
  <c r="D106" i="129" s="1"/>
  <c r="D107" i="129" s="1"/>
  <c r="D108" i="129" s="1"/>
  <c r="D109" i="129" s="1"/>
  <c r="D110" i="129" s="1"/>
  <c r="D111" i="129" s="1"/>
  <c r="D112" i="129" s="1"/>
  <c r="D113" i="129" s="1"/>
  <c r="D114" i="129" s="1"/>
  <c r="D115" i="129" s="1"/>
  <c r="D116" i="129" s="1"/>
  <c r="D117" i="129" s="1"/>
  <c r="D118" i="129" s="1"/>
  <c r="D119" i="129" s="1"/>
  <c r="D120" i="129" s="1"/>
  <c r="D121" i="129" s="1"/>
  <c r="D122" i="129" s="1"/>
  <c r="D123" i="129" s="1"/>
  <c r="D124" i="129" s="1"/>
  <c r="D125" i="129" s="1"/>
  <c r="C121" i="129"/>
  <c r="C122" i="129"/>
  <c r="C123" i="129"/>
  <c r="C124" i="129"/>
  <c r="C125" i="129"/>
  <c r="C126" i="129"/>
  <c r="C127" i="129"/>
  <c r="C128" i="129"/>
  <c r="C129" i="129"/>
  <c r="C130" i="129"/>
  <c r="C131" i="129"/>
  <c r="C132" i="129"/>
  <c r="C133" i="129"/>
  <c r="C134" i="129"/>
  <c r="C135" i="129"/>
  <c r="C136" i="129"/>
  <c r="C137" i="129"/>
  <c r="C138" i="129"/>
  <c r="C139" i="129"/>
  <c r="C140" i="129"/>
  <c r="C141" i="129"/>
  <c r="C142" i="129"/>
  <c r="C143" i="129"/>
  <c r="C144" i="129"/>
  <c r="C145" i="129"/>
  <c r="C146" i="129"/>
  <c r="C147" i="129"/>
  <c r="C148" i="129"/>
  <c r="C149" i="129"/>
  <c r="C150" i="129"/>
  <c r="C151" i="129"/>
  <c r="C152" i="129"/>
  <c r="C153" i="129"/>
  <c r="C154" i="129"/>
  <c r="C155" i="129"/>
  <c r="C156" i="129"/>
  <c r="C157" i="129"/>
  <c r="C158" i="129"/>
  <c r="C159" i="129"/>
  <c r="C160" i="129"/>
  <c r="C161" i="129"/>
  <c r="C162" i="129"/>
  <c r="C163" i="129"/>
  <c r="C120" i="129"/>
  <c r="B21" i="127"/>
  <c r="J21" i="127"/>
  <c r="J20" i="127"/>
  <c r="J19" i="127"/>
  <c r="J18" i="127"/>
  <c r="J17" i="127"/>
  <c r="J4" i="127"/>
  <c r="J5" i="127"/>
  <c r="J6" i="127"/>
  <c r="J7" i="127"/>
  <c r="J8" i="127"/>
  <c r="J9" i="127"/>
  <c r="J10" i="127"/>
  <c r="J11" i="127"/>
  <c r="J12" i="127"/>
  <c r="J13" i="127"/>
  <c r="J14" i="127"/>
  <c r="J15" i="127"/>
  <c r="J16" i="127"/>
  <c r="J3" i="127"/>
  <c r="I4" i="127"/>
  <c r="I5" i="127"/>
  <c r="I6" i="127"/>
  <c r="I7" i="127"/>
  <c r="I8" i="127"/>
  <c r="I9" i="127"/>
  <c r="I10" i="127"/>
  <c r="I11" i="127"/>
  <c r="I12" i="127"/>
  <c r="I13" i="127"/>
  <c r="I14" i="127"/>
  <c r="I15" i="127"/>
  <c r="I16" i="127"/>
  <c r="I3" i="127"/>
  <c r="H4" i="127"/>
  <c r="H5" i="127"/>
  <c r="H6" i="127"/>
  <c r="H7" i="127"/>
  <c r="H8" i="127"/>
  <c r="H9" i="127"/>
  <c r="H10" i="127"/>
  <c r="H11" i="127"/>
  <c r="H12" i="127"/>
  <c r="H13" i="127"/>
  <c r="H14" i="127"/>
  <c r="H15" i="127"/>
  <c r="H16" i="127"/>
  <c r="H3" i="127"/>
  <c r="G4" i="127"/>
  <c r="G5" i="127"/>
  <c r="G6" i="127"/>
  <c r="G7" i="127"/>
  <c r="G8" i="127"/>
  <c r="G9" i="127"/>
  <c r="G10" i="127"/>
  <c r="G11" i="127"/>
  <c r="G12" i="127"/>
  <c r="G13" i="127"/>
  <c r="G14" i="127"/>
  <c r="G15" i="127"/>
  <c r="G16" i="127"/>
  <c r="G3" i="127"/>
  <c r="F4" i="127"/>
  <c r="F5" i="127"/>
  <c r="F6" i="127"/>
  <c r="F7" i="127"/>
  <c r="F8" i="127"/>
  <c r="F9" i="127"/>
  <c r="F10" i="127"/>
  <c r="F11" i="127"/>
  <c r="F12" i="127"/>
  <c r="F13" i="127"/>
  <c r="F14" i="127"/>
  <c r="F15" i="127"/>
  <c r="F16" i="127"/>
  <c r="F3" i="127"/>
  <c r="E4" i="127"/>
  <c r="E5" i="127"/>
  <c r="E6" i="127"/>
  <c r="E7" i="127"/>
  <c r="E8" i="127"/>
  <c r="E9" i="127"/>
  <c r="E10" i="127"/>
  <c r="E11" i="127"/>
  <c r="E12" i="127"/>
  <c r="E13" i="127"/>
  <c r="E14" i="127"/>
  <c r="E15" i="127"/>
  <c r="E16" i="127"/>
  <c r="E3" i="127"/>
  <c r="D4" i="127"/>
  <c r="D5" i="127"/>
  <c r="D6" i="127"/>
  <c r="D7" i="127"/>
  <c r="D8" i="127"/>
  <c r="D9" i="127"/>
  <c r="D10" i="127"/>
  <c r="D11" i="127"/>
  <c r="D12" i="127"/>
  <c r="D13" i="127"/>
  <c r="D14" i="127"/>
  <c r="D15" i="127"/>
  <c r="D16" i="127"/>
  <c r="D3" i="127"/>
  <c r="B28" i="126"/>
  <c r="I26" i="126"/>
  <c r="I25" i="126"/>
  <c r="I24" i="126"/>
  <c r="I23" i="126"/>
  <c r="I22" i="126"/>
  <c r="I3" i="126"/>
  <c r="I4" i="126"/>
  <c r="I5" i="126"/>
  <c r="I6" i="126"/>
  <c r="I7" i="126"/>
  <c r="I8" i="126"/>
  <c r="I9" i="126"/>
  <c r="I10" i="126"/>
  <c r="I11" i="126"/>
  <c r="I12" i="126"/>
  <c r="I13" i="126"/>
  <c r="I14" i="126"/>
  <c r="I15" i="126"/>
  <c r="I16" i="126"/>
  <c r="I17" i="126"/>
  <c r="I18" i="126"/>
  <c r="I19" i="126"/>
  <c r="I20" i="126"/>
  <c r="I21" i="126"/>
  <c r="I2" i="126"/>
  <c r="H3" i="126"/>
  <c r="H4" i="126"/>
  <c r="H5" i="126"/>
  <c r="H6" i="126"/>
  <c r="H7" i="126"/>
  <c r="H8" i="126"/>
  <c r="H9" i="126"/>
  <c r="H10" i="126"/>
  <c r="H11" i="126"/>
  <c r="H12" i="126"/>
  <c r="H13" i="126"/>
  <c r="H14" i="126"/>
  <c r="H15" i="126"/>
  <c r="H16" i="126"/>
  <c r="H17" i="126"/>
  <c r="H18" i="126"/>
  <c r="H19" i="126"/>
  <c r="H20" i="126"/>
  <c r="H21" i="126"/>
  <c r="H2" i="126"/>
  <c r="B25" i="126"/>
  <c r="G3" i="126"/>
  <c r="G4" i="126"/>
  <c r="G5" i="126"/>
  <c r="G6" i="126"/>
  <c r="G7" i="126"/>
  <c r="G8" i="126"/>
  <c r="G9" i="126"/>
  <c r="G10" i="126"/>
  <c r="G11" i="126"/>
  <c r="G12" i="126"/>
  <c r="G13" i="126"/>
  <c r="G14" i="126"/>
  <c r="G15" i="126"/>
  <c r="G16" i="126"/>
  <c r="G17" i="126"/>
  <c r="G18" i="126"/>
  <c r="G19" i="126"/>
  <c r="G20" i="126"/>
  <c r="G21" i="126"/>
  <c r="G2" i="126"/>
  <c r="F3" i="126"/>
  <c r="F4" i="126"/>
  <c r="F5" i="126"/>
  <c r="F6" i="126"/>
  <c r="F7" i="126"/>
  <c r="F8" i="126"/>
  <c r="F9" i="126"/>
  <c r="F10" i="126"/>
  <c r="F11" i="126"/>
  <c r="F12" i="126"/>
  <c r="F13" i="126"/>
  <c r="F14" i="126"/>
  <c r="F15" i="126"/>
  <c r="F16" i="126"/>
  <c r="F17" i="126"/>
  <c r="F18" i="126"/>
  <c r="F19" i="126"/>
  <c r="F20" i="126"/>
  <c r="F21" i="126"/>
  <c r="F2" i="126"/>
  <c r="E3" i="126"/>
  <c r="E4" i="126"/>
  <c r="E5" i="126"/>
  <c r="E6" i="126"/>
  <c r="E7" i="126"/>
  <c r="E8" i="126"/>
  <c r="E9" i="126"/>
  <c r="E10" i="126"/>
  <c r="E11" i="126"/>
  <c r="E12" i="126"/>
  <c r="E13" i="126"/>
  <c r="E14" i="126"/>
  <c r="E15" i="126"/>
  <c r="E16" i="126"/>
  <c r="E17" i="126"/>
  <c r="E18" i="126"/>
  <c r="E19" i="126"/>
  <c r="E20" i="126"/>
  <c r="E21" i="126"/>
  <c r="E2" i="126"/>
  <c r="C3" i="126"/>
  <c r="C4" i="126"/>
  <c r="C5" i="126"/>
  <c r="C6" i="126"/>
  <c r="C7" i="126"/>
  <c r="C8" i="126"/>
  <c r="C9" i="126"/>
  <c r="C10" i="126"/>
  <c r="C11" i="126"/>
  <c r="C12" i="126"/>
  <c r="C13" i="126"/>
  <c r="C14" i="126"/>
  <c r="C15" i="126"/>
  <c r="C16" i="126"/>
  <c r="C17" i="126"/>
  <c r="C18" i="126"/>
  <c r="C19" i="126"/>
  <c r="C20" i="126"/>
  <c r="C21" i="126"/>
  <c r="C2" i="126"/>
  <c r="D3" i="125"/>
  <c r="D4" i="125" s="1"/>
  <c r="D5" i="125" s="1"/>
  <c r="D6" i="125" s="1"/>
  <c r="D7" i="125" s="1"/>
  <c r="D8" i="125" s="1"/>
  <c r="D9" i="125" s="1"/>
  <c r="D10" i="125" s="1"/>
  <c r="D11" i="125" s="1"/>
  <c r="D12" i="125" s="1"/>
  <c r="D13" i="125" s="1"/>
  <c r="D14" i="125" s="1"/>
  <c r="D15" i="125" s="1"/>
  <c r="D16" i="125" s="1"/>
  <c r="D17" i="125" s="1"/>
  <c r="D18" i="125" s="1"/>
  <c r="D19" i="125" s="1"/>
  <c r="D20" i="125" s="1"/>
  <c r="D21" i="125" s="1"/>
  <c r="D22" i="125" s="1"/>
  <c r="D23" i="125" s="1"/>
  <c r="D24" i="125" s="1"/>
  <c r="D25" i="125" s="1"/>
  <c r="D26" i="125" s="1"/>
  <c r="D27" i="125" s="1"/>
  <c r="D28" i="125" s="1"/>
  <c r="D29" i="125" s="1"/>
  <c r="D30" i="125" s="1"/>
  <c r="D31" i="125" s="1"/>
  <c r="D32" i="125" s="1"/>
  <c r="D33" i="125" s="1"/>
  <c r="D34" i="125" s="1"/>
  <c r="D35" i="125" s="1"/>
  <c r="D36" i="125" s="1"/>
  <c r="D37" i="125" s="1"/>
  <c r="D38" i="125" s="1"/>
  <c r="D39" i="125" s="1"/>
  <c r="D40" i="125" s="1"/>
  <c r="D41" i="125" s="1"/>
  <c r="D42" i="125" s="1"/>
  <c r="D43" i="125" s="1"/>
  <c r="D44" i="125" s="1"/>
  <c r="D45" i="125" s="1"/>
  <c r="D46" i="125" s="1"/>
  <c r="D47" i="125" s="1"/>
  <c r="D48" i="125" s="1"/>
  <c r="D49" i="125" s="1"/>
  <c r="D50" i="125" s="1"/>
  <c r="D51" i="125" s="1"/>
  <c r="D52" i="125" s="1"/>
  <c r="D53" i="125" s="1"/>
  <c r="D54" i="125" s="1"/>
  <c r="D55" i="125" s="1"/>
  <c r="D56" i="125" s="1"/>
  <c r="D57" i="125" s="1"/>
  <c r="D58" i="125" s="1"/>
  <c r="D59" i="125" s="1"/>
  <c r="D60" i="125" s="1"/>
  <c r="D61" i="125" s="1"/>
  <c r="D62" i="125" s="1"/>
  <c r="D63" i="125" s="1"/>
  <c r="D64" i="125" s="1"/>
  <c r="D65" i="125" s="1"/>
  <c r="D66" i="125" s="1"/>
  <c r="D67" i="125" s="1"/>
  <c r="D68" i="125" s="1"/>
  <c r="D69" i="125" s="1"/>
  <c r="D70" i="125" s="1"/>
  <c r="D71" i="125" s="1"/>
  <c r="D72" i="125" s="1"/>
  <c r="D73" i="125" s="1"/>
  <c r="D74" i="125" s="1"/>
  <c r="D75" i="125" s="1"/>
  <c r="D76" i="125" s="1"/>
  <c r="D77" i="125" s="1"/>
  <c r="D78" i="125" s="1"/>
  <c r="D79" i="125" s="1"/>
  <c r="D80" i="125" s="1"/>
  <c r="D81" i="125" s="1"/>
  <c r="D82" i="125" s="1"/>
  <c r="D83" i="125" s="1"/>
  <c r="D84" i="125" s="1"/>
  <c r="D85" i="125" s="1"/>
  <c r="D86" i="125" s="1"/>
  <c r="D87" i="125" s="1"/>
  <c r="D88" i="125" s="1"/>
  <c r="D89" i="125" s="1"/>
  <c r="D90" i="125" s="1"/>
  <c r="D91" i="125" s="1"/>
  <c r="D92" i="125" s="1"/>
  <c r="D93" i="125" s="1"/>
  <c r="D94" i="125" s="1"/>
  <c r="D95" i="125" s="1"/>
  <c r="D96" i="125" s="1"/>
  <c r="D97" i="125" s="1"/>
  <c r="D98" i="125" s="1"/>
  <c r="D99" i="125" s="1"/>
  <c r="D100" i="125" s="1"/>
  <c r="D101" i="125" s="1"/>
  <c r="D102" i="125" s="1"/>
  <c r="D103" i="125" s="1"/>
  <c r="D104" i="125" s="1"/>
  <c r="D105" i="125" s="1"/>
  <c r="D106" i="125" s="1"/>
  <c r="D107" i="125" s="1"/>
  <c r="D108" i="125" s="1"/>
  <c r="D109" i="125" s="1"/>
  <c r="D110" i="125" s="1"/>
  <c r="D111" i="125" s="1"/>
  <c r="D112" i="125" s="1"/>
  <c r="D113" i="125" s="1"/>
  <c r="D114" i="125" s="1"/>
  <c r="D115" i="125" s="1"/>
  <c r="D116" i="125" s="1"/>
  <c r="D117" i="125" s="1"/>
  <c r="D118" i="125" s="1"/>
  <c r="D119" i="125" s="1"/>
  <c r="D120" i="125" s="1"/>
  <c r="D121" i="125" s="1"/>
  <c r="D122" i="125" s="1"/>
  <c r="J27" i="123"/>
  <c r="J26" i="123"/>
  <c r="J25" i="123"/>
  <c r="J24" i="123"/>
  <c r="J23" i="123"/>
  <c r="J4" i="123"/>
  <c r="J5" i="123"/>
  <c r="J6" i="123"/>
  <c r="J7" i="123"/>
  <c r="J8" i="123"/>
  <c r="J9" i="123"/>
  <c r="J10" i="123"/>
  <c r="J11" i="123"/>
  <c r="J12" i="123"/>
  <c r="J13" i="123"/>
  <c r="J14" i="123"/>
  <c r="J15" i="123"/>
  <c r="J16" i="123"/>
  <c r="J17" i="123"/>
  <c r="J18" i="123"/>
  <c r="J19" i="123"/>
  <c r="J20" i="123"/>
  <c r="J21" i="123"/>
  <c r="J22" i="123"/>
  <c r="J3" i="123"/>
  <c r="I4" i="123"/>
  <c r="I5" i="123"/>
  <c r="I6" i="123"/>
  <c r="I7" i="123"/>
  <c r="I8" i="123"/>
  <c r="I9" i="123"/>
  <c r="I10" i="123"/>
  <c r="I11" i="123"/>
  <c r="I12" i="123"/>
  <c r="I13" i="123"/>
  <c r="I14" i="123"/>
  <c r="I15" i="123"/>
  <c r="I16" i="123"/>
  <c r="I17" i="123"/>
  <c r="I18" i="123"/>
  <c r="I19" i="123"/>
  <c r="I20" i="123"/>
  <c r="I21" i="123"/>
  <c r="I22" i="123"/>
  <c r="I3" i="123"/>
  <c r="H4" i="123"/>
  <c r="H5" i="123"/>
  <c r="H6" i="123"/>
  <c r="H7" i="123"/>
  <c r="H8" i="123"/>
  <c r="H9" i="123"/>
  <c r="H10" i="123"/>
  <c r="H11" i="123"/>
  <c r="H12" i="123"/>
  <c r="H13" i="123"/>
  <c r="H14" i="123"/>
  <c r="H15" i="123"/>
  <c r="H16" i="123"/>
  <c r="H17" i="123"/>
  <c r="H18" i="123"/>
  <c r="H19" i="123"/>
  <c r="H20" i="123"/>
  <c r="H21" i="123"/>
  <c r="H22" i="123"/>
  <c r="H3" i="123"/>
  <c r="G4" i="123"/>
  <c r="G5" i="123"/>
  <c r="G6" i="123"/>
  <c r="G7" i="123"/>
  <c r="G8" i="123"/>
  <c r="G9" i="123"/>
  <c r="G10" i="123"/>
  <c r="G11" i="123"/>
  <c r="G12" i="123"/>
  <c r="G13" i="123"/>
  <c r="G14" i="123"/>
  <c r="G15" i="123"/>
  <c r="G16" i="123"/>
  <c r="G17" i="123"/>
  <c r="G18" i="123"/>
  <c r="G19" i="123"/>
  <c r="G20" i="123"/>
  <c r="G21" i="123"/>
  <c r="G22" i="123"/>
  <c r="G3" i="123"/>
  <c r="F4" i="123"/>
  <c r="F5" i="123"/>
  <c r="F6" i="123"/>
  <c r="F7" i="123"/>
  <c r="F8" i="123"/>
  <c r="F9" i="123"/>
  <c r="F10" i="123"/>
  <c r="F11" i="123"/>
  <c r="F12" i="123"/>
  <c r="F13" i="123"/>
  <c r="F14" i="123"/>
  <c r="F15" i="123"/>
  <c r="F16" i="123"/>
  <c r="F17" i="123"/>
  <c r="F18" i="123"/>
  <c r="F19" i="123"/>
  <c r="F20" i="123"/>
  <c r="F21" i="123"/>
  <c r="F22" i="123"/>
  <c r="F3" i="123"/>
  <c r="D4" i="123"/>
  <c r="D5" i="123"/>
  <c r="D6" i="123"/>
  <c r="D7" i="123"/>
  <c r="D8" i="123"/>
  <c r="D9" i="123"/>
  <c r="D10" i="123"/>
  <c r="D11" i="123"/>
  <c r="D12" i="123"/>
  <c r="D13" i="123"/>
  <c r="D14" i="123"/>
  <c r="D15" i="123"/>
  <c r="D16" i="123"/>
  <c r="D17" i="123"/>
  <c r="D18" i="123"/>
  <c r="D19" i="123"/>
  <c r="D20" i="123"/>
  <c r="D21" i="123"/>
  <c r="D22" i="123"/>
  <c r="D3" i="123"/>
  <c r="B28" i="121"/>
  <c r="I26" i="121"/>
  <c r="I25" i="121"/>
  <c r="I24" i="121"/>
  <c r="I23" i="121"/>
  <c r="I22" i="121"/>
  <c r="I3" i="121"/>
  <c r="I4" i="121"/>
  <c r="I5" i="121"/>
  <c r="I6" i="121"/>
  <c r="I7" i="121"/>
  <c r="I8" i="121"/>
  <c r="I9" i="121"/>
  <c r="I10" i="121"/>
  <c r="I11" i="121"/>
  <c r="I12" i="121"/>
  <c r="I13" i="121"/>
  <c r="I14" i="121"/>
  <c r="I15" i="121"/>
  <c r="I16" i="121"/>
  <c r="I17" i="121"/>
  <c r="I18" i="121"/>
  <c r="I19" i="121"/>
  <c r="I20" i="121"/>
  <c r="I21" i="121"/>
  <c r="I2" i="121"/>
  <c r="H3" i="121"/>
  <c r="H4" i="121"/>
  <c r="H5" i="121"/>
  <c r="H6" i="121"/>
  <c r="H7" i="121"/>
  <c r="H8" i="121"/>
  <c r="H9" i="121"/>
  <c r="H10" i="121"/>
  <c r="H11" i="121"/>
  <c r="H12" i="121"/>
  <c r="H13" i="121"/>
  <c r="H14" i="121"/>
  <c r="H15" i="121"/>
  <c r="H16" i="121"/>
  <c r="H17" i="121"/>
  <c r="H18" i="121"/>
  <c r="H19" i="121"/>
  <c r="H20" i="121"/>
  <c r="H21" i="121"/>
  <c r="H2" i="121"/>
  <c r="G3" i="121"/>
  <c r="G4" i="121"/>
  <c r="G5" i="121"/>
  <c r="G6" i="121"/>
  <c r="G7" i="121"/>
  <c r="G8" i="121"/>
  <c r="G9" i="121"/>
  <c r="G10" i="121"/>
  <c r="G11" i="121"/>
  <c r="G12" i="121"/>
  <c r="G13" i="121"/>
  <c r="G14" i="121"/>
  <c r="G15" i="121"/>
  <c r="G16" i="121"/>
  <c r="G17" i="121"/>
  <c r="G18" i="121"/>
  <c r="G19" i="121"/>
  <c r="G20" i="121"/>
  <c r="G21" i="121"/>
  <c r="G2" i="121"/>
  <c r="F3" i="121"/>
  <c r="F4" i="121"/>
  <c r="F5" i="121"/>
  <c r="F6" i="121"/>
  <c r="F7" i="121"/>
  <c r="F8" i="121"/>
  <c r="F9" i="121"/>
  <c r="F10" i="121"/>
  <c r="F11" i="121"/>
  <c r="F12" i="121"/>
  <c r="F13" i="121"/>
  <c r="F14" i="121"/>
  <c r="F15" i="121"/>
  <c r="F16" i="121"/>
  <c r="F17" i="121"/>
  <c r="F18" i="121"/>
  <c r="F19" i="121"/>
  <c r="F20" i="121"/>
  <c r="F21" i="121"/>
  <c r="F2" i="121"/>
  <c r="B25" i="121"/>
  <c r="E3" i="121"/>
  <c r="E4" i="121"/>
  <c r="E5" i="121"/>
  <c r="E6" i="121"/>
  <c r="E7" i="121"/>
  <c r="E8" i="121"/>
  <c r="E9" i="121"/>
  <c r="E10" i="121"/>
  <c r="E11" i="121"/>
  <c r="E12" i="121"/>
  <c r="E13" i="121"/>
  <c r="E14" i="121"/>
  <c r="E15" i="121"/>
  <c r="E16" i="121"/>
  <c r="E17" i="121"/>
  <c r="E18" i="121"/>
  <c r="E19" i="121"/>
  <c r="E20" i="121"/>
  <c r="E21" i="121"/>
  <c r="E2" i="121"/>
  <c r="C3" i="121"/>
  <c r="C4" i="121"/>
  <c r="C5" i="121"/>
  <c r="C6" i="121"/>
  <c r="C7" i="121"/>
  <c r="C8" i="121"/>
  <c r="C9" i="121"/>
  <c r="C10" i="121"/>
  <c r="C11" i="121"/>
  <c r="C12" i="121"/>
  <c r="C13" i="121"/>
  <c r="C14" i="121"/>
  <c r="C15" i="121"/>
  <c r="C16" i="121"/>
  <c r="C17" i="121"/>
  <c r="C18" i="121"/>
  <c r="C19" i="121"/>
  <c r="C20" i="121"/>
  <c r="C21" i="121"/>
  <c r="C2" i="121"/>
  <c r="D3" i="122"/>
  <c r="D4" i="122" s="1"/>
  <c r="D5" i="122" s="1"/>
  <c r="D6" i="122" s="1"/>
  <c r="D7" i="122" s="1"/>
  <c r="D8" i="122" s="1"/>
  <c r="D9" i="122" s="1"/>
  <c r="D10" i="122" s="1"/>
  <c r="D11" i="122" s="1"/>
  <c r="D12" i="122" s="1"/>
  <c r="D13" i="122" s="1"/>
  <c r="D14" i="122" s="1"/>
  <c r="D15" i="122" s="1"/>
  <c r="D16" i="122" s="1"/>
  <c r="D17" i="122" s="1"/>
  <c r="D18" i="122" s="1"/>
  <c r="D19" i="122" s="1"/>
  <c r="D20" i="122" s="1"/>
  <c r="D21" i="122" s="1"/>
  <c r="D22" i="122" s="1"/>
  <c r="D23" i="122" s="1"/>
  <c r="D24" i="122" s="1"/>
  <c r="D25" i="122" s="1"/>
  <c r="D26" i="122" s="1"/>
  <c r="D27" i="122" s="1"/>
  <c r="D28" i="122" s="1"/>
  <c r="D29" i="122" s="1"/>
  <c r="D30" i="122" s="1"/>
  <c r="D31" i="122" s="1"/>
  <c r="D32" i="122" s="1"/>
  <c r="D33" i="122" s="1"/>
  <c r="D34" i="122" s="1"/>
  <c r="D35" i="122" s="1"/>
  <c r="D36" i="122" s="1"/>
  <c r="D37" i="122" s="1"/>
  <c r="D38" i="122" s="1"/>
  <c r="D39" i="122" s="1"/>
  <c r="D40" i="122" s="1"/>
  <c r="D41" i="122" s="1"/>
  <c r="D42" i="122" s="1"/>
  <c r="D43" i="122" s="1"/>
  <c r="D44" i="122" s="1"/>
  <c r="D45" i="122" s="1"/>
  <c r="D46" i="122" s="1"/>
  <c r="D47" i="122" s="1"/>
  <c r="D48" i="122" s="1"/>
  <c r="D49" i="122" s="1"/>
  <c r="D50" i="122" s="1"/>
  <c r="D51" i="122" s="1"/>
  <c r="D52" i="122" s="1"/>
  <c r="D53" i="122" s="1"/>
  <c r="D54" i="122" s="1"/>
  <c r="D55" i="122" s="1"/>
  <c r="D56" i="122" s="1"/>
  <c r="D57" i="122" s="1"/>
  <c r="D58" i="122" s="1"/>
  <c r="D59" i="122" s="1"/>
  <c r="D60" i="122" s="1"/>
  <c r="D61" i="122" s="1"/>
  <c r="D62" i="122" s="1"/>
  <c r="D63" i="122" s="1"/>
  <c r="D64" i="122" s="1"/>
  <c r="D65" i="122" s="1"/>
  <c r="D66" i="122" s="1"/>
  <c r="D67" i="122" s="1"/>
  <c r="D68" i="122" s="1"/>
  <c r="D69" i="122" s="1"/>
  <c r="D70" i="122" s="1"/>
  <c r="D71" i="122" s="1"/>
  <c r="D72" i="122" s="1"/>
  <c r="D73" i="122" s="1"/>
  <c r="D74" i="122" s="1"/>
  <c r="D75" i="122" s="1"/>
  <c r="D76" i="122" s="1"/>
  <c r="D77" i="122" s="1"/>
  <c r="D78" i="122" s="1"/>
  <c r="D79" i="122" s="1"/>
  <c r="D80" i="122" s="1"/>
  <c r="D81" i="122" s="1"/>
  <c r="D82" i="122" s="1"/>
  <c r="D83" i="122" s="1"/>
  <c r="D84" i="122" s="1"/>
  <c r="D85" i="122" s="1"/>
  <c r="D86" i="122" s="1"/>
  <c r="D87" i="122" s="1"/>
  <c r="D88" i="122" s="1"/>
  <c r="D89" i="122" s="1"/>
  <c r="D90" i="122" s="1"/>
  <c r="D91" i="122" s="1"/>
  <c r="D92" i="122" s="1"/>
  <c r="D93" i="122" s="1"/>
  <c r="D94" i="122" s="1"/>
  <c r="D95" i="122" s="1"/>
  <c r="D96" i="122" s="1"/>
  <c r="D97" i="122" s="1"/>
  <c r="D98" i="122" s="1"/>
  <c r="D99" i="122" s="1"/>
  <c r="D100" i="122" s="1"/>
  <c r="D101" i="122" s="1"/>
  <c r="D102" i="122" s="1"/>
  <c r="D103" i="122" s="1"/>
  <c r="D104" i="122" s="1"/>
  <c r="D105" i="122" s="1"/>
  <c r="D106" i="122" s="1"/>
  <c r="D107" i="122" s="1"/>
  <c r="D108" i="122" s="1"/>
  <c r="D109" i="122" s="1"/>
  <c r="D110" i="122" s="1"/>
  <c r="D111" i="122" s="1"/>
  <c r="D112" i="122" s="1"/>
  <c r="D113" i="122" s="1"/>
  <c r="D114" i="122" s="1"/>
  <c r="D115" i="122" s="1"/>
  <c r="D116" i="122" s="1"/>
  <c r="D117" i="122" s="1"/>
  <c r="D118" i="122" s="1"/>
  <c r="D119" i="122" s="1"/>
  <c r="D120" i="122" s="1"/>
  <c r="B38" i="120"/>
  <c r="I36" i="120"/>
  <c r="I35" i="120"/>
  <c r="I34" i="120"/>
  <c r="I33" i="120"/>
  <c r="I32" i="120"/>
  <c r="I3" i="120"/>
  <c r="I4" i="120"/>
  <c r="I5" i="120"/>
  <c r="I6" i="120"/>
  <c r="I7" i="120"/>
  <c r="I8" i="120"/>
  <c r="I9" i="120"/>
  <c r="I10" i="120"/>
  <c r="I11" i="120"/>
  <c r="I12" i="120"/>
  <c r="I13" i="120"/>
  <c r="I14" i="120"/>
  <c r="I15" i="120"/>
  <c r="I16" i="120"/>
  <c r="I17" i="120"/>
  <c r="I18" i="120"/>
  <c r="I19" i="120"/>
  <c r="I20" i="120"/>
  <c r="I21" i="120"/>
  <c r="I22" i="120"/>
  <c r="I23" i="120"/>
  <c r="I24" i="120"/>
  <c r="I25" i="120"/>
  <c r="I26" i="120"/>
  <c r="I27" i="120"/>
  <c r="I28" i="120"/>
  <c r="I29" i="120"/>
  <c r="I30" i="120"/>
  <c r="I31" i="120"/>
  <c r="I2" i="120"/>
  <c r="H3" i="120"/>
  <c r="H4" i="120"/>
  <c r="H5" i="120"/>
  <c r="H6" i="120"/>
  <c r="H7" i="120"/>
  <c r="H8" i="120"/>
  <c r="H9" i="120"/>
  <c r="H10" i="120"/>
  <c r="H11" i="120"/>
  <c r="H12" i="120"/>
  <c r="H13" i="120"/>
  <c r="H14" i="120"/>
  <c r="H15" i="120"/>
  <c r="H16" i="120"/>
  <c r="H17" i="120"/>
  <c r="H18" i="120"/>
  <c r="H19" i="120"/>
  <c r="H20" i="120"/>
  <c r="H21" i="120"/>
  <c r="H22" i="120"/>
  <c r="H23" i="120"/>
  <c r="H24" i="120"/>
  <c r="H25" i="120"/>
  <c r="H26" i="120"/>
  <c r="H27" i="120"/>
  <c r="H28" i="120"/>
  <c r="H29" i="120"/>
  <c r="H30" i="120"/>
  <c r="H31" i="120"/>
  <c r="H2" i="120"/>
  <c r="G3" i="120"/>
  <c r="G4" i="120"/>
  <c r="G5" i="120"/>
  <c r="G6" i="120"/>
  <c r="G7" i="120"/>
  <c r="G8" i="120"/>
  <c r="G9" i="120"/>
  <c r="G10" i="120"/>
  <c r="G11" i="120"/>
  <c r="G12" i="120"/>
  <c r="G13" i="120"/>
  <c r="G14" i="120"/>
  <c r="G15" i="120"/>
  <c r="G16" i="120"/>
  <c r="G17" i="120"/>
  <c r="G18" i="120"/>
  <c r="G19" i="120"/>
  <c r="G20" i="120"/>
  <c r="G21" i="120"/>
  <c r="G22" i="120"/>
  <c r="G23" i="120"/>
  <c r="G24" i="120"/>
  <c r="G25" i="120"/>
  <c r="G26" i="120"/>
  <c r="G27" i="120"/>
  <c r="G28" i="120"/>
  <c r="G29" i="120"/>
  <c r="G30" i="120"/>
  <c r="G31" i="120"/>
  <c r="G2" i="120"/>
  <c r="F3" i="120"/>
  <c r="F4" i="120"/>
  <c r="F5" i="120"/>
  <c r="F6" i="120"/>
  <c r="F7" i="120"/>
  <c r="F8" i="120"/>
  <c r="F9" i="120"/>
  <c r="F10" i="120"/>
  <c r="F11" i="120"/>
  <c r="F12" i="120"/>
  <c r="F13" i="120"/>
  <c r="F14" i="120"/>
  <c r="F15" i="120"/>
  <c r="F16" i="120"/>
  <c r="F17" i="120"/>
  <c r="F18" i="120"/>
  <c r="F19" i="120"/>
  <c r="F20" i="120"/>
  <c r="F21" i="120"/>
  <c r="F22" i="120"/>
  <c r="F23" i="120"/>
  <c r="F24" i="120"/>
  <c r="F25" i="120"/>
  <c r="F26" i="120"/>
  <c r="F27" i="120"/>
  <c r="F28" i="120"/>
  <c r="F29" i="120"/>
  <c r="F30" i="120"/>
  <c r="F31" i="120"/>
  <c r="F2" i="120"/>
  <c r="B35" i="120"/>
  <c r="E3" i="120"/>
  <c r="E4" i="120"/>
  <c r="E5" i="120"/>
  <c r="E6" i="120"/>
  <c r="E7" i="120"/>
  <c r="E8" i="120"/>
  <c r="E9" i="120"/>
  <c r="E10" i="120"/>
  <c r="E11" i="120"/>
  <c r="E12" i="120"/>
  <c r="E13" i="120"/>
  <c r="E14" i="120"/>
  <c r="E15" i="120"/>
  <c r="E16" i="120"/>
  <c r="E17" i="120"/>
  <c r="E18" i="120"/>
  <c r="E19" i="120"/>
  <c r="E20" i="120"/>
  <c r="E21" i="120"/>
  <c r="E22" i="120"/>
  <c r="E23" i="120"/>
  <c r="E24" i="120"/>
  <c r="E25" i="120"/>
  <c r="E26" i="120"/>
  <c r="E27" i="120"/>
  <c r="E28" i="120"/>
  <c r="E29" i="120"/>
  <c r="E30" i="120"/>
  <c r="E31" i="120"/>
  <c r="E2" i="120"/>
  <c r="C3" i="120"/>
  <c r="C4" i="120"/>
  <c r="C5" i="120"/>
  <c r="C6" i="120"/>
  <c r="C7" i="120"/>
  <c r="C8" i="120"/>
  <c r="C9" i="120"/>
  <c r="C10" i="120"/>
  <c r="C11" i="120"/>
  <c r="C12" i="120"/>
  <c r="C13" i="120"/>
  <c r="C14" i="120"/>
  <c r="C15" i="120"/>
  <c r="C16" i="120"/>
  <c r="C17" i="120"/>
  <c r="C18" i="120"/>
  <c r="C19" i="120"/>
  <c r="C20" i="120"/>
  <c r="C21" i="120"/>
  <c r="C22" i="120"/>
  <c r="C23" i="120"/>
  <c r="C24" i="120"/>
  <c r="C25" i="120"/>
  <c r="C26" i="120"/>
  <c r="C27" i="120"/>
  <c r="C28" i="120"/>
  <c r="C29" i="120"/>
  <c r="C30" i="120"/>
  <c r="C31" i="120"/>
  <c r="C2" i="120"/>
  <c r="B28" i="118"/>
  <c r="I26" i="118"/>
  <c r="I25" i="118"/>
  <c r="I24" i="118"/>
  <c r="I23" i="118"/>
  <c r="I22" i="118"/>
  <c r="I3" i="118"/>
  <c r="I4" i="118"/>
  <c r="I5" i="118"/>
  <c r="I6" i="118"/>
  <c r="I7" i="118"/>
  <c r="I8" i="118"/>
  <c r="I9" i="118"/>
  <c r="I10" i="118"/>
  <c r="I11" i="118"/>
  <c r="I12" i="118"/>
  <c r="I13" i="118"/>
  <c r="I14" i="118"/>
  <c r="I15" i="118"/>
  <c r="I16" i="118"/>
  <c r="I17" i="118"/>
  <c r="I18" i="118"/>
  <c r="I19" i="118"/>
  <c r="I20" i="118"/>
  <c r="I21" i="118"/>
  <c r="I2" i="118"/>
  <c r="H3" i="118"/>
  <c r="H4" i="118"/>
  <c r="H5" i="118"/>
  <c r="H6" i="118"/>
  <c r="H7" i="118"/>
  <c r="H8" i="118"/>
  <c r="H9" i="118"/>
  <c r="H10" i="118"/>
  <c r="H11" i="118"/>
  <c r="H12" i="118"/>
  <c r="H13" i="118"/>
  <c r="H14" i="118"/>
  <c r="H15" i="118"/>
  <c r="H16" i="118"/>
  <c r="H17" i="118"/>
  <c r="H18" i="118"/>
  <c r="H19" i="118"/>
  <c r="H20" i="118"/>
  <c r="H21" i="118"/>
  <c r="H2" i="118"/>
  <c r="G3" i="118"/>
  <c r="G4" i="118"/>
  <c r="G5" i="118"/>
  <c r="G6" i="118"/>
  <c r="G7" i="118"/>
  <c r="G8" i="118"/>
  <c r="G9" i="118"/>
  <c r="G10" i="118"/>
  <c r="G11" i="118"/>
  <c r="G12" i="118"/>
  <c r="G13" i="118"/>
  <c r="G14" i="118"/>
  <c r="G15" i="118"/>
  <c r="G16" i="118"/>
  <c r="G17" i="118"/>
  <c r="G18" i="118"/>
  <c r="G19" i="118"/>
  <c r="G20" i="118"/>
  <c r="G21" i="118"/>
  <c r="G2" i="118"/>
  <c r="F3" i="118"/>
  <c r="F4" i="118"/>
  <c r="F5" i="118"/>
  <c r="F6" i="118"/>
  <c r="F7" i="118"/>
  <c r="F8" i="118"/>
  <c r="F9" i="118"/>
  <c r="F10" i="118"/>
  <c r="F11" i="118"/>
  <c r="F12" i="118"/>
  <c r="F13" i="118"/>
  <c r="F14" i="118"/>
  <c r="F15" i="118"/>
  <c r="F16" i="118"/>
  <c r="F17" i="118"/>
  <c r="F18" i="118"/>
  <c r="F19" i="118"/>
  <c r="F20" i="118"/>
  <c r="F21" i="118"/>
  <c r="F2" i="118"/>
  <c r="B25" i="118"/>
  <c r="E3" i="118"/>
  <c r="E4" i="118"/>
  <c r="E5" i="118"/>
  <c r="E6" i="118"/>
  <c r="E7" i="118"/>
  <c r="E8" i="118"/>
  <c r="E9" i="118"/>
  <c r="E10" i="118"/>
  <c r="E11" i="118"/>
  <c r="E12" i="118"/>
  <c r="E13" i="118"/>
  <c r="E14" i="118"/>
  <c r="E15" i="118"/>
  <c r="E16" i="118"/>
  <c r="E17" i="118"/>
  <c r="E18" i="118"/>
  <c r="E19" i="118"/>
  <c r="E20" i="118"/>
  <c r="E21" i="118"/>
  <c r="E2" i="118"/>
  <c r="C3" i="118"/>
  <c r="C4" i="118"/>
  <c r="C5" i="118"/>
  <c r="C6" i="118"/>
  <c r="C7" i="118"/>
  <c r="C8" i="118"/>
  <c r="C9" i="118"/>
  <c r="C10" i="118"/>
  <c r="C11" i="118"/>
  <c r="C12" i="118"/>
  <c r="C13" i="118"/>
  <c r="C14" i="118"/>
  <c r="C15" i="118"/>
  <c r="C16" i="118"/>
  <c r="C17" i="118"/>
  <c r="C18" i="118"/>
  <c r="C19" i="118"/>
  <c r="C20" i="118"/>
  <c r="C21" i="118"/>
  <c r="C2" i="118"/>
  <c r="D3" i="119"/>
  <c r="D4" i="119" s="1"/>
  <c r="D5" i="119" s="1"/>
  <c r="D6" i="119" s="1"/>
  <c r="D7" i="119" s="1"/>
  <c r="D8" i="119" s="1"/>
  <c r="D9" i="119" s="1"/>
  <c r="D10" i="119" s="1"/>
  <c r="D11" i="119" s="1"/>
  <c r="D12" i="119" s="1"/>
  <c r="D13" i="119" s="1"/>
  <c r="D14" i="119" s="1"/>
  <c r="D15" i="119" s="1"/>
  <c r="D16" i="119" s="1"/>
  <c r="D17" i="119" s="1"/>
  <c r="D18" i="119" s="1"/>
  <c r="D19" i="119" s="1"/>
  <c r="D20" i="119" s="1"/>
  <c r="D21" i="119" s="1"/>
  <c r="D22" i="119" s="1"/>
  <c r="D23" i="119" s="1"/>
  <c r="D24" i="119" s="1"/>
  <c r="D25" i="119" s="1"/>
  <c r="D26" i="119" s="1"/>
  <c r="D27" i="119" s="1"/>
  <c r="D28" i="119" s="1"/>
  <c r="D29" i="119" s="1"/>
  <c r="D30" i="119" s="1"/>
  <c r="D31" i="119" s="1"/>
  <c r="D32" i="119" s="1"/>
  <c r="D33" i="119" s="1"/>
  <c r="D34" i="119" s="1"/>
  <c r="D35" i="119" s="1"/>
  <c r="D36" i="119" s="1"/>
  <c r="D37" i="119" s="1"/>
  <c r="D38" i="119" s="1"/>
  <c r="D39" i="119" s="1"/>
  <c r="D40" i="119" s="1"/>
  <c r="D41" i="119" s="1"/>
  <c r="D42" i="119" s="1"/>
  <c r="D43" i="119" s="1"/>
  <c r="D44" i="119" s="1"/>
  <c r="D45" i="119" s="1"/>
  <c r="D46" i="119" s="1"/>
  <c r="D47" i="119" s="1"/>
  <c r="D48" i="119" s="1"/>
  <c r="D49" i="119" s="1"/>
  <c r="D50" i="119" s="1"/>
  <c r="D51" i="119" s="1"/>
  <c r="D52" i="119" s="1"/>
  <c r="D53" i="119" s="1"/>
  <c r="D54" i="119" s="1"/>
  <c r="D55" i="119" s="1"/>
  <c r="D56" i="119" s="1"/>
  <c r="D57" i="119" s="1"/>
  <c r="D58" i="119" s="1"/>
  <c r="D59" i="119" s="1"/>
  <c r="D60" i="119" s="1"/>
  <c r="D61" i="119" s="1"/>
  <c r="D62" i="119" s="1"/>
  <c r="D63" i="119" s="1"/>
  <c r="D64" i="119" s="1"/>
  <c r="D65" i="119" s="1"/>
  <c r="D66" i="119" s="1"/>
  <c r="D67" i="119" s="1"/>
  <c r="D68" i="119" s="1"/>
  <c r="D69" i="119" s="1"/>
  <c r="D70" i="119" s="1"/>
  <c r="D71" i="119" s="1"/>
  <c r="D72" i="119" s="1"/>
  <c r="D73" i="119" s="1"/>
  <c r="D74" i="119" s="1"/>
  <c r="D75" i="119" s="1"/>
  <c r="D76" i="119" s="1"/>
  <c r="D77" i="119" s="1"/>
  <c r="D78" i="119" s="1"/>
  <c r="D79" i="119" s="1"/>
  <c r="D80" i="119" s="1"/>
  <c r="D81" i="119" s="1"/>
  <c r="D82" i="119" s="1"/>
  <c r="D83" i="119" s="1"/>
  <c r="D84" i="119" s="1"/>
  <c r="D85" i="119" s="1"/>
  <c r="D86" i="119" s="1"/>
  <c r="D87" i="119" s="1"/>
  <c r="D88" i="119" s="1"/>
  <c r="D89" i="119" s="1"/>
  <c r="D90" i="119" s="1"/>
  <c r="D91" i="119" s="1"/>
  <c r="D92" i="119" s="1"/>
  <c r="D93" i="119" s="1"/>
  <c r="D94" i="119" s="1"/>
  <c r="D95" i="119" s="1"/>
  <c r="D96" i="119" s="1"/>
  <c r="D97" i="119" s="1"/>
  <c r="D98" i="119" s="1"/>
  <c r="D99" i="119" s="1"/>
  <c r="D100" i="119" s="1"/>
  <c r="D101" i="119" s="1"/>
  <c r="D102" i="119" s="1"/>
  <c r="D103" i="119" s="1"/>
  <c r="D104" i="119" s="1"/>
  <c r="D105" i="119" s="1"/>
  <c r="D106" i="119" s="1"/>
  <c r="D107" i="119" s="1"/>
  <c r="D108" i="119" s="1"/>
  <c r="D109" i="119" s="1"/>
  <c r="D110" i="119" s="1"/>
  <c r="D111" i="119" s="1"/>
  <c r="D112" i="119" s="1"/>
  <c r="D113" i="119" s="1"/>
  <c r="D114" i="119" s="1"/>
  <c r="D115" i="119" s="1"/>
  <c r="D116" i="119" s="1"/>
  <c r="D117" i="119" s="1"/>
  <c r="D118" i="119" s="1"/>
  <c r="D119" i="119" s="1"/>
  <c r="D120" i="119" s="1"/>
  <c r="D121" i="119" s="1"/>
  <c r="D122" i="119" s="1"/>
  <c r="D123" i="119" s="1"/>
  <c r="D124" i="119" s="1"/>
  <c r="D125" i="119" s="1"/>
  <c r="D126" i="119" s="1"/>
  <c r="D127" i="119" s="1"/>
  <c r="D128" i="119" s="1"/>
  <c r="D129" i="119" s="1"/>
  <c r="D130" i="119" s="1"/>
  <c r="D131" i="119" s="1"/>
  <c r="D132" i="119" s="1"/>
  <c r="D133" i="119" s="1"/>
  <c r="D134" i="119" s="1"/>
  <c r="D135" i="119" s="1"/>
  <c r="D136" i="119" s="1"/>
  <c r="D137" i="119" s="1"/>
  <c r="D138" i="119" s="1"/>
  <c r="D139" i="119" s="1"/>
  <c r="D140" i="119" s="1"/>
  <c r="D141" i="119" s="1"/>
  <c r="D142" i="119" s="1"/>
  <c r="D143" i="119" s="1"/>
  <c r="D144" i="119" s="1"/>
  <c r="D145" i="119" s="1"/>
  <c r="D146" i="119" s="1"/>
  <c r="D147" i="119" s="1"/>
  <c r="D148" i="119" s="1"/>
  <c r="D149" i="119" s="1"/>
  <c r="D150" i="119" s="1"/>
  <c r="D151" i="119" s="1"/>
  <c r="D152" i="119" s="1"/>
  <c r="D153" i="119" s="1"/>
  <c r="D154" i="119" s="1"/>
  <c r="D155" i="119" s="1"/>
  <c r="D156" i="119" s="1"/>
  <c r="D157" i="119" s="1"/>
  <c r="D158" i="119" s="1"/>
  <c r="D159" i="119" s="1"/>
  <c r="D160" i="119" s="1"/>
  <c r="D161" i="119" s="1"/>
  <c r="D162" i="119" s="1"/>
  <c r="D163" i="119" s="1"/>
  <c r="D164" i="119" s="1"/>
  <c r="D165" i="119" s="1"/>
  <c r="D166" i="119" s="1"/>
  <c r="D167" i="119" s="1"/>
  <c r="D168" i="119" s="1"/>
  <c r="D169" i="119" s="1"/>
  <c r="D170" i="119" s="1"/>
  <c r="D171" i="119" s="1"/>
  <c r="D172" i="119" s="1"/>
  <c r="D173" i="119" s="1"/>
  <c r="D174" i="119" s="1"/>
  <c r="D175" i="119" s="1"/>
  <c r="D176" i="119" s="1"/>
  <c r="D177" i="119" s="1"/>
  <c r="D178" i="119" s="1"/>
  <c r="D179" i="119" s="1"/>
  <c r="D180" i="119" s="1"/>
  <c r="D181" i="119" s="1"/>
  <c r="D182" i="119" s="1"/>
  <c r="B28" i="116"/>
  <c r="I26" i="116"/>
  <c r="I25" i="116"/>
  <c r="I24" i="116"/>
  <c r="I23" i="116"/>
  <c r="I22" i="116"/>
  <c r="I3" i="116"/>
  <c r="I4" i="116"/>
  <c r="I5" i="116"/>
  <c r="I6" i="116"/>
  <c r="I7" i="116"/>
  <c r="I8" i="116"/>
  <c r="I9" i="116"/>
  <c r="I10" i="116"/>
  <c r="I11" i="116"/>
  <c r="I12" i="116"/>
  <c r="I13" i="116"/>
  <c r="I14" i="116"/>
  <c r="I15" i="116"/>
  <c r="I16" i="116"/>
  <c r="I17" i="116"/>
  <c r="I18" i="116"/>
  <c r="I19" i="116"/>
  <c r="I20" i="116"/>
  <c r="I21" i="116"/>
  <c r="I2" i="116"/>
  <c r="H3" i="116"/>
  <c r="H4" i="116"/>
  <c r="H5" i="116"/>
  <c r="H6" i="116"/>
  <c r="H7" i="116"/>
  <c r="H8" i="116"/>
  <c r="H9" i="116"/>
  <c r="H10" i="116"/>
  <c r="H11" i="116"/>
  <c r="H12" i="116"/>
  <c r="H13" i="116"/>
  <c r="H14" i="116"/>
  <c r="H15" i="116"/>
  <c r="H16" i="116"/>
  <c r="H17" i="116"/>
  <c r="H18" i="116"/>
  <c r="H19" i="116"/>
  <c r="H20" i="116"/>
  <c r="H21" i="116"/>
  <c r="H2" i="116"/>
  <c r="G3" i="116"/>
  <c r="G4" i="116"/>
  <c r="G5" i="116"/>
  <c r="G6" i="116"/>
  <c r="G7" i="116"/>
  <c r="G8" i="116"/>
  <c r="G9" i="116"/>
  <c r="G10" i="116"/>
  <c r="G11" i="116"/>
  <c r="G12" i="116"/>
  <c r="G13" i="116"/>
  <c r="G14" i="116"/>
  <c r="G15" i="116"/>
  <c r="G16" i="116"/>
  <c r="G17" i="116"/>
  <c r="G18" i="116"/>
  <c r="G19" i="116"/>
  <c r="G20" i="116"/>
  <c r="G21" i="116"/>
  <c r="G2" i="116"/>
  <c r="F3" i="116"/>
  <c r="F4" i="116"/>
  <c r="F5" i="116"/>
  <c r="F6" i="116"/>
  <c r="F7" i="116"/>
  <c r="F8" i="116"/>
  <c r="F9" i="116"/>
  <c r="F10" i="116"/>
  <c r="F11" i="116"/>
  <c r="F12" i="116"/>
  <c r="F13" i="116"/>
  <c r="F14" i="116"/>
  <c r="F15" i="116"/>
  <c r="F16" i="116"/>
  <c r="F17" i="116"/>
  <c r="F18" i="116"/>
  <c r="F19" i="116"/>
  <c r="F20" i="116"/>
  <c r="F21" i="116"/>
  <c r="F2" i="116"/>
  <c r="B25" i="116"/>
  <c r="E3" i="116"/>
  <c r="E4" i="116"/>
  <c r="E5" i="116"/>
  <c r="E6" i="116"/>
  <c r="E7" i="116"/>
  <c r="E8" i="116"/>
  <c r="E9" i="116"/>
  <c r="E10" i="116"/>
  <c r="E11" i="116"/>
  <c r="E12" i="116"/>
  <c r="E13" i="116"/>
  <c r="E14" i="116"/>
  <c r="E15" i="116"/>
  <c r="E16" i="116"/>
  <c r="E17" i="116"/>
  <c r="E18" i="116"/>
  <c r="E19" i="116"/>
  <c r="E20" i="116"/>
  <c r="E21" i="116"/>
  <c r="E2" i="116"/>
  <c r="C3" i="116"/>
  <c r="C4" i="116"/>
  <c r="C5" i="116"/>
  <c r="C6" i="116"/>
  <c r="C7" i="116"/>
  <c r="C8" i="116"/>
  <c r="C9" i="116"/>
  <c r="C10" i="116"/>
  <c r="C11" i="116"/>
  <c r="C12" i="116"/>
  <c r="C13" i="116"/>
  <c r="C14" i="116"/>
  <c r="C15" i="116"/>
  <c r="C16" i="116"/>
  <c r="C17" i="116"/>
  <c r="C18" i="116"/>
  <c r="C19" i="116"/>
  <c r="C20" i="116"/>
  <c r="C21" i="116"/>
  <c r="C2" i="116"/>
  <c r="D3" i="117"/>
  <c r="D4" i="117" s="1"/>
  <c r="D5" i="117" s="1"/>
  <c r="D6" i="117" s="1"/>
  <c r="D7" i="117" s="1"/>
  <c r="D8" i="117" s="1"/>
  <c r="D9" i="117" s="1"/>
  <c r="D10" i="117" s="1"/>
  <c r="D11" i="117" s="1"/>
  <c r="D12" i="117" s="1"/>
  <c r="D13" i="117" s="1"/>
  <c r="D14" i="117" s="1"/>
  <c r="D15" i="117" s="1"/>
  <c r="D16" i="117" s="1"/>
  <c r="D17" i="117" s="1"/>
  <c r="D18" i="117" s="1"/>
  <c r="D19" i="117" s="1"/>
  <c r="D20" i="117" s="1"/>
  <c r="D21" i="117" s="1"/>
  <c r="D22" i="117" s="1"/>
  <c r="D23" i="117" s="1"/>
  <c r="D24" i="117" s="1"/>
  <c r="D25" i="117" s="1"/>
  <c r="D26" i="117" s="1"/>
  <c r="D27" i="117" s="1"/>
  <c r="D28" i="117" s="1"/>
  <c r="D29" i="117" s="1"/>
  <c r="D30" i="117" s="1"/>
  <c r="D31" i="117" s="1"/>
  <c r="D32" i="117" s="1"/>
  <c r="D33" i="117" s="1"/>
  <c r="D34" i="117" s="1"/>
  <c r="D35" i="117" s="1"/>
  <c r="D36" i="117" s="1"/>
  <c r="D37" i="117" s="1"/>
  <c r="D38" i="117" s="1"/>
  <c r="D39" i="117" s="1"/>
  <c r="D40" i="117" s="1"/>
  <c r="D41" i="117" s="1"/>
  <c r="D42" i="117" s="1"/>
  <c r="D43" i="117" s="1"/>
  <c r="D44" i="117" s="1"/>
  <c r="D45" i="117" s="1"/>
  <c r="D46" i="117" s="1"/>
  <c r="D47" i="117" s="1"/>
  <c r="D48" i="117" s="1"/>
  <c r="D49" i="117" s="1"/>
  <c r="D50" i="117" s="1"/>
  <c r="D51" i="117" s="1"/>
  <c r="D52" i="117" s="1"/>
  <c r="D53" i="117" s="1"/>
  <c r="D54" i="117" s="1"/>
  <c r="D55" i="117" s="1"/>
  <c r="D56" i="117" s="1"/>
  <c r="D57" i="117" s="1"/>
  <c r="D58" i="117" s="1"/>
  <c r="D59" i="117" s="1"/>
  <c r="D60" i="117" s="1"/>
  <c r="D61" i="117" s="1"/>
  <c r="D62" i="117" s="1"/>
  <c r="D63" i="117" s="1"/>
  <c r="D64" i="117" s="1"/>
  <c r="D65" i="117" s="1"/>
  <c r="D66" i="117" s="1"/>
  <c r="D67" i="117" s="1"/>
  <c r="D68" i="117" s="1"/>
  <c r="D69" i="117" s="1"/>
  <c r="D70" i="117" s="1"/>
  <c r="D71" i="117" s="1"/>
  <c r="D72" i="117" s="1"/>
  <c r="D73" i="117" s="1"/>
  <c r="D74" i="117" s="1"/>
  <c r="D75" i="117" s="1"/>
  <c r="D76" i="117" s="1"/>
  <c r="D77" i="117" s="1"/>
  <c r="D78" i="117" s="1"/>
  <c r="D79" i="117" s="1"/>
  <c r="D80" i="117" s="1"/>
  <c r="D81" i="117" s="1"/>
  <c r="D82" i="117" s="1"/>
  <c r="D83" i="117" s="1"/>
  <c r="D84" i="117" s="1"/>
  <c r="D85" i="117" s="1"/>
  <c r="D86" i="117" s="1"/>
  <c r="D87" i="117" s="1"/>
  <c r="D88" i="117" s="1"/>
  <c r="D89" i="117" s="1"/>
  <c r="D90" i="117" s="1"/>
  <c r="D91" i="117" s="1"/>
  <c r="D92" i="117" s="1"/>
  <c r="D93" i="117" s="1"/>
  <c r="D94" i="117" s="1"/>
  <c r="D95" i="117" s="1"/>
  <c r="D96" i="117" s="1"/>
  <c r="D97" i="117" s="1"/>
  <c r="D98" i="117" s="1"/>
  <c r="D99" i="117" s="1"/>
  <c r="D100" i="117" s="1"/>
  <c r="D101" i="117" s="1"/>
  <c r="D102" i="117" s="1"/>
  <c r="D103" i="117" s="1"/>
  <c r="D104" i="117" s="1"/>
  <c r="D105" i="117" s="1"/>
  <c r="D106" i="117" s="1"/>
  <c r="D107" i="117" s="1"/>
  <c r="D108" i="117" s="1"/>
  <c r="D109" i="117" s="1"/>
  <c r="D110" i="117" s="1"/>
  <c r="D111" i="117" s="1"/>
  <c r="D112" i="117" s="1"/>
  <c r="D113" i="117" s="1"/>
  <c r="D114" i="117" s="1"/>
  <c r="D115" i="117" s="1"/>
  <c r="D116" i="117" s="1"/>
  <c r="D117" i="117" s="1"/>
  <c r="D118" i="117" s="1"/>
  <c r="D119" i="117" s="1"/>
  <c r="D120" i="117" s="1"/>
  <c r="D121" i="117" s="1"/>
  <c r="J17" i="115"/>
  <c r="J16" i="115"/>
  <c r="J15" i="115"/>
  <c r="J14" i="115"/>
  <c r="J13" i="115"/>
  <c r="J4" i="115"/>
  <c r="J5" i="115"/>
  <c r="J6" i="115"/>
  <c r="J7" i="115"/>
  <c r="J8" i="115"/>
  <c r="J9" i="115"/>
  <c r="J10" i="115"/>
  <c r="J11" i="115"/>
  <c r="J12" i="115"/>
  <c r="J3" i="115"/>
  <c r="I4" i="115"/>
  <c r="I5" i="115"/>
  <c r="I6" i="115"/>
  <c r="I7" i="115"/>
  <c r="I8" i="115"/>
  <c r="I9" i="115"/>
  <c r="I10" i="115"/>
  <c r="I11" i="115"/>
  <c r="I12" i="115"/>
  <c r="I3" i="115"/>
  <c r="H4" i="115"/>
  <c r="H5" i="115"/>
  <c r="H6" i="115"/>
  <c r="H7" i="115"/>
  <c r="H8" i="115"/>
  <c r="H9" i="115"/>
  <c r="H10" i="115"/>
  <c r="H11" i="115"/>
  <c r="H12" i="115"/>
  <c r="H3" i="115"/>
  <c r="G4" i="115"/>
  <c r="G5" i="115"/>
  <c r="G6" i="115"/>
  <c r="G7" i="115"/>
  <c r="G8" i="115"/>
  <c r="G9" i="115"/>
  <c r="G10" i="115"/>
  <c r="G11" i="115"/>
  <c r="G12" i="115"/>
  <c r="G3" i="115"/>
  <c r="F4" i="115"/>
  <c r="F5" i="115"/>
  <c r="F6" i="115"/>
  <c r="F7" i="115"/>
  <c r="F8" i="115"/>
  <c r="F9" i="115"/>
  <c r="F10" i="115"/>
  <c r="F11" i="115"/>
  <c r="F12" i="115"/>
  <c r="F3" i="115"/>
  <c r="E4" i="115"/>
  <c r="E5" i="115"/>
  <c r="E6" i="115"/>
  <c r="E7" i="115"/>
  <c r="E8" i="115"/>
  <c r="E9" i="115"/>
  <c r="E10" i="115"/>
  <c r="E11" i="115"/>
  <c r="E12" i="115"/>
  <c r="E3" i="115"/>
  <c r="D4" i="115"/>
  <c r="D5" i="115"/>
  <c r="D6" i="115"/>
  <c r="D7" i="115"/>
  <c r="D8" i="115"/>
  <c r="D9" i="115"/>
  <c r="D10" i="115"/>
  <c r="D11" i="115"/>
  <c r="D12" i="115"/>
  <c r="D3" i="115"/>
  <c r="B27" i="114"/>
  <c r="J27" i="114"/>
  <c r="J26" i="114"/>
  <c r="J25" i="114"/>
  <c r="J24" i="114"/>
  <c r="J23" i="114"/>
  <c r="J4" i="114"/>
  <c r="J5" i="114"/>
  <c r="J6" i="114"/>
  <c r="J7" i="114"/>
  <c r="J8" i="114"/>
  <c r="J9" i="114"/>
  <c r="J10" i="114"/>
  <c r="J11" i="114"/>
  <c r="J12" i="114"/>
  <c r="J13" i="114"/>
  <c r="J14" i="114"/>
  <c r="J15" i="114"/>
  <c r="J16" i="114"/>
  <c r="J17" i="114"/>
  <c r="J18" i="114"/>
  <c r="J19" i="114"/>
  <c r="J20" i="114"/>
  <c r="J21" i="114"/>
  <c r="J22" i="114"/>
  <c r="J3" i="114"/>
  <c r="I4" i="114"/>
  <c r="I5" i="114"/>
  <c r="I6" i="114"/>
  <c r="I7" i="114"/>
  <c r="I8" i="114"/>
  <c r="I9" i="114"/>
  <c r="I10" i="114"/>
  <c r="I11" i="114"/>
  <c r="I12" i="114"/>
  <c r="I13" i="114"/>
  <c r="I14" i="114"/>
  <c r="I15" i="114"/>
  <c r="I16" i="114"/>
  <c r="I17" i="114"/>
  <c r="I18" i="114"/>
  <c r="I19" i="114"/>
  <c r="I20" i="114"/>
  <c r="I21" i="114"/>
  <c r="I22" i="114"/>
  <c r="I3" i="114"/>
  <c r="H4" i="114"/>
  <c r="H5" i="114"/>
  <c r="H6" i="114"/>
  <c r="H7" i="114"/>
  <c r="H8" i="114"/>
  <c r="H9" i="114"/>
  <c r="H10" i="114"/>
  <c r="H11" i="114"/>
  <c r="H12" i="114"/>
  <c r="H13" i="114"/>
  <c r="H14" i="114"/>
  <c r="H15" i="114"/>
  <c r="H16" i="114"/>
  <c r="H17" i="114"/>
  <c r="H18" i="114"/>
  <c r="H19" i="114"/>
  <c r="H20" i="114"/>
  <c r="H21" i="114"/>
  <c r="H22" i="114"/>
  <c r="H3" i="114"/>
  <c r="G4" i="114"/>
  <c r="G5" i="114"/>
  <c r="G6" i="114"/>
  <c r="G7" i="114"/>
  <c r="G8" i="114"/>
  <c r="G9" i="114"/>
  <c r="G10" i="114"/>
  <c r="G11" i="114"/>
  <c r="G12" i="114"/>
  <c r="G13" i="114"/>
  <c r="G14" i="114"/>
  <c r="G15" i="114"/>
  <c r="G16" i="114"/>
  <c r="G17" i="114"/>
  <c r="G18" i="114"/>
  <c r="G19" i="114"/>
  <c r="G20" i="114"/>
  <c r="G21" i="114"/>
  <c r="G22" i="114"/>
  <c r="G3" i="114"/>
  <c r="F4" i="114"/>
  <c r="F5" i="114"/>
  <c r="F6" i="114"/>
  <c r="F7" i="114"/>
  <c r="F8" i="114"/>
  <c r="F9" i="114"/>
  <c r="F10" i="114"/>
  <c r="F11" i="114"/>
  <c r="F12" i="114"/>
  <c r="F13" i="114"/>
  <c r="F14" i="114"/>
  <c r="F15" i="114"/>
  <c r="F16" i="114"/>
  <c r="F17" i="114"/>
  <c r="F18" i="114"/>
  <c r="F19" i="114"/>
  <c r="F20" i="114"/>
  <c r="F21" i="114"/>
  <c r="F22" i="114"/>
  <c r="F3" i="114"/>
  <c r="E4" i="114"/>
  <c r="E5" i="114"/>
  <c r="E6" i="114"/>
  <c r="E7" i="114"/>
  <c r="E8" i="114"/>
  <c r="E9" i="114"/>
  <c r="E10" i="114"/>
  <c r="E11" i="114"/>
  <c r="E12" i="114"/>
  <c r="E13" i="114"/>
  <c r="E14" i="114"/>
  <c r="E15" i="114"/>
  <c r="E16" i="114"/>
  <c r="E17" i="114"/>
  <c r="E18" i="114"/>
  <c r="E19" i="114"/>
  <c r="E20" i="114"/>
  <c r="E21" i="114"/>
  <c r="E22" i="114"/>
  <c r="E3" i="114"/>
  <c r="D4" i="114"/>
  <c r="D5" i="114"/>
  <c r="D6" i="114"/>
  <c r="D7" i="114"/>
  <c r="D8" i="114"/>
  <c r="D9" i="114"/>
  <c r="D10" i="114"/>
  <c r="D11" i="114"/>
  <c r="D12" i="114"/>
  <c r="D13" i="114"/>
  <c r="D14" i="114"/>
  <c r="D15" i="114"/>
  <c r="D16" i="114"/>
  <c r="D17" i="114"/>
  <c r="D18" i="114"/>
  <c r="D19" i="114"/>
  <c r="D20" i="114"/>
  <c r="D21" i="114"/>
  <c r="D22" i="114"/>
  <c r="D3" i="114"/>
  <c r="B23" i="111"/>
  <c r="J23" i="111"/>
  <c r="J22" i="111"/>
  <c r="J21" i="111"/>
  <c r="J20" i="111"/>
  <c r="J19" i="111"/>
  <c r="J4" i="111"/>
  <c r="J5" i="111"/>
  <c r="J6" i="111"/>
  <c r="J7" i="111"/>
  <c r="J8" i="111"/>
  <c r="J9" i="111"/>
  <c r="J10" i="111"/>
  <c r="J11" i="111"/>
  <c r="J12" i="111"/>
  <c r="J13" i="111"/>
  <c r="J14" i="111"/>
  <c r="J15" i="111"/>
  <c r="J16" i="111"/>
  <c r="J17" i="111"/>
  <c r="J18" i="111"/>
  <c r="J3" i="111"/>
  <c r="I4" i="111"/>
  <c r="I5" i="111"/>
  <c r="I6" i="111"/>
  <c r="I7" i="111"/>
  <c r="I8" i="111"/>
  <c r="I9" i="111"/>
  <c r="I10" i="111"/>
  <c r="I11" i="111"/>
  <c r="I12" i="111"/>
  <c r="I13" i="111"/>
  <c r="I14" i="111"/>
  <c r="I15" i="111"/>
  <c r="I16" i="111"/>
  <c r="I17" i="111"/>
  <c r="I18" i="111"/>
  <c r="I3" i="111"/>
  <c r="H4" i="111"/>
  <c r="H5" i="111"/>
  <c r="H6" i="111"/>
  <c r="H7" i="111"/>
  <c r="H8" i="111"/>
  <c r="H9" i="111"/>
  <c r="H10" i="111"/>
  <c r="H11" i="111"/>
  <c r="H12" i="111"/>
  <c r="H13" i="111"/>
  <c r="H14" i="111"/>
  <c r="H15" i="111"/>
  <c r="H16" i="111"/>
  <c r="H17" i="111"/>
  <c r="H18" i="111"/>
  <c r="H3" i="111"/>
  <c r="G4" i="111"/>
  <c r="G5" i="111"/>
  <c r="G6" i="111"/>
  <c r="G7" i="111"/>
  <c r="G8" i="111"/>
  <c r="G9" i="111"/>
  <c r="G10" i="111"/>
  <c r="G11" i="111"/>
  <c r="G12" i="111"/>
  <c r="G13" i="111"/>
  <c r="G14" i="111"/>
  <c r="G15" i="111"/>
  <c r="G16" i="111"/>
  <c r="G17" i="111"/>
  <c r="G18" i="111"/>
  <c r="G3" i="111"/>
  <c r="F4" i="111"/>
  <c r="F5" i="111"/>
  <c r="F6" i="111"/>
  <c r="F7" i="111"/>
  <c r="F8" i="111"/>
  <c r="F9" i="111"/>
  <c r="F10" i="111"/>
  <c r="F11" i="111"/>
  <c r="F12" i="111"/>
  <c r="F13" i="111"/>
  <c r="F14" i="111"/>
  <c r="F15" i="111"/>
  <c r="F16" i="111"/>
  <c r="F17" i="111"/>
  <c r="F18" i="111"/>
  <c r="F3" i="111"/>
  <c r="E4" i="111"/>
  <c r="E5" i="111"/>
  <c r="E6" i="111"/>
  <c r="E7" i="111"/>
  <c r="E8" i="111"/>
  <c r="E9" i="111"/>
  <c r="E10" i="111"/>
  <c r="E11" i="111"/>
  <c r="E12" i="111"/>
  <c r="E13" i="111"/>
  <c r="E14" i="111"/>
  <c r="E15" i="111"/>
  <c r="E16" i="111"/>
  <c r="E17" i="111"/>
  <c r="E18" i="111"/>
  <c r="E3" i="111"/>
  <c r="D4" i="111"/>
  <c r="D5" i="111"/>
  <c r="D6" i="111"/>
  <c r="D7" i="111"/>
  <c r="D8" i="111"/>
  <c r="D9" i="111"/>
  <c r="D10" i="111"/>
  <c r="D11" i="111"/>
  <c r="D12" i="111"/>
  <c r="D13" i="111"/>
  <c r="D14" i="111"/>
  <c r="D15" i="111"/>
  <c r="D16" i="111"/>
  <c r="D17" i="111"/>
  <c r="D18" i="111"/>
  <c r="D3" i="111"/>
  <c r="B39" i="109"/>
  <c r="I37" i="109"/>
  <c r="I36" i="109"/>
  <c r="I35" i="109"/>
  <c r="I34" i="109"/>
  <c r="I33" i="109"/>
  <c r="I3" i="109"/>
  <c r="I4" i="109"/>
  <c r="I5" i="109"/>
  <c r="I6" i="109"/>
  <c r="I7" i="109"/>
  <c r="I8" i="109"/>
  <c r="I9" i="109"/>
  <c r="I10" i="109"/>
  <c r="I11" i="109"/>
  <c r="I12" i="109"/>
  <c r="I13" i="109"/>
  <c r="I14" i="109"/>
  <c r="I15" i="109"/>
  <c r="I16" i="109"/>
  <c r="I17" i="109"/>
  <c r="I18" i="109"/>
  <c r="I19" i="109"/>
  <c r="I20" i="109"/>
  <c r="I21" i="109"/>
  <c r="I22" i="109"/>
  <c r="I23" i="109"/>
  <c r="I24" i="109"/>
  <c r="I25" i="109"/>
  <c r="I26" i="109"/>
  <c r="I27" i="109"/>
  <c r="I28" i="109"/>
  <c r="I29" i="109"/>
  <c r="I30" i="109"/>
  <c r="I31" i="109"/>
  <c r="I32" i="109"/>
  <c r="I2" i="109"/>
  <c r="H3" i="109"/>
  <c r="H4" i="109"/>
  <c r="H5" i="109"/>
  <c r="H6" i="109"/>
  <c r="H7" i="109"/>
  <c r="H8" i="109"/>
  <c r="H9" i="109"/>
  <c r="H10" i="109"/>
  <c r="H11" i="109"/>
  <c r="H12" i="109"/>
  <c r="H13" i="109"/>
  <c r="H14" i="109"/>
  <c r="H15" i="109"/>
  <c r="H16" i="109"/>
  <c r="H17" i="109"/>
  <c r="H18" i="109"/>
  <c r="H19" i="109"/>
  <c r="H20" i="109"/>
  <c r="H21" i="109"/>
  <c r="H22" i="109"/>
  <c r="H23" i="109"/>
  <c r="H24" i="109"/>
  <c r="H25" i="109"/>
  <c r="H26" i="109"/>
  <c r="H27" i="109"/>
  <c r="H28" i="109"/>
  <c r="H29" i="109"/>
  <c r="H30" i="109"/>
  <c r="H31" i="109"/>
  <c r="H32" i="109"/>
  <c r="H2" i="109"/>
  <c r="G3" i="109"/>
  <c r="G4" i="109"/>
  <c r="G5" i="109"/>
  <c r="G6" i="109"/>
  <c r="G7" i="109"/>
  <c r="G8" i="109"/>
  <c r="G9" i="109"/>
  <c r="G10" i="109"/>
  <c r="G11" i="109"/>
  <c r="G12" i="109"/>
  <c r="G13" i="109"/>
  <c r="G14" i="109"/>
  <c r="G15" i="109"/>
  <c r="G16" i="109"/>
  <c r="G17" i="109"/>
  <c r="G18" i="109"/>
  <c r="G19" i="109"/>
  <c r="G20" i="109"/>
  <c r="G21" i="109"/>
  <c r="G22" i="109"/>
  <c r="G23" i="109"/>
  <c r="G24" i="109"/>
  <c r="G25" i="109"/>
  <c r="G26" i="109"/>
  <c r="G27" i="109"/>
  <c r="G28" i="109"/>
  <c r="G29" i="109"/>
  <c r="G30" i="109"/>
  <c r="G31" i="109"/>
  <c r="G32" i="109"/>
  <c r="G2" i="109"/>
  <c r="F3" i="109"/>
  <c r="F4" i="109"/>
  <c r="F5" i="109"/>
  <c r="F6" i="109"/>
  <c r="F7" i="109"/>
  <c r="F8" i="109"/>
  <c r="F9" i="109"/>
  <c r="F10" i="109"/>
  <c r="F11" i="109"/>
  <c r="F12" i="109"/>
  <c r="F13" i="109"/>
  <c r="F14" i="109"/>
  <c r="F15" i="109"/>
  <c r="F16" i="109"/>
  <c r="F17" i="109"/>
  <c r="F18" i="109"/>
  <c r="F19" i="109"/>
  <c r="F20" i="109"/>
  <c r="F21" i="109"/>
  <c r="F22" i="109"/>
  <c r="F23" i="109"/>
  <c r="F24" i="109"/>
  <c r="F25" i="109"/>
  <c r="F26" i="109"/>
  <c r="F27" i="109"/>
  <c r="F28" i="109"/>
  <c r="F29" i="109"/>
  <c r="F30" i="109"/>
  <c r="F31" i="109"/>
  <c r="F32" i="109"/>
  <c r="F2" i="109"/>
  <c r="B36" i="109"/>
  <c r="E3" i="109"/>
  <c r="E4" i="109"/>
  <c r="E5" i="109"/>
  <c r="E6" i="109"/>
  <c r="E7" i="109"/>
  <c r="E8" i="109"/>
  <c r="E9" i="109"/>
  <c r="E10" i="109"/>
  <c r="E11" i="109"/>
  <c r="E12" i="109"/>
  <c r="E13" i="109"/>
  <c r="E14" i="109"/>
  <c r="E15" i="109"/>
  <c r="E16" i="109"/>
  <c r="E17" i="109"/>
  <c r="E18" i="109"/>
  <c r="E19" i="109"/>
  <c r="E20" i="109"/>
  <c r="E21" i="109"/>
  <c r="E22" i="109"/>
  <c r="E23" i="109"/>
  <c r="E24" i="109"/>
  <c r="E25" i="109"/>
  <c r="E26" i="109"/>
  <c r="E27" i="109"/>
  <c r="E28" i="109"/>
  <c r="E29" i="109"/>
  <c r="E30" i="109"/>
  <c r="E31" i="109"/>
  <c r="E32" i="109"/>
  <c r="E2" i="109"/>
  <c r="C3" i="109"/>
  <c r="C4" i="109"/>
  <c r="C5" i="109"/>
  <c r="C6" i="109"/>
  <c r="C7" i="109"/>
  <c r="C8" i="109"/>
  <c r="C9" i="109"/>
  <c r="C10" i="109"/>
  <c r="C11" i="109"/>
  <c r="C12" i="109"/>
  <c r="C13" i="109"/>
  <c r="C14" i="109"/>
  <c r="C15" i="109"/>
  <c r="C16" i="109"/>
  <c r="C17" i="109"/>
  <c r="C18" i="109"/>
  <c r="C19" i="109"/>
  <c r="C20" i="109"/>
  <c r="C21" i="109"/>
  <c r="C22" i="109"/>
  <c r="C23" i="109"/>
  <c r="C24" i="109"/>
  <c r="C25" i="109"/>
  <c r="C26" i="109"/>
  <c r="C27" i="109"/>
  <c r="C28" i="109"/>
  <c r="C29" i="109"/>
  <c r="C30" i="109"/>
  <c r="C31" i="109"/>
  <c r="C32" i="109"/>
  <c r="C2" i="109"/>
  <c r="B39" i="107"/>
  <c r="I37" i="107"/>
  <c r="I36" i="107"/>
  <c r="I35" i="107"/>
  <c r="I34" i="107"/>
  <c r="I33" i="107"/>
  <c r="I3" i="107"/>
  <c r="I4" i="107"/>
  <c r="I5" i="107"/>
  <c r="I6" i="107"/>
  <c r="I7" i="107"/>
  <c r="I8" i="107"/>
  <c r="I9" i="107"/>
  <c r="I10" i="107"/>
  <c r="I11" i="107"/>
  <c r="I12" i="107"/>
  <c r="I13" i="107"/>
  <c r="I14" i="107"/>
  <c r="I15" i="107"/>
  <c r="I16" i="107"/>
  <c r="I17" i="107"/>
  <c r="I18" i="107"/>
  <c r="I19" i="107"/>
  <c r="I20" i="107"/>
  <c r="I21" i="107"/>
  <c r="I22" i="107"/>
  <c r="I23" i="107"/>
  <c r="I24" i="107"/>
  <c r="I25" i="107"/>
  <c r="I26" i="107"/>
  <c r="I27" i="107"/>
  <c r="I28" i="107"/>
  <c r="I29" i="107"/>
  <c r="I30" i="107"/>
  <c r="I31" i="107"/>
  <c r="I32" i="107"/>
  <c r="I2" i="107"/>
  <c r="H32" i="107"/>
  <c r="H31" i="107"/>
  <c r="H30" i="107"/>
  <c r="H29" i="107"/>
  <c r="H28" i="107"/>
  <c r="H27" i="107"/>
  <c r="H26" i="107"/>
  <c r="H25" i="107"/>
  <c r="H24" i="107"/>
  <c r="H23" i="107"/>
  <c r="H22" i="107"/>
  <c r="H21" i="107"/>
  <c r="H20" i="107"/>
  <c r="H19" i="107"/>
  <c r="H18" i="107"/>
  <c r="H17" i="107"/>
  <c r="H16" i="107"/>
  <c r="H15" i="107"/>
  <c r="H14" i="107"/>
  <c r="H13" i="107"/>
  <c r="H12" i="107"/>
  <c r="H11" i="107"/>
  <c r="H10" i="107"/>
  <c r="H9" i="107"/>
  <c r="H8" i="107"/>
  <c r="H7" i="107"/>
  <c r="H6" i="107"/>
  <c r="H5" i="107"/>
  <c r="H4" i="107"/>
  <c r="H3" i="107"/>
  <c r="H2" i="107"/>
  <c r="B36" i="107"/>
  <c r="G3" i="107"/>
  <c r="G4" i="107"/>
  <c r="G5" i="107"/>
  <c r="G6" i="107"/>
  <c r="G7" i="107"/>
  <c r="G8" i="107"/>
  <c r="G9" i="107"/>
  <c r="G10" i="107"/>
  <c r="G11" i="107"/>
  <c r="G12" i="107"/>
  <c r="G13" i="107"/>
  <c r="G14" i="107"/>
  <c r="G15" i="107"/>
  <c r="G16" i="107"/>
  <c r="G17" i="107"/>
  <c r="G18" i="107"/>
  <c r="G19" i="107"/>
  <c r="G20" i="107"/>
  <c r="G21" i="107"/>
  <c r="G22" i="107"/>
  <c r="G23" i="107"/>
  <c r="G24" i="107"/>
  <c r="G25" i="107"/>
  <c r="G26" i="107"/>
  <c r="G27" i="107"/>
  <c r="G28" i="107"/>
  <c r="G29" i="107"/>
  <c r="G30" i="107"/>
  <c r="G31" i="107"/>
  <c r="G32" i="107"/>
  <c r="G2" i="107"/>
  <c r="F3" i="107"/>
  <c r="F4" i="107"/>
  <c r="F5" i="107"/>
  <c r="F6" i="107"/>
  <c r="F7" i="107"/>
  <c r="F8" i="107"/>
  <c r="F9" i="107"/>
  <c r="F10" i="107"/>
  <c r="F11" i="107"/>
  <c r="F12" i="107"/>
  <c r="F13" i="107"/>
  <c r="F14" i="107"/>
  <c r="F15" i="107"/>
  <c r="F16" i="107"/>
  <c r="F17" i="107"/>
  <c r="F18" i="107"/>
  <c r="F19" i="107"/>
  <c r="F20" i="107"/>
  <c r="F21" i="107"/>
  <c r="F22" i="107"/>
  <c r="F23" i="107"/>
  <c r="F24" i="107"/>
  <c r="F25" i="107"/>
  <c r="F26" i="107"/>
  <c r="F27" i="107"/>
  <c r="F28" i="107"/>
  <c r="F29" i="107"/>
  <c r="F30" i="107"/>
  <c r="F31" i="107"/>
  <c r="F32" i="107"/>
  <c r="F2" i="107"/>
  <c r="E3" i="107"/>
  <c r="E4" i="107"/>
  <c r="E5" i="107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2" i="107"/>
  <c r="C3" i="107"/>
  <c r="C4" i="107"/>
  <c r="C5" i="107"/>
  <c r="C6" i="107"/>
  <c r="C7" i="107"/>
  <c r="C8" i="107"/>
  <c r="C9" i="107"/>
  <c r="C10" i="107"/>
  <c r="C11" i="107"/>
  <c r="C12" i="107"/>
  <c r="C13" i="107"/>
  <c r="C14" i="107"/>
  <c r="C15" i="107"/>
  <c r="C16" i="107"/>
  <c r="C17" i="107"/>
  <c r="C18" i="107"/>
  <c r="C19" i="107"/>
  <c r="C20" i="107"/>
  <c r="C21" i="107"/>
  <c r="C22" i="107"/>
  <c r="C23" i="107"/>
  <c r="C24" i="107"/>
  <c r="C25" i="107"/>
  <c r="C26" i="107"/>
  <c r="C27" i="107"/>
  <c r="C28" i="107"/>
  <c r="C29" i="107"/>
  <c r="C30" i="107"/>
  <c r="C31" i="107"/>
  <c r="C32" i="107"/>
  <c r="C2" i="107"/>
  <c r="D3" i="108"/>
  <c r="D4" i="108" s="1"/>
  <c r="D5" i="108" s="1"/>
  <c r="D6" i="108" s="1"/>
  <c r="D7" i="108" s="1"/>
  <c r="D8" i="108" s="1"/>
  <c r="D9" i="108" s="1"/>
  <c r="D10" i="108" s="1"/>
  <c r="D11" i="108" s="1"/>
  <c r="D12" i="108" s="1"/>
  <c r="D13" i="108" s="1"/>
  <c r="D14" i="108" s="1"/>
  <c r="D15" i="108" s="1"/>
  <c r="D16" i="108" s="1"/>
  <c r="D17" i="108" s="1"/>
  <c r="D18" i="108" s="1"/>
  <c r="D19" i="108" s="1"/>
  <c r="D20" i="108" s="1"/>
  <c r="D21" i="108" s="1"/>
  <c r="D22" i="108" s="1"/>
  <c r="D23" i="108" s="1"/>
  <c r="D24" i="108" s="1"/>
  <c r="D25" i="108" s="1"/>
  <c r="D26" i="108" s="1"/>
  <c r="D27" i="108" s="1"/>
  <c r="D28" i="108" s="1"/>
  <c r="D29" i="108" s="1"/>
  <c r="D30" i="108" s="1"/>
  <c r="D31" i="108" s="1"/>
  <c r="D32" i="108" s="1"/>
  <c r="D33" i="108" s="1"/>
  <c r="D34" i="108" s="1"/>
  <c r="D35" i="108" s="1"/>
  <c r="D36" i="108" s="1"/>
  <c r="D37" i="108" s="1"/>
  <c r="D38" i="108" s="1"/>
  <c r="D39" i="108" s="1"/>
  <c r="D40" i="108" s="1"/>
  <c r="D41" i="108" s="1"/>
  <c r="D42" i="108" s="1"/>
  <c r="D43" i="108" s="1"/>
  <c r="D44" i="108" s="1"/>
  <c r="D45" i="108" s="1"/>
  <c r="D46" i="108" s="1"/>
  <c r="D47" i="108" s="1"/>
  <c r="D48" i="108" s="1"/>
  <c r="D49" i="108" s="1"/>
  <c r="D50" i="108" s="1"/>
  <c r="D51" i="108" s="1"/>
  <c r="D52" i="108" s="1"/>
  <c r="D53" i="108" s="1"/>
  <c r="D54" i="108" s="1"/>
  <c r="D55" i="108" s="1"/>
  <c r="D56" i="108" s="1"/>
  <c r="D57" i="108" s="1"/>
  <c r="D58" i="108" s="1"/>
  <c r="D59" i="108" s="1"/>
  <c r="D60" i="108" s="1"/>
  <c r="D61" i="108" s="1"/>
  <c r="D62" i="108" s="1"/>
  <c r="D63" i="108" s="1"/>
  <c r="D64" i="108" s="1"/>
  <c r="D65" i="108" s="1"/>
  <c r="D66" i="108" s="1"/>
  <c r="D67" i="108" s="1"/>
  <c r="D68" i="108" s="1"/>
  <c r="D69" i="108" s="1"/>
  <c r="D70" i="108" s="1"/>
  <c r="D71" i="108" s="1"/>
  <c r="D72" i="108" s="1"/>
  <c r="D73" i="108" s="1"/>
  <c r="D74" i="108" s="1"/>
  <c r="D75" i="108" s="1"/>
  <c r="D76" i="108" s="1"/>
  <c r="D77" i="108" s="1"/>
  <c r="D78" i="108" s="1"/>
  <c r="D79" i="108" s="1"/>
  <c r="D80" i="108" s="1"/>
  <c r="D81" i="108" s="1"/>
  <c r="D82" i="108" s="1"/>
  <c r="D83" i="108" s="1"/>
  <c r="D84" i="108" s="1"/>
  <c r="D85" i="108" s="1"/>
  <c r="D86" i="108" s="1"/>
  <c r="D87" i="108" s="1"/>
  <c r="D88" i="108" s="1"/>
  <c r="D89" i="108" s="1"/>
  <c r="D90" i="108" s="1"/>
  <c r="D91" i="108" s="1"/>
  <c r="D92" i="108" s="1"/>
  <c r="D93" i="108" s="1"/>
  <c r="D94" i="108" s="1"/>
  <c r="D95" i="108" s="1"/>
  <c r="D96" i="108" s="1"/>
  <c r="D97" i="108" s="1"/>
  <c r="D98" i="108" s="1"/>
  <c r="D99" i="108" s="1"/>
  <c r="D100" i="108" s="1"/>
  <c r="D101" i="108" s="1"/>
  <c r="D102" i="108" s="1"/>
  <c r="D103" i="108" s="1"/>
  <c r="D104" i="108" s="1"/>
  <c r="D105" i="108" s="1"/>
  <c r="D106" i="108" s="1"/>
  <c r="D107" i="108" s="1"/>
  <c r="D108" i="108" s="1"/>
  <c r="D109" i="108" s="1"/>
  <c r="D110" i="108" s="1"/>
  <c r="D111" i="108" s="1"/>
  <c r="D112" i="108" s="1"/>
  <c r="D113" i="108" s="1"/>
  <c r="D114" i="108" s="1"/>
  <c r="D115" i="108" s="1"/>
  <c r="D116" i="108" s="1"/>
  <c r="D117" i="108" s="1"/>
  <c r="D118" i="108" s="1"/>
  <c r="D119" i="108" s="1"/>
  <c r="D120" i="108" s="1"/>
  <c r="D121" i="108" s="1"/>
  <c r="D122" i="108" s="1"/>
  <c r="D123" i="108" s="1"/>
  <c r="D124" i="108" s="1"/>
  <c r="D125" i="108" s="1"/>
  <c r="D126" i="108" s="1"/>
  <c r="D127" i="108" s="1"/>
  <c r="D128" i="108" s="1"/>
  <c r="D129" i="108" s="1"/>
  <c r="D130" i="108" s="1"/>
  <c r="D131" i="108" s="1"/>
  <c r="D132" i="108" s="1"/>
  <c r="D133" i="108" s="1"/>
  <c r="D134" i="108" s="1"/>
  <c r="D135" i="108" s="1"/>
  <c r="D136" i="108" s="1"/>
  <c r="D137" i="108" s="1"/>
  <c r="D138" i="108" s="1"/>
  <c r="D139" i="108" s="1"/>
  <c r="D140" i="108" s="1"/>
  <c r="D141" i="108" s="1"/>
  <c r="D142" i="108" s="1"/>
  <c r="D143" i="108" s="1"/>
  <c r="D144" i="108" s="1"/>
  <c r="D145" i="108" s="1"/>
  <c r="D146" i="108" s="1"/>
  <c r="D147" i="108" s="1"/>
  <c r="D148" i="108" s="1"/>
  <c r="D149" i="108" s="1"/>
  <c r="D150" i="108" s="1"/>
  <c r="D151" i="108" s="1"/>
  <c r="D152" i="108" s="1"/>
  <c r="D153" i="108" s="1"/>
  <c r="D154" i="108" s="1"/>
  <c r="D155" i="108" s="1"/>
  <c r="D156" i="108" s="1"/>
  <c r="D157" i="108" s="1"/>
  <c r="D158" i="108" s="1"/>
  <c r="D159" i="108" s="1"/>
  <c r="D160" i="108" s="1"/>
  <c r="D161" i="108" s="1"/>
  <c r="D162" i="108" s="1"/>
  <c r="D163" i="108" s="1"/>
  <c r="D164" i="108" s="1"/>
  <c r="D165" i="108" s="1"/>
  <c r="D166" i="108" s="1"/>
  <c r="D167" i="108" s="1"/>
  <c r="D168" i="108" s="1"/>
  <c r="D169" i="108" s="1"/>
  <c r="D170" i="108" s="1"/>
  <c r="D171" i="108" s="1"/>
  <c r="D172" i="108" s="1"/>
  <c r="D173" i="108" s="1"/>
  <c r="D174" i="108" s="1"/>
  <c r="D175" i="108" s="1"/>
  <c r="D176" i="108" s="1"/>
  <c r="D177" i="108" s="1"/>
  <c r="D178" i="108" s="1"/>
  <c r="D179" i="108" s="1"/>
  <c r="D180" i="108" s="1"/>
  <c r="D181" i="108" s="1"/>
  <c r="D182" i="108" s="1"/>
  <c r="D183" i="108" s="1"/>
  <c r="D184" i="108" s="1"/>
  <c r="D185" i="108" s="1"/>
  <c r="D186" i="108" s="1"/>
  <c r="D187" i="108" s="1"/>
  <c r="D188" i="108" s="1"/>
  <c r="D189" i="108" s="1"/>
  <c r="D190" i="108" s="1"/>
  <c r="D191" i="108" s="1"/>
  <c r="D192" i="108" s="1"/>
  <c r="D193" i="108" s="1"/>
  <c r="B25" i="104"/>
  <c r="I23" i="104"/>
  <c r="I22" i="104"/>
  <c r="I21" i="104"/>
  <c r="I20" i="104"/>
  <c r="I19" i="104"/>
  <c r="I3" i="104"/>
  <c r="I4" i="104"/>
  <c r="I5" i="104"/>
  <c r="I6" i="104"/>
  <c r="I7" i="104"/>
  <c r="I8" i="104"/>
  <c r="I9" i="104"/>
  <c r="I10" i="104"/>
  <c r="I11" i="104"/>
  <c r="I12" i="104"/>
  <c r="I13" i="104"/>
  <c r="I14" i="104"/>
  <c r="I15" i="104"/>
  <c r="I16" i="104"/>
  <c r="I17" i="104"/>
  <c r="I18" i="104"/>
  <c r="I2" i="104"/>
  <c r="H3" i="104"/>
  <c r="H4" i="104"/>
  <c r="H5" i="104"/>
  <c r="H6" i="104"/>
  <c r="H7" i="104"/>
  <c r="H8" i="104"/>
  <c r="H9" i="104"/>
  <c r="H10" i="104"/>
  <c r="H11" i="104"/>
  <c r="H12" i="104"/>
  <c r="H13" i="104"/>
  <c r="H14" i="104"/>
  <c r="H15" i="104"/>
  <c r="H16" i="104"/>
  <c r="H17" i="104"/>
  <c r="H18" i="104"/>
  <c r="H2" i="104"/>
  <c r="B22" i="104"/>
  <c r="G3" i="104"/>
  <c r="G4" i="104"/>
  <c r="G5" i="104"/>
  <c r="G6" i="104"/>
  <c r="G7" i="104"/>
  <c r="G8" i="104"/>
  <c r="G9" i="104"/>
  <c r="G10" i="104"/>
  <c r="G11" i="104"/>
  <c r="G12" i="104"/>
  <c r="G13" i="104"/>
  <c r="G14" i="104"/>
  <c r="G15" i="104"/>
  <c r="G16" i="104"/>
  <c r="G17" i="104"/>
  <c r="G18" i="104"/>
  <c r="G2" i="104"/>
  <c r="F3" i="104"/>
  <c r="F4" i="104"/>
  <c r="F5" i="104"/>
  <c r="F6" i="104"/>
  <c r="F7" i="104"/>
  <c r="F8" i="104"/>
  <c r="F9" i="104"/>
  <c r="F10" i="104"/>
  <c r="F11" i="104"/>
  <c r="F12" i="104"/>
  <c r="F13" i="104"/>
  <c r="F14" i="104"/>
  <c r="F15" i="104"/>
  <c r="F16" i="104"/>
  <c r="F17" i="104"/>
  <c r="F18" i="104"/>
  <c r="F2" i="104"/>
  <c r="E3" i="104"/>
  <c r="E4" i="104"/>
  <c r="E5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2" i="104"/>
  <c r="C3" i="104"/>
  <c r="C4" i="104"/>
  <c r="C5" i="104"/>
  <c r="C6" i="104"/>
  <c r="C7" i="104"/>
  <c r="C8" i="104"/>
  <c r="C9" i="104"/>
  <c r="C10" i="104"/>
  <c r="C11" i="104"/>
  <c r="C12" i="104"/>
  <c r="C13" i="104"/>
  <c r="C14" i="104"/>
  <c r="C15" i="104"/>
  <c r="C16" i="104"/>
  <c r="C17" i="104"/>
  <c r="C18" i="104"/>
  <c r="C2" i="104"/>
  <c r="D3" i="105"/>
  <c r="D4" i="105" s="1"/>
  <c r="D5" i="105" s="1"/>
  <c r="D6" i="105" s="1"/>
  <c r="D7" i="105" s="1"/>
  <c r="D8" i="105" s="1"/>
  <c r="D9" i="105" s="1"/>
  <c r="D10" i="105" s="1"/>
  <c r="D11" i="105" s="1"/>
  <c r="D12" i="105" s="1"/>
  <c r="D13" i="105" s="1"/>
  <c r="D14" i="105" s="1"/>
  <c r="D15" i="105" s="1"/>
  <c r="D16" i="105" s="1"/>
  <c r="D17" i="105" s="1"/>
  <c r="D18" i="105" s="1"/>
  <c r="D19" i="105" s="1"/>
  <c r="D20" i="105" s="1"/>
  <c r="D21" i="105" s="1"/>
  <c r="D22" i="105" s="1"/>
  <c r="D23" i="105" s="1"/>
  <c r="D24" i="105" s="1"/>
  <c r="D25" i="105" s="1"/>
  <c r="D26" i="105" s="1"/>
  <c r="D27" i="105" s="1"/>
  <c r="D28" i="105" s="1"/>
  <c r="D29" i="105" s="1"/>
  <c r="D30" i="105" s="1"/>
  <c r="D31" i="105" s="1"/>
  <c r="D32" i="105" s="1"/>
  <c r="D33" i="105" s="1"/>
  <c r="D34" i="105" s="1"/>
  <c r="D35" i="105" s="1"/>
  <c r="D36" i="105" s="1"/>
  <c r="D37" i="105" s="1"/>
  <c r="D38" i="105" s="1"/>
  <c r="D39" i="105" s="1"/>
  <c r="D40" i="105" s="1"/>
  <c r="D41" i="105" s="1"/>
  <c r="D42" i="105" s="1"/>
  <c r="D43" i="105" s="1"/>
  <c r="D44" i="105" s="1"/>
  <c r="D45" i="105" s="1"/>
  <c r="D46" i="105" s="1"/>
  <c r="D47" i="105" s="1"/>
  <c r="D48" i="105" s="1"/>
  <c r="D49" i="105" s="1"/>
  <c r="D50" i="105" s="1"/>
  <c r="D51" i="105" s="1"/>
  <c r="D52" i="105" s="1"/>
  <c r="D53" i="105" s="1"/>
  <c r="D54" i="105" s="1"/>
  <c r="D55" i="105" s="1"/>
  <c r="D56" i="105" s="1"/>
  <c r="D57" i="105" s="1"/>
  <c r="D58" i="105" s="1"/>
  <c r="D59" i="105" s="1"/>
  <c r="D60" i="105" s="1"/>
  <c r="D61" i="105" s="1"/>
  <c r="D62" i="105" s="1"/>
  <c r="D63" i="105" s="1"/>
  <c r="D64" i="105" s="1"/>
  <c r="D65" i="105" s="1"/>
  <c r="D66" i="105" s="1"/>
  <c r="D67" i="105" s="1"/>
  <c r="D68" i="105" s="1"/>
  <c r="D69" i="105" s="1"/>
  <c r="D70" i="105" s="1"/>
  <c r="D71" i="105" s="1"/>
  <c r="D72" i="105" s="1"/>
  <c r="D73" i="105" s="1"/>
  <c r="D74" i="105" s="1"/>
  <c r="D75" i="105" s="1"/>
  <c r="D76" i="105" s="1"/>
  <c r="D77" i="105" s="1"/>
  <c r="D78" i="105" s="1"/>
  <c r="D79" i="105" s="1"/>
  <c r="D80" i="105" s="1"/>
  <c r="D81" i="105" s="1"/>
  <c r="D82" i="105" s="1"/>
  <c r="D83" i="105" s="1"/>
  <c r="D84" i="105" s="1"/>
  <c r="D85" i="105" s="1"/>
  <c r="D86" i="105" s="1"/>
  <c r="D87" i="105" s="1"/>
  <c r="D88" i="105" s="1"/>
  <c r="D89" i="105" s="1"/>
  <c r="D90" i="105" s="1"/>
  <c r="D91" i="105" s="1"/>
  <c r="D92" i="105" s="1"/>
  <c r="D93" i="105" s="1"/>
  <c r="D94" i="105" s="1"/>
  <c r="D95" i="105" s="1"/>
  <c r="D96" i="105" s="1"/>
  <c r="D97" i="105" s="1"/>
  <c r="D98" i="105" s="1"/>
  <c r="D99" i="105" s="1"/>
  <c r="D100" i="105" s="1"/>
  <c r="D101" i="105" s="1"/>
  <c r="D102" i="105" s="1"/>
  <c r="D103" i="105" s="1"/>
  <c r="D104" i="105" s="1"/>
  <c r="D105" i="105" s="1"/>
  <c r="D106" i="105" s="1"/>
  <c r="D107" i="105" s="1"/>
  <c r="D108" i="105" s="1"/>
  <c r="D109" i="105" s="1"/>
  <c r="D110" i="105" s="1"/>
  <c r="D111" i="105" s="1"/>
  <c r="D112" i="105" s="1"/>
  <c r="D113" i="105" s="1"/>
  <c r="D114" i="105" s="1"/>
  <c r="D115" i="105" s="1"/>
  <c r="D116" i="105" s="1"/>
  <c r="D117" i="105" s="1"/>
  <c r="D118" i="105" s="1"/>
  <c r="D119" i="105" s="1"/>
  <c r="D120" i="105" s="1"/>
  <c r="D121" i="105" s="1"/>
  <c r="D122" i="105" s="1"/>
  <c r="D123" i="105" s="1"/>
  <c r="D124" i="105" s="1"/>
  <c r="D125" i="105" s="1"/>
  <c r="D126" i="105" s="1"/>
  <c r="D127" i="105" s="1"/>
  <c r="D128" i="105" s="1"/>
  <c r="D129" i="105" s="1"/>
  <c r="D130" i="105" s="1"/>
  <c r="D131" i="105" s="1"/>
  <c r="D132" i="105" s="1"/>
  <c r="D133" i="105" s="1"/>
  <c r="D134" i="105" s="1"/>
  <c r="D135" i="105" s="1"/>
  <c r="D136" i="105" s="1"/>
  <c r="D137" i="105" s="1"/>
  <c r="D138" i="105" s="1"/>
  <c r="D139" i="105" s="1"/>
  <c r="D140" i="105" s="1"/>
  <c r="D141" i="105" s="1"/>
  <c r="D142" i="105" s="1"/>
  <c r="D143" i="105" s="1"/>
  <c r="D144" i="105" s="1"/>
  <c r="D145" i="105" s="1"/>
  <c r="D146" i="105" s="1"/>
  <c r="D147" i="105" s="1"/>
  <c r="D148" i="105" s="1"/>
  <c r="D149" i="105" s="1"/>
  <c r="D150" i="105" s="1"/>
  <c r="D151" i="105" s="1"/>
  <c r="D152" i="105" s="1"/>
  <c r="D153" i="105" s="1"/>
  <c r="D154" i="105" s="1"/>
  <c r="D155" i="105" s="1"/>
  <c r="D156" i="105" s="1"/>
  <c r="D157" i="105" s="1"/>
  <c r="D158" i="105" s="1"/>
  <c r="D159" i="105" s="1"/>
  <c r="D160" i="105" s="1"/>
  <c r="D161" i="105" s="1"/>
  <c r="D162" i="105" s="1"/>
  <c r="D163" i="105" s="1"/>
  <c r="D164" i="105" s="1"/>
  <c r="D165" i="105" s="1"/>
  <c r="D166" i="105" s="1"/>
  <c r="D167" i="105" s="1"/>
  <c r="D168" i="105" s="1"/>
  <c r="D169" i="105" s="1"/>
  <c r="D170" i="105" s="1"/>
  <c r="D171" i="105" s="1"/>
  <c r="D172" i="105" s="1"/>
  <c r="D173" i="105" s="1"/>
  <c r="D174" i="105" s="1"/>
  <c r="D175" i="105" s="1"/>
  <c r="D176" i="105" s="1"/>
  <c r="D177" i="105" s="1"/>
  <c r="D178" i="105" s="1"/>
  <c r="D179" i="105" s="1"/>
  <c r="D180" i="105" s="1"/>
  <c r="D181" i="105" s="1"/>
  <c r="D182" i="105" s="1"/>
  <c r="D183" i="105" s="1"/>
  <c r="D184" i="105" s="1"/>
  <c r="D185" i="105" s="1"/>
  <c r="D186" i="105" s="1"/>
  <c r="D187" i="105" s="1"/>
  <c r="D188" i="105" s="1"/>
  <c r="D189" i="105" s="1"/>
  <c r="D190" i="105" s="1"/>
  <c r="D191" i="105" s="1"/>
  <c r="D192" i="105" s="1"/>
  <c r="D193" i="105" s="1"/>
  <c r="D194" i="105" s="1"/>
  <c r="D195" i="105" s="1"/>
  <c r="D196" i="105" s="1"/>
  <c r="D197" i="105" s="1"/>
  <c r="D198" i="105" s="1"/>
  <c r="D199" i="105" s="1"/>
  <c r="D200" i="105" s="1"/>
  <c r="D201" i="105" s="1"/>
  <c r="D202" i="105" s="1"/>
  <c r="D203" i="105" s="1"/>
  <c r="D204" i="105" s="1"/>
  <c r="D205" i="105" s="1"/>
  <c r="D206" i="105" s="1"/>
  <c r="D207" i="105" s="1"/>
  <c r="D208" i="105" s="1"/>
  <c r="D209" i="105" s="1"/>
  <c r="D210" i="105" s="1"/>
  <c r="D211" i="105" s="1"/>
  <c r="D212" i="105" s="1"/>
  <c r="D213" i="105" s="1"/>
  <c r="D214" i="105" s="1"/>
  <c r="D215" i="105" s="1"/>
  <c r="D216" i="105" s="1"/>
  <c r="D217" i="105" s="1"/>
  <c r="B13" i="102"/>
  <c r="I11" i="102"/>
  <c r="I10" i="102"/>
  <c r="I9" i="102"/>
  <c r="I8" i="102"/>
  <c r="I7" i="102"/>
  <c r="I3" i="102"/>
  <c r="I4" i="102"/>
  <c r="I5" i="102"/>
  <c r="I6" i="102"/>
  <c r="I2" i="102"/>
  <c r="H3" i="102"/>
  <c r="H4" i="102"/>
  <c r="H5" i="102"/>
  <c r="H6" i="102"/>
  <c r="H2" i="102"/>
  <c r="G3" i="102"/>
  <c r="G4" i="102"/>
  <c r="G5" i="102"/>
  <c r="G6" i="102"/>
  <c r="G2" i="102"/>
  <c r="F3" i="102"/>
  <c r="F4" i="102"/>
  <c r="F5" i="102"/>
  <c r="F6" i="102"/>
  <c r="F2" i="102"/>
  <c r="B10" i="102"/>
  <c r="E3" i="102"/>
  <c r="E4" i="102"/>
  <c r="E5" i="102"/>
  <c r="E6" i="102"/>
  <c r="E2" i="102"/>
  <c r="C3" i="102"/>
  <c r="C4" i="102"/>
  <c r="C5" i="102"/>
  <c r="C6" i="102"/>
  <c r="C2" i="102"/>
  <c r="D3" i="103"/>
  <c r="C3" i="103"/>
  <c r="C4" i="103"/>
  <c r="D4" i="103" s="1"/>
  <c r="D5" i="103" s="1"/>
  <c r="D6" i="103" s="1"/>
  <c r="D7" i="103" s="1"/>
  <c r="D8" i="103" s="1"/>
  <c r="D9" i="103" s="1"/>
  <c r="D10" i="103" s="1"/>
  <c r="D11" i="103" s="1"/>
  <c r="D12" i="103" s="1"/>
  <c r="D13" i="103" s="1"/>
  <c r="D14" i="103" s="1"/>
  <c r="D15" i="103" s="1"/>
  <c r="D16" i="103" s="1"/>
  <c r="D17" i="103" s="1"/>
  <c r="D18" i="103" s="1"/>
  <c r="D19" i="103" s="1"/>
  <c r="D20" i="103" s="1"/>
  <c r="D21" i="103" s="1"/>
  <c r="D22" i="103" s="1"/>
  <c r="D23" i="103" s="1"/>
  <c r="D24" i="103" s="1"/>
  <c r="D25" i="103" s="1"/>
  <c r="D26" i="103" s="1"/>
  <c r="D27" i="103" s="1"/>
  <c r="D28" i="103" s="1"/>
  <c r="D29" i="103" s="1"/>
  <c r="D30" i="103" s="1"/>
  <c r="D31" i="103" s="1"/>
  <c r="D32" i="103" s="1"/>
  <c r="D33" i="103" s="1"/>
  <c r="D34" i="103" s="1"/>
  <c r="D35" i="103" s="1"/>
  <c r="D36" i="103" s="1"/>
  <c r="D37" i="103" s="1"/>
  <c r="D38" i="103" s="1"/>
  <c r="D39" i="103" s="1"/>
  <c r="D40" i="103" s="1"/>
  <c r="D41" i="103" s="1"/>
  <c r="D42" i="103" s="1"/>
  <c r="D43" i="103" s="1"/>
  <c r="D44" i="103" s="1"/>
  <c r="D45" i="103" s="1"/>
  <c r="D46" i="103" s="1"/>
  <c r="D47" i="103" s="1"/>
  <c r="D48" i="103" s="1"/>
  <c r="D49" i="103" s="1"/>
  <c r="D50" i="103" s="1"/>
  <c r="D51" i="103" s="1"/>
  <c r="D52" i="103" s="1"/>
  <c r="D53" i="103" s="1"/>
  <c r="D54" i="103" s="1"/>
  <c r="D55" i="103" s="1"/>
  <c r="D56" i="103" s="1"/>
  <c r="D57" i="103" s="1"/>
  <c r="D58" i="103" s="1"/>
  <c r="D59" i="103" s="1"/>
  <c r="D60" i="103" s="1"/>
  <c r="D61" i="103" s="1"/>
  <c r="D62" i="103" s="1"/>
  <c r="C5" i="103"/>
  <c r="C6" i="103"/>
  <c r="C7" i="103"/>
  <c r="C8" i="103"/>
  <c r="C9" i="103"/>
  <c r="C10" i="103"/>
  <c r="C11" i="103"/>
  <c r="C12" i="103"/>
  <c r="C13" i="103"/>
  <c r="C14" i="103"/>
  <c r="C15" i="103"/>
  <c r="C16" i="103"/>
  <c r="C17" i="103"/>
  <c r="C18" i="103"/>
  <c r="C19" i="103"/>
  <c r="C20" i="103"/>
  <c r="C21" i="103"/>
  <c r="C22" i="103"/>
  <c r="C23" i="103"/>
  <c r="C24" i="103"/>
  <c r="C25" i="103"/>
  <c r="C26" i="103"/>
  <c r="C27" i="103"/>
  <c r="C28" i="103"/>
  <c r="C29" i="103"/>
  <c r="C30" i="103"/>
  <c r="C31" i="103"/>
  <c r="C32" i="103"/>
  <c r="C33" i="103"/>
  <c r="C34" i="103"/>
  <c r="C35" i="103"/>
  <c r="C36" i="103"/>
  <c r="C37" i="103"/>
  <c r="C38" i="103"/>
  <c r="C39" i="103"/>
  <c r="C40" i="103"/>
  <c r="C41" i="103"/>
  <c r="C42" i="103"/>
  <c r="C43" i="103"/>
  <c r="C44" i="103"/>
  <c r="C45" i="103"/>
  <c r="C46" i="103"/>
  <c r="C47" i="103"/>
  <c r="C48" i="103"/>
  <c r="C49" i="103"/>
  <c r="C50" i="103"/>
  <c r="C51" i="103"/>
  <c r="C52" i="103"/>
  <c r="C53" i="103"/>
  <c r="C54" i="103"/>
  <c r="C55" i="103"/>
  <c r="C56" i="103"/>
  <c r="C57" i="103"/>
  <c r="C58" i="103"/>
  <c r="C59" i="103"/>
  <c r="C60" i="103"/>
  <c r="C61" i="103"/>
  <c r="C62" i="103"/>
  <c r="C2" i="103"/>
  <c r="B17" i="101"/>
  <c r="J17" i="101"/>
  <c r="J16" i="101"/>
  <c r="J15" i="101"/>
  <c r="J14" i="101"/>
  <c r="J13" i="101"/>
  <c r="J4" i="101"/>
  <c r="J5" i="101"/>
  <c r="J6" i="101"/>
  <c r="J7" i="101"/>
  <c r="J8" i="101"/>
  <c r="J9" i="101"/>
  <c r="J10" i="101"/>
  <c r="J11" i="101"/>
  <c r="J12" i="101"/>
  <c r="J3" i="101"/>
  <c r="I4" i="101"/>
  <c r="I5" i="101"/>
  <c r="I6" i="101"/>
  <c r="I7" i="101"/>
  <c r="I8" i="101"/>
  <c r="I9" i="101"/>
  <c r="I10" i="101"/>
  <c r="I11" i="101"/>
  <c r="I12" i="101"/>
  <c r="I3" i="101"/>
  <c r="H4" i="101"/>
  <c r="H5" i="101"/>
  <c r="H6" i="101"/>
  <c r="H7" i="101"/>
  <c r="H8" i="101"/>
  <c r="H9" i="101"/>
  <c r="H10" i="101"/>
  <c r="H11" i="101"/>
  <c r="H12" i="101"/>
  <c r="H3" i="101"/>
  <c r="G4" i="101"/>
  <c r="G5" i="101"/>
  <c r="G6" i="101"/>
  <c r="G7" i="101"/>
  <c r="G8" i="101"/>
  <c r="G9" i="101"/>
  <c r="G10" i="101"/>
  <c r="G11" i="101"/>
  <c r="G12" i="101"/>
  <c r="G3" i="101"/>
  <c r="F4" i="101"/>
  <c r="F5" i="101"/>
  <c r="F6" i="101"/>
  <c r="F7" i="101"/>
  <c r="F8" i="101"/>
  <c r="F9" i="101"/>
  <c r="F10" i="101"/>
  <c r="F11" i="101"/>
  <c r="F12" i="101"/>
  <c r="F3" i="101"/>
  <c r="E4" i="101"/>
  <c r="E5" i="101"/>
  <c r="E6" i="101"/>
  <c r="E7" i="101"/>
  <c r="E8" i="101"/>
  <c r="E9" i="101"/>
  <c r="E10" i="101"/>
  <c r="E11" i="101"/>
  <c r="E12" i="101"/>
  <c r="E3" i="101"/>
  <c r="D4" i="101"/>
  <c r="D5" i="101"/>
  <c r="D6" i="101"/>
  <c r="D7" i="101"/>
  <c r="D8" i="101"/>
  <c r="D9" i="101"/>
  <c r="D10" i="101"/>
  <c r="D11" i="101"/>
  <c r="D12" i="101"/>
  <c r="D3" i="101"/>
  <c r="B28" i="100"/>
  <c r="I26" i="100"/>
  <c r="I25" i="100"/>
  <c r="I24" i="100"/>
  <c r="I23" i="100"/>
  <c r="I22" i="100"/>
  <c r="I3" i="100"/>
  <c r="I4" i="100"/>
  <c r="I5" i="100"/>
  <c r="I6" i="100"/>
  <c r="I7" i="100"/>
  <c r="I8" i="100"/>
  <c r="I9" i="100"/>
  <c r="I10" i="100"/>
  <c r="I11" i="100"/>
  <c r="I12" i="100"/>
  <c r="I13" i="100"/>
  <c r="I14" i="100"/>
  <c r="I15" i="100"/>
  <c r="I16" i="100"/>
  <c r="I17" i="100"/>
  <c r="I18" i="100"/>
  <c r="I19" i="100"/>
  <c r="I20" i="100"/>
  <c r="I21" i="100"/>
  <c r="I2" i="100"/>
  <c r="H3" i="100"/>
  <c r="H4" i="100"/>
  <c r="H5" i="100"/>
  <c r="H6" i="100"/>
  <c r="H7" i="100"/>
  <c r="H8" i="100"/>
  <c r="H9" i="100"/>
  <c r="H10" i="100"/>
  <c r="H11" i="100"/>
  <c r="H12" i="100"/>
  <c r="H13" i="100"/>
  <c r="H14" i="100"/>
  <c r="H15" i="100"/>
  <c r="H16" i="100"/>
  <c r="H17" i="100"/>
  <c r="H18" i="100"/>
  <c r="H19" i="100"/>
  <c r="H20" i="100"/>
  <c r="H21" i="100"/>
  <c r="H2" i="100"/>
  <c r="B25" i="100"/>
  <c r="G3" i="100"/>
  <c r="G4" i="100"/>
  <c r="G5" i="100"/>
  <c r="G6" i="100"/>
  <c r="G7" i="100"/>
  <c r="G8" i="100"/>
  <c r="G9" i="100"/>
  <c r="G10" i="100"/>
  <c r="G11" i="100"/>
  <c r="G12" i="100"/>
  <c r="G13" i="100"/>
  <c r="G14" i="100"/>
  <c r="G15" i="100"/>
  <c r="G16" i="100"/>
  <c r="G17" i="100"/>
  <c r="G18" i="100"/>
  <c r="G19" i="100"/>
  <c r="G20" i="100"/>
  <c r="G21" i="100"/>
  <c r="G2" i="100"/>
  <c r="F3" i="100"/>
  <c r="F4" i="100"/>
  <c r="F5" i="100"/>
  <c r="F6" i="100"/>
  <c r="F7" i="100"/>
  <c r="F8" i="100"/>
  <c r="F9" i="100"/>
  <c r="F10" i="100"/>
  <c r="F11" i="100"/>
  <c r="F12" i="100"/>
  <c r="F13" i="100"/>
  <c r="F14" i="100"/>
  <c r="F15" i="100"/>
  <c r="F16" i="100"/>
  <c r="F17" i="100"/>
  <c r="F18" i="100"/>
  <c r="F19" i="100"/>
  <c r="F20" i="100"/>
  <c r="F21" i="100"/>
  <c r="F2" i="100"/>
  <c r="E3" i="100"/>
  <c r="E4" i="100"/>
  <c r="E5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" i="100"/>
  <c r="C3" i="100"/>
  <c r="C4" i="100"/>
  <c r="C5" i="100"/>
  <c r="C6" i="100"/>
  <c r="C7" i="100"/>
  <c r="C8" i="100"/>
  <c r="C9" i="100"/>
  <c r="C10" i="100"/>
  <c r="C11" i="100"/>
  <c r="C12" i="100"/>
  <c r="C13" i="100"/>
  <c r="C14" i="100"/>
  <c r="C15" i="100"/>
  <c r="C16" i="100"/>
  <c r="C17" i="100"/>
  <c r="C18" i="100"/>
  <c r="C19" i="100"/>
  <c r="C20" i="100"/>
  <c r="C21" i="100"/>
  <c r="C2" i="100"/>
  <c r="B28" i="99"/>
  <c r="I26" i="99"/>
  <c r="I25" i="99"/>
  <c r="I24" i="99"/>
  <c r="I23" i="99"/>
  <c r="I22" i="99"/>
  <c r="I3" i="99"/>
  <c r="I4" i="99"/>
  <c r="I5" i="99"/>
  <c r="I6" i="99"/>
  <c r="I7" i="99"/>
  <c r="I8" i="99"/>
  <c r="I9" i="99"/>
  <c r="I10" i="99"/>
  <c r="I11" i="99"/>
  <c r="I12" i="99"/>
  <c r="I13" i="99"/>
  <c r="I14" i="99"/>
  <c r="I15" i="99"/>
  <c r="I16" i="99"/>
  <c r="I17" i="99"/>
  <c r="I18" i="99"/>
  <c r="I19" i="99"/>
  <c r="I20" i="99"/>
  <c r="I21" i="99"/>
  <c r="I2" i="99"/>
  <c r="H3" i="99"/>
  <c r="H4" i="99"/>
  <c r="H5" i="99"/>
  <c r="H6" i="99"/>
  <c r="H7" i="99"/>
  <c r="H8" i="99"/>
  <c r="H9" i="99"/>
  <c r="H10" i="99"/>
  <c r="H11" i="99"/>
  <c r="H12" i="99"/>
  <c r="H13" i="99"/>
  <c r="H14" i="99"/>
  <c r="H15" i="99"/>
  <c r="H16" i="99"/>
  <c r="H17" i="99"/>
  <c r="H18" i="99"/>
  <c r="H19" i="99"/>
  <c r="H20" i="99"/>
  <c r="H21" i="99"/>
  <c r="H2" i="99"/>
  <c r="B25" i="99"/>
  <c r="G3" i="99"/>
  <c r="G4" i="99"/>
  <c r="G5" i="99"/>
  <c r="G6" i="99"/>
  <c r="G7" i="99"/>
  <c r="G8" i="99"/>
  <c r="G9" i="99"/>
  <c r="G10" i="99"/>
  <c r="G11" i="99"/>
  <c r="G12" i="99"/>
  <c r="G13" i="99"/>
  <c r="G14" i="99"/>
  <c r="G15" i="99"/>
  <c r="G16" i="99"/>
  <c r="G17" i="99"/>
  <c r="G18" i="99"/>
  <c r="G19" i="99"/>
  <c r="G20" i="99"/>
  <c r="G21" i="99"/>
  <c r="G2" i="99"/>
  <c r="F3" i="99"/>
  <c r="F4" i="99"/>
  <c r="F5" i="99"/>
  <c r="F6" i="99"/>
  <c r="F7" i="99"/>
  <c r="F8" i="99"/>
  <c r="F9" i="99"/>
  <c r="F10" i="99"/>
  <c r="F11" i="99"/>
  <c r="F12" i="99"/>
  <c r="F13" i="99"/>
  <c r="F14" i="99"/>
  <c r="F15" i="99"/>
  <c r="F16" i="99"/>
  <c r="F17" i="99"/>
  <c r="F18" i="99"/>
  <c r="F19" i="99"/>
  <c r="F20" i="99"/>
  <c r="F21" i="99"/>
  <c r="F2" i="99"/>
  <c r="E3" i="99"/>
  <c r="E4" i="99"/>
  <c r="E5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" i="99"/>
  <c r="C3" i="99"/>
  <c r="C4" i="99"/>
  <c r="C5" i="99"/>
  <c r="C6" i="99"/>
  <c r="C7" i="99"/>
  <c r="C8" i="99"/>
  <c r="C9" i="99"/>
  <c r="C10" i="99"/>
  <c r="C11" i="99"/>
  <c r="C12" i="99"/>
  <c r="C13" i="99"/>
  <c r="C14" i="99"/>
  <c r="C15" i="99"/>
  <c r="C16" i="99"/>
  <c r="C17" i="99"/>
  <c r="C18" i="99"/>
  <c r="C19" i="99"/>
  <c r="C20" i="99"/>
  <c r="C21" i="99"/>
  <c r="C2" i="99"/>
  <c r="D3" i="98"/>
  <c r="D4" i="98" s="1"/>
  <c r="D5" i="98" s="1"/>
  <c r="D6" i="98" s="1"/>
  <c r="D7" i="98" s="1"/>
  <c r="D8" i="98" s="1"/>
  <c r="D9" i="98" s="1"/>
  <c r="D10" i="98" s="1"/>
  <c r="D11" i="98" s="1"/>
  <c r="D12" i="98" s="1"/>
  <c r="D13" i="98" s="1"/>
  <c r="D14" i="98" s="1"/>
  <c r="D15" i="98" s="1"/>
  <c r="D16" i="98" s="1"/>
  <c r="D17" i="98" s="1"/>
  <c r="D18" i="98" s="1"/>
  <c r="D19" i="98" s="1"/>
  <c r="D20" i="98" s="1"/>
  <c r="D21" i="98" s="1"/>
  <c r="D22" i="98" s="1"/>
  <c r="D23" i="98" s="1"/>
  <c r="D24" i="98" s="1"/>
  <c r="D25" i="98" s="1"/>
  <c r="D26" i="98" s="1"/>
  <c r="D27" i="98" s="1"/>
  <c r="D28" i="98" s="1"/>
  <c r="D29" i="98" s="1"/>
  <c r="D30" i="98" s="1"/>
  <c r="D31" i="98" s="1"/>
  <c r="D32" i="98" s="1"/>
  <c r="D33" i="98" s="1"/>
  <c r="D34" i="98" s="1"/>
  <c r="D35" i="98" s="1"/>
  <c r="D36" i="98" s="1"/>
  <c r="D37" i="98" s="1"/>
  <c r="D38" i="98" s="1"/>
  <c r="D39" i="98" s="1"/>
  <c r="D40" i="98" s="1"/>
  <c r="D41" i="98" s="1"/>
  <c r="D42" i="98" s="1"/>
  <c r="D43" i="98" s="1"/>
  <c r="D44" i="98" s="1"/>
  <c r="D45" i="98" s="1"/>
  <c r="D46" i="98" s="1"/>
  <c r="D47" i="98" s="1"/>
  <c r="D48" i="98" s="1"/>
  <c r="D49" i="98" s="1"/>
  <c r="D50" i="98" s="1"/>
  <c r="D51" i="98" s="1"/>
  <c r="D52" i="98" s="1"/>
  <c r="D53" i="98" s="1"/>
  <c r="D54" i="98" s="1"/>
  <c r="D55" i="98" s="1"/>
  <c r="D56" i="98" s="1"/>
  <c r="D57" i="98" s="1"/>
  <c r="D58" i="98" s="1"/>
  <c r="D59" i="98" s="1"/>
  <c r="D60" i="98" s="1"/>
  <c r="D61" i="98" s="1"/>
  <c r="D62" i="98" s="1"/>
  <c r="D63" i="98" s="1"/>
  <c r="D64" i="98" s="1"/>
  <c r="D65" i="98" s="1"/>
  <c r="D66" i="98" s="1"/>
  <c r="D67" i="98" s="1"/>
  <c r="D68" i="98" s="1"/>
  <c r="D69" i="98" s="1"/>
  <c r="D70" i="98" s="1"/>
  <c r="D71" i="98" s="1"/>
  <c r="D72" i="98" s="1"/>
  <c r="D73" i="98" s="1"/>
  <c r="D74" i="98" s="1"/>
  <c r="D75" i="98" s="1"/>
  <c r="D76" i="98" s="1"/>
  <c r="D77" i="98" s="1"/>
  <c r="D78" i="98" s="1"/>
  <c r="D79" i="98" s="1"/>
  <c r="D80" i="98" s="1"/>
  <c r="D81" i="98" s="1"/>
  <c r="D82" i="98" s="1"/>
  <c r="D83" i="98" s="1"/>
  <c r="D84" i="98" s="1"/>
  <c r="D85" i="98" s="1"/>
  <c r="D86" i="98" s="1"/>
  <c r="D87" i="98" s="1"/>
  <c r="D88" i="98" s="1"/>
  <c r="D89" i="98" s="1"/>
  <c r="D90" i="98" s="1"/>
  <c r="D91" i="98" s="1"/>
  <c r="D92" i="98" s="1"/>
  <c r="D93" i="98" s="1"/>
  <c r="D94" i="98" s="1"/>
  <c r="D95" i="98" s="1"/>
  <c r="D96" i="98" s="1"/>
  <c r="D97" i="98" s="1"/>
  <c r="D98" i="98" s="1"/>
  <c r="D99" i="98" s="1"/>
  <c r="D100" i="98" s="1"/>
  <c r="D101" i="98" s="1"/>
  <c r="D102" i="98" s="1"/>
  <c r="D103" i="98" s="1"/>
  <c r="D104" i="98" s="1"/>
  <c r="D105" i="98" s="1"/>
  <c r="D106" i="98" s="1"/>
  <c r="D107" i="98" s="1"/>
  <c r="D108" i="98" s="1"/>
  <c r="D109" i="98" s="1"/>
  <c r="D110" i="98" s="1"/>
  <c r="D111" i="98" s="1"/>
  <c r="D112" i="98" s="1"/>
  <c r="D113" i="98" s="1"/>
  <c r="D114" i="98" s="1"/>
  <c r="D115" i="98" s="1"/>
  <c r="D116" i="98" s="1"/>
  <c r="D117" i="98" s="1"/>
  <c r="D118" i="98" s="1"/>
  <c r="D119" i="98" s="1"/>
  <c r="D120" i="98" s="1"/>
  <c r="D121" i="98" s="1"/>
  <c r="D122" i="98" s="1"/>
  <c r="B18" i="97"/>
  <c r="I16" i="97"/>
  <c r="I15" i="97"/>
  <c r="I14" i="97"/>
  <c r="I13" i="97"/>
  <c r="I12" i="97"/>
  <c r="I3" i="97"/>
  <c r="I4" i="97"/>
  <c r="I5" i="97"/>
  <c r="I6" i="97"/>
  <c r="I7" i="97"/>
  <c r="I8" i="97"/>
  <c r="I9" i="97"/>
  <c r="I10" i="97"/>
  <c r="I11" i="97"/>
  <c r="I2" i="97"/>
  <c r="H3" i="97"/>
  <c r="H4" i="97"/>
  <c r="H5" i="97"/>
  <c r="H6" i="97"/>
  <c r="H7" i="97"/>
  <c r="H8" i="97"/>
  <c r="H9" i="97"/>
  <c r="H10" i="97"/>
  <c r="H11" i="97"/>
  <c r="H2" i="97"/>
  <c r="G3" i="97"/>
  <c r="G4" i="97"/>
  <c r="G5" i="97"/>
  <c r="G6" i="97"/>
  <c r="G7" i="97"/>
  <c r="G8" i="97"/>
  <c r="G9" i="97"/>
  <c r="G10" i="97"/>
  <c r="G11" i="97"/>
  <c r="G2" i="97"/>
  <c r="F3" i="97"/>
  <c r="F4" i="97"/>
  <c r="F5" i="97"/>
  <c r="F6" i="97"/>
  <c r="F7" i="97"/>
  <c r="F8" i="97"/>
  <c r="F9" i="97"/>
  <c r="F10" i="97"/>
  <c r="F11" i="97"/>
  <c r="F2" i="97"/>
  <c r="B15" i="97"/>
  <c r="E3" i="97"/>
  <c r="E4" i="97"/>
  <c r="E5" i="97"/>
  <c r="E6" i="97"/>
  <c r="E7" i="97"/>
  <c r="E8" i="97"/>
  <c r="E9" i="97"/>
  <c r="E10" i="97"/>
  <c r="E11" i="97"/>
  <c r="E2" i="97"/>
  <c r="C2" i="96"/>
  <c r="C3" i="97"/>
  <c r="C4" i="97"/>
  <c r="C5" i="97"/>
  <c r="C6" i="97"/>
  <c r="C7" i="97"/>
  <c r="C8" i="97"/>
  <c r="C9" i="97"/>
  <c r="C10" i="97"/>
  <c r="C11" i="97"/>
  <c r="C2" i="97"/>
  <c r="B28" i="95"/>
  <c r="I26" i="95"/>
  <c r="I25" i="95"/>
  <c r="I24" i="95"/>
  <c r="I23" i="95"/>
  <c r="I22" i="95"/>
  <c r="I3" i="95"/>
  <c r="I4" i="95"/>
  <c r="I5" i="95"/>
  <c r="I6" i="95"/>
  <c r="I7" i="95"/>
  <c r="I8" i="95"/>
  <c r="I9" i="95"/>
  <c r="I10" i="95"/>
  <c r="I11" i="95"/>
  <c r="I12" i="95"/>
  <c r="I13" i="95"/>
  <c r="I14" i="95"/>
  <c r="I15" i="95"/>
  <c r="I16" i="95"/>
  <c r="I17" i="95"/>
  <c r="I18" i="95"/>
  <c r="I19" i="95"/>
  <c r="I20" i="95"/>
  <c r="I21" i="95"/>
  <c r="I2" i="95"/>
  <c r="H3" i="95"/>
  <c r="H4" i="95"/>
  <c r="H5" i="95"/>
  <c r="H6" i="95"/>
  <c r="H7" i="95"/>
  <c r="H8" i="95"/>
  <c r="H9" i="95"/>
  <c r="H10" i="95"/>
  <c r="H11" i="95"/>
  <c r="H12" i="95"/>
  <c r="H13" i="95"/>
  <c r="H14" i="95"/>
  <c r="H15" i="95"/>
  <c r="H16" i="95"/>
  <c r="H17" i="95"/>
  <c r="H18" i="95"/>
  <c r="H19" i="95"/>
  <c r="H20" i="95"/>
  <c r="H21" i="95"/>
  <c r="H2" i="95"/>
  <c r="B25" i="95"/>
  <c r="G3" i="95"/>
  <c r="G4" i="95"/>
  <c r="G5" i="95"/>
  <c r="G6" i="95"/>
  <c r="G7" i="95"/>
  <c r="G8" i="95"/>
  <c r="G9" i="95"/>
  <c r="G10" i="95"/>
  <c r="G11" i="95"/>
  <c r="G12" i="95"/>
  <c r="G13" i="95"/>
  <c r="G14" i="95"/>
  <c r="G15" i="95"/>
  <c r="G16" i="95"/>
  <c r="G17" i="95"/>
  <c r="G18" i="95"/>
  <c r="G19" i="95"/>
  <c r="G20" i="95"/>
  <c r="G21" i="95"/>
  <c r="G2" i="95"/>
  <c r="F3" i="95"/>
  <c r="F4" i="95"/>
  <c r="F5" i="95"/>
  <c r="F6" i="95"/>
  <c r="F7" i="95"/>
  <c r="F8" i="95"/>
  <c r="F9" i="95"/>
  <c r="F10" i="95"/>
  <c r="F11" i="95"/>
  <c r="F12" i="95"/>
  <c r="F13" i="95"/>
  <c r="F14" i="95"/>
  <c r="F15" i="95"/>
  <c r="F16" i="95"/>
  <c r="F17" i="95"/>
  <c r="F18" i="95"/>
  <c r="F19" i="95"/>
  <c r="F20" i="95"/>
  <c r="F21" i="95"/>
  <c r="F2" i="95"/>
  <c r="E3" i="95"/>
  <c r="E4" i="95"/>
  <c r="E5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" i="95"/>
  <c r="C3" i="95"/>
  <c r="C4" i="95"/>
  <c r="C5" i="95"/>
  <c r="C6" i="95"/>
  <c r="C7" i="95"/>
  <c r="C8" i="95"/>
  <c r="C9" i="95"/>
  <c r="C10" i="95"/>
  <c r="C11" i="95"/>
  <c r="C12" i="95"/>
  <c r="C13" i="95"/>
  <c r="C14" i="95"/>
  <c r="C15" i="95"/>
  <c r="C16" i="95"/>
  <c r="C17" i="95"/>
  <c r="C18" i="95"/>
  <c r="C19" i="95"/>
  <c r="C20" i="95"/>
  <c r="C21" i="95"/>
  <c r="C2" i="95"/>
  <c r="C4" i="96"/>
  <c r="C5" i="96"/>
  <c r="C6" i="96"/>
  <c r="C7" i="96"/>
  <c r="C8" i="96"/>
  <c r="C9" i="96"/>
  <c r="C10" i="96"/>
  <c r="C11" i="96"/>
  <c r="C12" i="96"/>
  <c r="C13" i="96"/>
  <c r="C14" i="96"/>
  <c r="C15" i="96"/>
  <c r="C16" i="96"/>
  <c r="C17" i="96"/>
  <c r="C18" i="96"/>
  <c r="C19" i="96"/>
  <c r="C20" i="96"/>
  <c r="C21" i="96"/>
  <c r="C22" i="96"/>
  <c r="C23" i="96"/>
  <c r="C24" i="96"/>
  <c r="C25" i="96"/>
  <c r="C26" i="96"/>
  <c r="C27" i="96"/>
  <c r="C28" i="96"/>
  <c r="C29" i="96"/>
  <c r="C30" i="96"/>
  <c r="C31" i="96"/>
  <c r="C32" i="96"/>
  <c r="C33" i="96"/>
  <c r="C34" i="96"/>
  <c r="C35" i="96"/>
  <c r="C36" i="96"/>
  <c r="C37" i="96"/>
  <c r="C38" i="96"/>
  <c r="C39" i="96"/>
  <c r="C40" i="96"/>
  <c r="C41" i="96"/>
  <c r="C42" i="96"/>
  <c r="C43" i="96"/>
  <c r="C44" i="96"/>
  <c r="C45" i="96"/>
  <c r="C46" i="96"/>
  <c r="C47" i="96"/>
  <c r="C48" i="96"/>
  <c r="C49" i="96"/>
  <c r="C50" i="96"/>
  <c r="C51" i="96"/>
  <c r="C52" i="96"/>
  <c r="C53" i="96"/>
  <c r="C54" i="96"/>
  <c r="C55" i="96"/>
  <c r="C56" i="96"/>
  <c r="C57" i="96"/>
  <c r="C58" i="96"/>
  <c r="C59" i="96"/>
  <c r="C60" i="96"/>
  <c r="C61" i="96"/>
  <c r="C62" i="96"/>
  <c r="C63" i="96"/>
  <c r="C64" i="96"/>
  <c r="C65" i="96"/>
  <c r="C66" i="96"/>
  <c r="C67" i="96"/>
  <c r="C68" i="96"/>
  <c r="C69" i="96"/>
  <c r="C70" i="96"/>
  <c r="C71" i="96"/>
  <c r="C72" i="96"/>
  <c r="C73" i="96"/>
  <c r="C74" i="96"/>
  <c r="C75" i="96"/>
  <c r="C76" i="96"/>
  <c r="C77" i="96"/>
  <c r="C78" i="96"/>
  <c r="C79" i="96"/>
  <c r="C80" i="96"/>
  <c r="C81" i="96"/>
  <c r="C82" i="96"/>
  <c r="C83" i="96"/>
  <c r="C84" i="96"/>
  <c r="C85" i="96"/>
  <c r="C86" i="96"/>
  <c r="C87" i="96"/>
  <c r="C88" i="96"/>
  <c r="C89" i="96"/>
  <c r="C90" i="96"/>
  <c r="C91" i="96"/>
  <c r="C92" i="96"/>
  <c r="C93" i="96"/>
  <c r="C94" i="96"/>
  <c r="C95" i="96"/>
  <c r="C96" i="96"/>
  <c r="C97" i="96"/>
  <c r="C98" i="96"/>
  <c r="C99" i="96"/>
  <c r="C100" i="96"/>
  <c r="C101" i="96"/>
  <c r="C102" i="96"/>
  <c r="C103" i="96"/>
  <c r="C104" i="96"/>
  <c r="C105" i="96"/>
  <c r="C106" i="96"/>
  <c r="C107" i="96"/>
  <c r="C108" i="96"/>
  <c r="C109" i="96"/>
  <c r="C110" i="96"/>
  <c r="C111" i="96"/>
  <c r="C112" i="96"/>
  <c r="C113" i="96"/>
  <c r="C114" i="96"/>
  <c r="C115" i="96"/>
  <c r="C116" i="96"/>
  <c r="C117" i="96"/>
  <c r="C118" i="96"/>
  <c r="C119" i="96"/>
  <c r="C120" i="96"/>
  <c r="C121" i="96"/>
  <c r="C122" i="96"/>
  <c r="C123" i="96"/>
  <c r="C3" i="96"/>
  <c r="D3" i="96" s="1"/>
  <c r="B13" i="93"/>
  <c r="J13" i="93"/>
  <c r="J12" i="93"/>
  <c r="J11" i="93"/>
  <c r="J10" i="93"/>
  <c r="J9" i="93"/>
  <c r="J4" i="93"/>
  <c r="J5" i="93"/>
  <c r="J6" i="93"/>
  <c r="J7" i="93"/>
  <c r="J8" i="93"/>
  <c r="J3" i="93"/>
  <c r="I4" i="93"/>
  <c r="I5" i="93"/>
  <c r="I6" i="93"/>
  <c r="I7" i="93"/>
  <c r="I8" i="93"/>
  <c r="I3" i="93"/>
  <c r="H4" i="93"/>
  <c r="H5" i="93"/>
  <c r="H6" i="93"/>
  <c r="H7" i="93"/>
  <c r="H8" i="93"/>
  <c r="H3" i="93"/>
  <c r="G4" i="93"/>
  <c r="G5" i="93"/>
  <c r="G6" i="93"/>
  <c r="G7" i="93"/>
  <c r="G8" i="93"/>
  <c r="G3" i="93"/>
  <c r="F4" i="93"/>
  <c r="F5" i="93"/>
  <c r="F6" i="93"/>
  <c r="F7" i="93"/>
  <c r="F8" i="93"/>
  <c r="F3" i="93"/>
  <c r="E4" i="93"/>
  <c r="E5" i="93"/>
  <c r="E6" i="93"/>
  <c r="E7" i="93"/>
  <c r="E8" i="93"/>
  <c r="E3" i="93"/>
  <c r="D4" i="93"/>
  <c r="D5" i="93"/>
  <c r="D6" i="93"/>
  <c r="D7" i="93"/>
  <c r="D8" i="93"/>
  <c r="D3" i="93"/>
  <c r="B56" i="91"/>
  <c r="I54" i="91"/>
  <c r="I53" i="91"/>
  <c r="I52" i="91"/>
  <c r="I51" i="91"/>
  <c r="I50" i="91"/>
  <c r="I3" i="91"/>
  <c r="I4" i="91"/>
  <c r="I5" i="91"/>
  <c r="I6" i="91"/>
  <c r="I7" i="91"/>
  <c r="I8" i="91"/>
  <c r="I9" i="91"/>
  <c r="I10" i="91"/>
  <c r="I11" i="91"/>
  <c r="I12" i="91"/>
  <c r="I13" i="91"/>
  <c r="I14" i="91"/>
  <c r="I15" i="91"/>
  <c r="I16" i="91"/>
  <c r="I17" i="91"/>
  <c r="I18" i="91"/>
  <c r="I19" i="91"/>
  <c r="I20" i="91"/>
  <c r="I21" i="91"/>
  <c r="I22" i="91"/>
  <c r="I23" i="91"/>
  <c r="I24" i="91"/>
  <c r="I25" i="91"/>
  <c r="I26" i="91"/>
  <c r="I27" i="91"/>
  <c r="I28" i="91"/>
  <c r="I29" i="91"/>
  <c r="I30" i="91"/>
  <c r="I31" i="91"/>
  <c r="I32" i="91"/>
  <c r="I33" i="91"/>
  <c r="I34" i="91"/>
  <c r="I35" i="91"/>
  <c r="I36" i="91"/>
  <c r="I37" i="91"/>
  <c r="I38" i="91"/>
  <c r="I39" i="91"/>
  <c r="I40" i="91"/>
  <c r="I41" i="91"/>
  <c r="I42" i="91"/>
  <c r="I43" i="91"/>
  <c r="I44" i="91"/>
  <c r="I45" i="91"/>
  <c r="I46" i="91"/>
  <c r="I47" i="91"/>
  <c r="I48" i="91"/>
  <c r="I49" i="91"/>
  <c r="I2" i="91"/>
  <c r="H3" i="91"/>
  <c r="H4" i="91"/>
  <c r="H5" i="91"/>
  <c r="H6" i="91"/>
  <c r="H7" i="91"/>
  <c r="H8" i="91"/>
  <c r="H9" i="91"/>
  <c r="H10" i="91"/>
  <c r="H11" i="91"/>
  <c r="H12" i="91"/>
  <c r="H13" i="91"/>
  <c r="H14" i="91"/>
  <c r="H15" i="91"/>
  <c r="H16" i="91"/>
  <c r="H17" i="91"/>
  <c r="H18" i="91"/>
  <c r="H19" i="91"/>
  <c r="H20" i="91"/>
  <c r="H21" i="91"/>
  <c r="H22" i="91"/>
  <c r="H23" i="91"/>
  <c r="H24" i="91"/>
  <c r="H25" i="91"/>
  <c r="H26" i="91"/>
  <c r="H27" i="91"/>
  <c r="H28" i="91"/>
  <c r="H29" i="91"/>
  <c r="H30" i="91"/>
  <c r="H31" i="91"/>
  <c r="H32" i="91"/>
  <c r="H33" i="91"/>
  <c r="H34" i="91"/>
  <c r="H35" i="91"/>
  <c r="H36" i="91"/>
  <c r="H37" i="91"/>
  <c r="H38" i="91"/>
  <c r="H39" i="91"/>
  <c r="H40" i="91"/>
  <c r="H41" i="91"/>
  <c r="H42" i="91"/>
  <c r="H43" i="91"/>
  <c r="H44" i="91"/>
  <c r="H45" i="91"/>
  <c r="H46" i="91"/>
  <c r="H47" i="91"/>
  <c r="H48" i="91"/>
  <c r="H49" i="91"/>
  <c r="H2" i="91"/>
  <c r="B53" i="91"/>
  <c r="G3" i="91"/>
  <c r="G4" i="91"/>
  <c r="G5" i="91"/>
  <c r="G6" i="91"/>
  <c r="G7" i="91"/>
  <c r="G8" i="91"/>
  <c r="G9" i="91"/>
  <c r="G10" i="91"/>
  <c r="G11" i="91"/>
  <c r="G12" i="91"/>
  <c r="G13" i="91"/>
  <c r="G14" i="91"/>
  <c r="G15" i="91"/>
  <c r="G16" i="91"/>
  <c r="G17" i="91"/>
  <c r="G18" i="91"/>
  <c r="G19" i="91"/>
  <c r="G20" i="91"/>
  <c r="G21" i="91"/>
  <c r="G22" i="91"/>
  <c r="G23" i="91"/>
  <c r="G24" i="91"/>
  <c r="G25" i="91"/>
  <c r="G26" i="91"/>
  <c r="G27" i="91"/>
  <c r="G28" i="91"/>
  <c r="G29" i="91"/>
  <c r="G30" i="91"/>
  <c r="G31" i="91"/>
  <c r="G32" i="91"/>
  <c r="G33" i="91"/>
  <c r="G34" i="91"/>
  <c r="G35" i="91"/>
  <c r="G36" i="91"/>
  <c r="G37" i="91"/>
  <c r="G38" i="91"/>
  <c r="G39" i="91"/>
  <c r="G40" i="91"/>
  <c r="G41" i="91"/>
  <c r="G42" i="91"/>
  <c r="G43" i="91"/>
  <c r="G44" i="91"/>
  <c r="G45" i="91"/>
  <c r="G46" i="91"/>
  <c r="G47" i="91"/>
  <c r="G48" i="91"/>
  <c r="G49" i="91"/>
  <c r="G2" i="91"/>
  <c r="F3" i="91"/>
  <c r="F4" i="91"/>
  <c r="F5" i="91"/>
  <c r="F6" i="91"/>
  <c r="F7" i="91"/>
  <c r="F8" i="91"/>
  <c r="F9" i="91"/>
  <c r="F10" i="91"/>
  <c r="F11" i="91"/>
  <c r="F12" i="91"/>
  <c r="F13" i="91"/>
  <c r="F14" i="91"/>
  <c r="F15" i="91"/>
  <c r="F16" i="91"/>
  <c r="F17" i="91"/>
  <c r="F18" i="91"/>
  <c r="F19" i="91"/>
  <c r="F20" i="91"/>
  <c r="F21" i="91"/>
  <c r="F22" i="91"/>
  <c r="F23" i="91"/>
  <c r="F24" i="91"/>
  <c r="F25" i="91"/>
  <c r="F26" i="91"/>
  <c r="F27" i="91"/>
  <c r="F28" i="91"/>
  <c r="F29" i="91"/>
  <c r="F30" i="91"/>
  <c r="F31" i="91"/>
  <c r="F32" i="91"/>
  <c r="F33" i="91"/>
  <c r="F34" i="91"/>
  <c r="F35" i="91"/>
  <c r="F36" i="91"/>
  <c r="F37" i="91"/>
  <c r="F38" i="91"/>
  <c r="F39" i="91"/>
  <c r="F40" i="91"/>
  <c r="F41" i="91"/>
  <c r="F42" i="91"/>
  <c r="F43" i="91"/>
  <c r="F44" i="91"/>
  <c r="F45" i="91"/>
  <c r="F46" i="91"/>
  <c r="F47" i="91"/>
  <c r="F48" i="91"/>
  <c r="F49" i="91"/>
  <c r="F2" i="91"/>
  <c r="E3" i="91"/>
  <c r="E4" i="91"/>
  <c r="E5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2" i="91"/>
  <c r="C3" i="91"/>
  <c r="C4" i="91"/>
  <c r="C5" i="91"/>
  <c r="C6" i="91"/>
  <c r="C7" i="91"/>
  <c r="C8" i="91"/>
  <c r="C9" i="91"/>
  <c r="C10" i="91"/>
  <c r="C11" i="91"/>
  <c r="C12" i="91"/>
  <c r="C13" i="91"/>
  <c r="C14" i="91"/>
  <c r="C15" i="91"/>
  <c r="C16" i="91"/>
  <c r="C17" i="91"/>
  <c r="C18" i="91"/>
  <c r="C19" i="91"/>
  <c r="C20" i="91"/>
  <c r="C21" i="91"/>
  <c r="C22" i="91"/>
  <c r="C23" i="91"/>
  <c r="C24" i="91"/>
  <c r="C25" i="91"/>
  <c r="C26" i="91"/>
  <c r="C27" i="91"/>
  <c r="C28" i="91"/>
  <c r="C29" i="91"/>
  <c r="C30" i="91"/>
  <c r="C31" i="91"/>
  <c r="C32" i="91"/>
  <c r="C33" i="91"/>
  <c r="C34" i="91"/>
  <c r="C35" i="91"/>
  <c r="C36" i="91"/>
  <c r="C37" i="91"/>
  <c r="C38" i="91"/>
  <c r="C39" i="91"/>
  <c r="C40" i="91"/>
  <c r="C41" i="91"/>
  <c r="C42" i="91"/>
  <c r="C43" i="91"/>
  <c r="C44" i="91"/>
  <c r="C45" i="91"/>
  <c r="C46" i="91"/>
  <c r="C47" i="91"/>
  <c r="C48" i="91"/>
  <c r="C49" i="91"/>
  <c r="C2" i="91"/>
  <c r="D2" i="92"/>
  <c r="C3" i="92"/>
  <c r="D3" i="92" s="1"/>
  <c r="D4" i="92" s="1"/>
  <c r="D5" i="92" s="1"/>
  <c r="C4" i="92"/>
  <c r="C5" i="92"/>
  <c r="C6" i="92"/>
  <c r="C7" i="92"/>
  <c r="C8" i="92"/>
  <c r="C9" i="92"/>
  <c r="C10" i="92"/>
  <c r="C11" i="92"/>
  <c r="C12" i="92"/>
  <c r="C13" i="92"/>
  <c r="C14" i="92"/>
  <c r="C15" i="92"/>
  <c r="C16" i="92"/>
  <c r="C17" i="92"/>
  <c r="C18" i="92"/>
  <c r="C19" i="92"/>
  <c r="C20" i="92"/>
  <c r="C21" i="92"/>
  <c r="C22" i="92"/>
  <c r="C23" i="92"/>
  <c r="C24" i="92"/>
  <c r="C25" i="92"/>
  <c r="C26" i="92"/>
  <c r="C27" i="92"/>
  <c r="C28" i="92"/>
  <c r="C29" i="92"/>
  <c r="C30" i="92"/>
  <c r="C31" i="92"/>
  <c r="C32" i="92"/>
  <c r="C33" i="92"/>
  <c r="C34" i="92"/>
  <c r="C35" i="92"/>
  <c r="C36" i="92"/>
  <c r="C37" i="92"/>
  <c r="C38" i="92"/>
  <c r="C39" i="92"/>
  <c r="C40" i="92"/>
  <c r="C41" i="92"/>
  <c r="C42" i="92"/>
  <c r="C43" i="92"/>
  <c r="C44" i="92"/>
  <c r="C45" i="92"/>
  <c r="C46" i="92"/>
  <c r="C47" i="92"/>
  <c r="C48" i="92"/>
  <c r="C49" i="92"/>
  <c r="C50" i="92"/>
  <c r="C51" i="92"/>
  <c r="C52" i="92"/>
  <c r="C53" i="92"/>
  <c r="C54" i="92"/>
  <c r="C55" i="92"/>
  <c r="C56" i="92"/>
  <c r="C57" i="92"/>
  <c r="C58" i="92"/>
  <c r="C59" i="92"/>
  <c r="C60" i="92"/>
  <c r="C61" i="92"/>
  <c r="C62" i="92"/>
  <c r="C63" i="92"/>
  <c r="C64" i="92"/>
  <c r="C65" i="92"/>
  <c r="C66" i="92"/>
  <c r="C67" i="92"/>
  <c r="C68" i="92"/>
  <c r="C69" i="92"/>
  <c r="C70" i="92"/>
  <c r="C71" i="92"/>
  <c r="C72" i="92"/>
  <c r="C73" i="92"/>
  <c r="C74" i="92"/>
  <c r="C75" i="92"/>
  <c r="C76" i="92"/>
  <c r="C77" i="92"/>
  <c r="C78" i="92"/>
  <c r="C79" i="92"/>
  <c r="C80" i="92"/>
  <c r="C81" i="92"/>
  <c r="C82" i="92"/>
  <c r="C83" i="92"/>
  <c r="C84" i="92"/>
  <c r="C85" i="92"/>
  <c r="C86" i="92"/>
  <c r="C87" i="92"/>
  <c r="C88" i="92"/>
  <c r="C89" i="92"/>
  <c r="C90" i="92"/>
  <c r="C91" i="92"/>
  <c r="C92" i="92"/>
  <c r="C93" i="92"/>
  <c r="C94" i="92"/>
  <c r="C95" i="92"/>
  <c r="C96" i="92"/>
  <c r="C97" i="92"/>
  <c r="C98" i="92"/>
  <c r="C99" i="92"/>
  <c r="C100" i="92"/>
  <c r="C101" i="92"/>
  <c r="C102" i="92"/>
  <c r="C103" i="92"/>
  <c r="C104" i="92"/>
  <c r="C105" i="92"/>
  <c r="C106" i="92"/>
  <c r="C107" i="92"/>
  <c r="C108" i="92"/>
  <c r="C109" i="92"/>
  <c r="C110" i="92"/>
  <c r="C111" i="92"/>
  <c r="C112" i="92"/>
  <c r="C113" i="92"/>
  <c r="C114" i="92"/>
  <c r="C115" i="92"/>
  <c r="C116" i="92"/>
  <c r="C117" i="92"/>
  <c r="C118" i="92"/>
  <c r="C119" i="92"/>
  <c r="C120" i="92"/>
  <c r="C121" i="92"/>
  <c r="C122" i="92"/>
  <c r="C123" i="92"/>
  <c r="C124" i="92"/>
  <c r="C125" i="92"/>
  <c r="C126" i="92"/>
  <c r="C127" i="92"/>
  <c r="C128" i="92"/>
  <c r="C129" i="92"/>
  <c r="C130" i="92"/>
  <c r="C131" i="92"/>
  <c r="C132" i="92"/>
  <c r="C133" i="92"/>
  <c r="C134" i="92"/>
  <c r="C135" i="92"/>
  <c r="C136" i="92"/>
  <c r="C137" i="92"/>
  <c r="C138" i="92"/>
  <c r="C139" i="92"/>
  <c r="C140" i="92"/>
  <c r="C141" i="92"/>
  <c r="C142" i="92"/>
  <c r="C143" i="92"/>
  <c r="C144" i="92"/>
  <c r="C145" i="92"/>
  <c r="C146" i="92"/>
  <c r="C147" i="92"/>
  <c r="C148" i="92"/>
  <c r="C149" i="92"/>
  <c r="C150" i="92"/>
  <c r="C151" i="92"/>
  <c r="C152" i="92"/>
  <c r="C153" i="92"/>
  <c r="C154" i="92"/>
  <c r="C155" i="92"/>
  <c r="C156" i="92"/>
  <c r="C157" i="92"/>
  <c r="C158" i="92"/>
  <c r="C159" i="92"/>
  <c r="C160" i="92"/>
  <c r="C161" i="92"/>
  <c r="C162" i="92"/>
  <c r="C163" i="92"/>
  <c r="C164" i="92"/>
  <c r="C165" i="92"/>
  <c r="C166" i="92"/>
  <c r="C167" i="92"/>
  <c r="C168" i="92"/>
  <c r="C169" i="92"/>
  <c r="C170" i="92"/>
  <c r="C171" i="92"/>
  <c r="C172" i="92"/>
  <c r="C173" i="92"/>
  <c r="C174" i="92"/>
  <c r="C175" i="92"/>
  <c r="C176" i="92"/>
  <c r="C177" i="92"/>
  <c r="C178" i="92"/>
  <c r="C179" i="92"/>
  <c r="C180" i="92"/>
  <c r="C181" i="92"/>
  <c r="C182" i="92"/>
  <c r="C183" i="92"/>
  <c r="C184" i="92"/>
  <c r="C185" i="92"/>
  <c r="C186" i="92"/>
  <c r="C187" i="92"/>
  <c r="C188" i="92"/>
  <c r="C189" i="92"/>
  <c r="C190" i="92"/>
  <c r="C191" i="92"/>
  <c r="C192" i="92"/>
  <c r="C193" i="92"/>
  <c r="C194" i="92"/>
  <c r="C195" i="92"/>
  <c r="C196" i="92"/>
  <c r="C197" i="92"/>
  <c r="C198" i="92"/>
  <c r="C199" i="92"/>
  <c r="C200" i="92"/>
  <c r="C201" i="92"/>
  <c r="C202" i="92"/>
  <c r="C203" i="92"/>
  <c r="C204" i="92"/>
  <c r="C205" i="92"/>
  <c r="C206" i="92"/>
  <c r="C207" i="92"/>
  <c r="C208" i="92"/>
  <c r="C209" i="92"/>
  <c r="C210" i="92"/>
  <c r="C211" i="92"/>
  <c r="C212" i="92"/>
  <c r="C213" i="92"/>
  <c r="C214" i="92"/>
  <c r="C215" i="92"/>
  <c r="C216" i="92"/>
  <c r="C217" i="92"/>
  <c r="C218" i="92"/>
  <c r="C219" i="92"/>
  <c r="C220" i="92"/>
  <c r="C221" i="92"/>
  <c r="C222" i="92"/>
  <c r="C223" i="92"/>
  <c r="C224" i="92"/>
  <c r="C225" i="92"/>
  <c r="C226" i="92"/>
  <c r="C227" i="92"/>
  <c r="C228" i="92"/>
  <c r="C229" i="92"/>
  <c r="C230" i="92"/>
  <c r="C231" i="92"/>
  <c r="C232" i="92"/>
  <c r="C233" i="92"/>
  <c r="C234" i="92"/>
  <c r="C235" i="92"/>
  <c r="C236" i="92"/>
  <c r="C237" i="92"/>
  <c r="C238" i="92"/>
  <c r="C239" i="92"/>
  <c r="C240" i="92"/>
  <c r="C241" i="92"/>
  <c r="C242" i="92"/>
  <c r="C243" i="92"/>
  <c r="C244" i="92"/>
  <c r="C245" i="92"/>
  <c r="C246" i="92"/>
  <c r="C247" i="92"/>
  <c r="C248" i="92"/>
  <c r="C249" i="92"/>
  <c r="C250" i="92"/>
  <c r="C251" i="92"/>
  <c r="C252" i="92"/>
  <c r="C253" i="92"/>
  <c r="C254" i="92"/>
  <c r="C255" i="92"/>
  <c r="C256" i="92"/>
  <c r="C257" i="92"/>
  <c r="C258" i="92"/>
  <c r="C259" i="92"/>
  <c r="C260" i="92"/>
  <c r="C261" i="92"/>
  <c r="C262" i="92"/>
  <c r="C263" i="92"/>
  <c r="C264" i="92"/>
  <c r="C265" i="92"/>
  <c r="C266" i="92"/>
  <c r="C267" i="92"/>
  <c r="C268" i="92"/>
  <c r="C269" i="92"/>
  <c r="C270" i="92"/>
  <c r="C271" i="92"/>
  <c r="C272" i="92"/>
  <c r="C273" i="92"/>
  <c r="C274" i="92"/>
  <c r="C275" i="92"/>
  <c r="C276" i="92"/>
  <c r="C277" i="92"/>
  <c r="C278" i="92"/>
  <c r="C279" i="92"/>
  <c r="C280" i="92"/>
  <c r="C281" i="92"/>
  <c r="C282" i="92"/>
  <c r="C283" i="92"/>
  <c r="C284" i="92"/>
  <c r="C285" i="92"/>
  <c r="C286" i="92"/>
  <c r="C287" i="92"/>
  <c r="C288" i="92"/>
  <c r="C289" i="92"/>
  <c r="C290" i="92"/>
  <c r="C291" i="92"/>
  <c r="C292" i="92"/>
  <c r="C293" i="92"/>
  <c r="C294" i="92"/>
  <c r="C295" i="92"/>
  <c r="C296" i="92"/>
  <c r="C297" i="92"/>
  <c r="C298" i="92"/>
  <c r="C299" i="92"/>
  <c r="C300" i="92"/>
  <c r="C301" i="92"/>
  <c r="C2" i="92"/>
  <c r="B19" i="90"/>
  <c r="I17" i="90"/>
  <c r="I16" i="90"/>
  <c r="I15" i="90"/>
  <c r="I14" i="90"/>
  <c r="I13" i="90"/>
  <c r="I3" i="90"/>
  <c r="I4" i="90"/>
  <c r="I5" i="90"/>
  <c r="I6" i="90"/>
  <c r="I7" i="90"/>
  <c r="I8" i="90"/>
  <c r="I9" i="90"/>
  <c r="I10" i="90"/>
  <c r="I11" i="90"/>
  <c r="I12" i="90"/>
  <c r="I2" i="90"/>
  <c r="H3" i="90"/>
  <c r="H4" i="90"/>
  <c r="H5" i="90"/>
  <c r="H6" i="90"/>
  <c r="H7" i="90"/>
  <c r="H8" i="90"/>
  <c r="H9" i="90"/>
  <c r="H10" i="90"/>
  <c r="H11" i="90"/>
  <c r="H12" i="90"/>
  <c r="H2" i="90"/>
  <c r="B16" i="90"/>
  <c r="G3" i="90"/>
  <c r="G4" i="90"/>
  <c r="G5" i="90"/>
  <c r="G6" i="90"/>
  <c r="G7" i="90"/>
  <c r="G8" i="90"/>
  <c r="G9" i="90"/>
  <c r="G10" i="90"/>
  <c r="G11" i="90"/>
  <c r="G12" i="90"/>
  <c r="G2" i="90"/>
  <c r="F3" i="90"/>
  <c r="F4" i="90"/>
  <c r="F5" i="90"/>
  <c r="F6" i="90"/>
  <c r="F7" i="90"/>
  <c r="F8" i="90"/>
  <c r="F9" i="90"/>
  <c r="F10" i="90"/>
  <c r="F11" i="90"/>
  <c r="F12" i="90"/>
  <c r="F2" i="90"/>
  <c r="E3" i="90"/>
  <c r="E4" i="90"/>
  <c r="E5" i="90"/>
  <c r="E6" i="90"/>
  <c r="E7" i="90"/>
  <c r="E8" i="90"/>
  <c r="E9" i="90"/>
  <c r="E10" i="90"/>
  <c r="E11" i="90"/>
  <c r="E12" i="90"/>
  <c r="E2" i="90"/>
  <c r="C3" i="90"/>
  <c r="C4" i="90"/>
  <c r="C5" i="90"/>
  <c r="C6" i="90"/>
  <c r="C7" i="90"/>
  <c r="C8" i="90"/>
  <c r="C9" i="90"/>
  <c r="C10" i="90"/>
  <c r="C11" i="90"/>
  <c r="C12" i="90"/>
  <c r="C2" i="90"/>
  <c r="B34" i="88"/>
  <c r="I32" i="88"/>
  <c r="I31" i="88"/>
  <c r="I30" i="88"/>
  <c r="I29" i="88"/>
  <c r="I28" i="88"/>
  <c r="I3" i="88"/>
  <c r="I4" i="88"/>
  <c r="I5" i="88"/>
  <c r="I6" i="88"/>
  <c r="I7" i="88"/>
  <c r="I8" i="88"/>
  <c r="I9" i="88"/>
  <c r="I10" i="88"/>
  <c r="I11" i="88"/>
  <c r="I12" i="88"/>
  <c r="I13" i="88"/>
  <c r="I14" i="88"/>
  <c r="I15" i="88"/>
  <c r="I16" i="88"/>
  <c r="I17" i="88"/>
  <c r="I18" i="88"/>
  <c r="I19" i="88"/>
  <c r="I20" i="88"/>
  <c r="I21" i="88"/>
  <c r="I22" i="88"/>
  <c r="I23" i="88"/>
  <c r="I24" i="88"/>
  <c r="I25" i="88"/>
  <c r="I26" i="88"/>
  <c r="I27" i="88"/>
  <c r="I2" i="88"/>
  <c r="H3" i="88"/>
  <c r="H4" i="88"/>
  <c r="H5" i="88"/>
  <c r="H6" i="88"/>
  <c r="H7" i="88"/>
  <c r="H8" i="88"/>
  <c r="H9" i="88"/>
  <c r="H10" i="88"/>
  <c r="H11" i="88"/>
  <c r="H12" i="88"/>
  <c r="H13" i="88"/>
  <c r="H14" i="88"/>
  <c r="H15" i="88"/>
  <c r="H16" i="88"/>
  <c r="H17" i="88"/>
  <c r="H18" i="88"/>
  <c r="H19" i="88"/>
  <c r="H20" i="88"/>
  <c r="H21" i="88"/>
  <c r="H22" i="88"/>
  <c r="H23" i="88"/>
  <c r="H24" i="88"/>
  <c r="H25" i="88"/>
  <c r="H26" i="88"/>
  <c r="H27" i="88"/>
  <c r="H2" i="88"/>
  <c r="G3" i="88"/>
  <c r="G4" i="88"/>
  <c r="G5" i="88"/>
  <c r="G6" i="88"/>
  <c r="G7" i="88"/>
  <c r="G8" i="88"/>
  <c r="G9" i="88"/>
  <c r="G10" i="88"/>
  <c r="G11" i="88"/>
  <c r="G12" i="88"/>
  <c r="G13" i="88"/>
  <c r="G14" i="88"/>
  <c r="G15" i="88"/>
  <c r="G16" i="88"/>
  <c r="G17" i="88"/>
  <c r="G18" i="88"/>
  <c r="G19" i="88"/>
  <c r="G20" i="88"/>
  <c r="G21" i="88"/>
  <c r="G22" i="88"/>
  <c r="G23" i="88"/>
  <c r="G24" i="88"/>
  <c r="G25" i="88"/>
  <c r="G26" i="88"/>
  <c r="G27" i="88"/>
  <c r="G2" i="88"/>
  <c r="F3" i="88"/>
  <c r="F4" i="88"/>
  <c r="F5" i="88"/>
  <c r="F6" i="88"/>
  <c r="F7" i="88"/>
  <c r="F8" i="88"/>
  <c r="F9" i="88"/>
  <c r="F10" i="88"/>
  <c r="F11" i="88"/>
  <c r="F12" i="88"/>
  <c r="F13" i="88"/>
  <c r="F14" i="88"/>
  <c r="F15" i="88"/>
  <c r="F16" i="88"/>
  <c r="F17" i="88"/>
  <c r="F18" i="88"/>
  <c r="F19" i="88"/>
  <c r="F20" i="88"/>
  <c r="F21" i="88"/>
  <c r="F22" i="88"/>
  <c r="F23" i="88"/>
  <c r="F24" i="88"/>
  <c r="F25" i="88"/>
  <c r="F26" i="88"/>
  <c r="F27" i="88"/>
  <c r="F2" i="88"/>
  <c r="B31" i="88"/>
  <c r="E3" i="88"/>
  <c r="E4" i="88"/>
  <c r="E5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24" i="88"/>
  <c r="E25" i="88"/>
  <c r="E26" i="88"/>
  <c r="E27" i="88"/>
  <c r="E2" i="88"/>
  <c r="C3" i="88"/>
  <c r="C4" i="88"/>
  <c r="C5" i="88"/>
  <c r="C6" i="88"/>
  <c r="C7" i="88"/>
  <c r="C8" i="88"/>
  <c r="C9" i="88"/>
  <c r="C10" i="88"/>
  <c r="C11" i="88"/>
  <c r="C12" i="88"/>
  <c r="C13" i="88"/>
  <c r="C14" i="88"/>
  <c r="C15" i="88"/>
  <c r="C16" i="88"/>
  <c r="C17" i="88"/>
  <c r="C18" i="88"/>
  <c r="C19" i="88"/>
  <c r="C20" i="88"/>
  <c r="C21" i="88"/>
  <c r="C22" i="88"/>
  <c r="C23" i="88"/>
  <c r="C24" i="88"/>
  <c r="C25" i="88"/>
  <c r="C26" i="88"/>
  <c r="C27" i="88"/>
  <c r="C2" i="88"/>
  <c r="C3" i="89"/>
  <c r="D3" i="89" s="1"/>
  <c r="C4" i="89"/>
  <c r="C5" i="89"/>
  <c r="C6" i="89"/>
  <c r="C7" i="89"/>
  <c r="C8" i="89"/>
  <c r="C9" i="89"/>
  <c r="C10" i="89"/>
  <c r="C11" i="89"/>
  <c r="C12" i="89"/>
  <c r="C13" i="89"/>
  <c r="C14" i="89"/>
  <c r="C15" i="89"/>
  <c r="C16" i="89"/>
  <c r="C17" i="89"/>
  <c r="C18" i="89"/>
  <c r="C19" i="89"/>
  <c r="C20" i="89"/>
  <c r="C21" i="89"/>
  <c r="C22" i="89"/>
  <c r="C23" i="89"/>
  <c r="C24" i="89"/>
  <c r="C25" i="89"/>
  <c r="C26" i="89"/>
  <c r="C27" i="89"/>
  <c r="C28" i="89"/>
  <c r="C29" i="89"/>
  <c r="C30" i="89"/>
  <c r="C31" i="89"/>
  <c r="C32" i="89"/>
  <c r="C33" i="89"/>
  <c r="C34" i="89"/>
  <c r="C35" i="89"/>
  <c r="C36" i="89"/>
  <c r="C37" i="89"/>
  <c r="C38" i="89"/>
  <c r="C39" i="89"/>
  <c r="C40" i="89"/>
  <c r="C41" i="89"/>
  <c r="C42" i="89"/>
  <c r="C43" i="89"/>
  <c r="C44" i="89"/>
  <c r="C45" i="89"/>
  <c r="C46" i="89"/>
  <c r="C47" i="89"/>
  <c r="C48" i="89"/>
  <c r="C49" i="89"/>
  <c r="C50" i="89"/>
  <c r="C51" i="89"/>
  <c r="C52" i="89"/>
  <c r="C53" i="89"/>
  <c r="C54" i="89"/>
  <c r="C55" i="89"/>
  <c r="C56" i="89"/>
  <c r="C57" i="89"/>
  <c r="C58" i="89"/>
  <c r="C59" i="89"/>
  <c r="C60" i="89"/>
  <c r="C61" i="89"/>
  <c r="C62" i="89"/>
  <c r="C63" i="89"/>
  <c r="C64" i="89"/>
  <c r="C65" i="89"/>
  <c r="C66" i="89"/>
  <c r="C67" i="89"/>
  <c r="C68" i="89"/>
  <c r="C69" i="89"/>
  <c r="C70" i="89"/>
  <c r="C71" i="89"/>
  <c r="C72" i="89"/>
  <c r="C73" i="89"/>
  <c r="C74" i="89"/>
  <c r="C75" i="89"/>
  <c r="C76" i="89"/>
  <c r="C77" i="89"/>
  <c r="C78" i="89"/>
  <c r="C79" i="89"/>
  <c r="C80" i="89"/>
  <c r="C81" i="89"/>
  <c r="C82" i="89"/>
  <c r="C83" i="89"/>
  <c r="C84" i="89"/>
  <c r="C85" i="89"/>
  <c r="C86" i="89"/>
  <c r="C87" i="89"/>
  <c r="C88" i="89"/>
  <c r="C89" i="89"/>
  <c r="C90" i="89"/>
  <c r="C91" i="89"/>
  <c r="C92" i="89"/>
  <c r="C93" i="89"/>
  <c r="C94" i="89"/>
  <c r="C95" i="89"/>
  <c r="C96" i="89"/>
  <c r="C97" i="89"/>
  <c r="C98" i="89"/>
  <c r="C99" i="89"/>
  <c r="C100" i="89"/>
  <c r="C101" i="89"/>
  <c r="C102" i="89"/>
  <c r="C103" i="89"/>
  <c r="C104" i="89"/>
  <c r="C105" i="89"/>
  <c r="C106" i="89"/>
  <c r="C107" i="89"/>
  <c r="C108" i="89"/>
  <c r="C109" i="89"/>
  <c r="C110" i="89"/>
  <c r="C111" i="89"/>
  <c r="C112" i="89"/>
  <c r="C113" i="89"/>
  <c r="C114" i="89"/>
  <c r="C115" i="89"/>
  <c r="C116" i="89"/>
  <c r="C117" i="89"/>
  <c r="C118" i="89"/>
  <c r="C119" i="89"/>
  <c r="C120" i="89"/>
  <c r="C121" i="89"/>
  <c r="C122" i="89"/>
  <c r="C123" i="89"/>
  <c r="C124" i="89"/>
  <c r="C125" i="89"/>
  <c r="C126" i="89"/>
  <c r="C127" i="89"/>
  <c r="C128" i="89"/>
  <c r="C129" i="89"/>
  <c r="C130" i="89"/>
  <c r="C131" i="89"/>
  <c r="C132" i="89"/>
  <c r="C133" i="89"/>
  <c r="C134" i="89"/>
  <c r="C135" i="89"/>
  <c r="C136" i="89"/>
  <c r="C137" i="89"/>
  <c r="C138" i="89"/>
  <c r="C139" i="89"/>
  <c r="C140" i="89"/>
  <c r="C141" i="89"/>
  <c r="C142" i="89"/>
  <c r="C143" i="89"/>
  <c r="C144" i="89"/>
  <c r="C145" i="89"/>
  <c r="C146" i="89"/>
  <c r="C147" i="89"/>
  <c r="C148" i="89"/>
  <c r="C149" i="89"/>
  <c r="C150" i="89"/>
  <c r="C151" i="89"/>
  <c r="C152" i="89"/>
  <c r="C153" i="89"/>
  <c r="C154" i="89"/>
  <c r="C2" i="89"/>
  <c r="B17" i="87"/>
  <c r="J17" i="87"/>
  <c r="J16" i="87"/>
  <c r="J15" i="87"/>
  <c r="J14" i="87"/>
  <c r="J13" i="87"/>
  <c r="J4" i="87"/>
  <c r="J5" i="87"/>
  <c r="J6" i="87"/>
  <c r="J7" i="87"/>
  <c r="J8" i="87"/>
  <c r="J9" i="87"/>
  <c r="J10" i="87"/>
  <c r="J11" i="87"/>
  <c r="J12" i="87"/>
  <c r="J3" i="87"/>
  <c r="I4" i="87"/>
  <c r="I5" i="87"/>
  <c r="I6" i="87"/>
  <c r="I7" i="87"/>
  <c r="I8" i="87"/>
  <c r="I9" i="87"/>
  <c r="I10" i="87"/>
  <c r="I11" i="87"/>
  <c r="I12" i="87"/>
  <c r="I3" i="87"/>
  <c r="H4" i="87"/>
  <c r="H5" i="87"/>
  <c r="H6" i="87"/>
  <c r="H7" i="87"/>
  <c r="H8" i="87"/>
  <c r="H9" i="87"/>
  <c r="H10" i="87"/>
  <c r="H11" i="87"/>
  <c r="H12" i="87"/>
  <c r="H3" i="87"/>
  <c r="G4" i="87"/>
  <c r="G5" i="87"/>
  <c r="G6" i="87"/>
  <c r="G7" i="87"/>
  <c r="G8" i="87"/>
  <c r="G9" i="87"/>
  <c r="G10" i="87"/>
  <c r="G11" i="87"/>
  <c r="G12" i="87"/>
  <c r="F11" i="87"/>
  <c r="F12" i="87"/>
  <c r="D4" i="87"/>
  <c r="F4" i="87" s="1"/>
  <c r="D5" i="87"/>
  <c r="F5" i="87" s="1"/>
  <c r="D6" i="87"/>
  <c r="F6" i="87" s="1"/>
  <c r="D7" i="87"/>
  <c r="F7" i="87" s="1"/>
  <c r="D8" i="87"/>
  <c r="F8" i="87" s="1"/>
  <c r="D9" i="87"/>
  <c r="F9" i="87" s="1"/>
  <c r="D10" i="87"/>
  <c r="F10" i="87" s="1"/>
  <c r="D11" i="87"/>
  <c r="D12" i="87"/>
  <c r="D3" i="87"/>
  <c r="F3" i="87" s="1"/>
  <c r="G3" i="87" s="1"/>
  <c r="B15" i="86"/>
  <c r="J15" i="86"/>
  <c r="J14" i="86"/>
  <c r="J13" i="86"/>
  <c r="J12" i="86"/>
  <c r="J11" i="86"/>
  <c r="J4" i="86"/>
  <c r="J5" i="86"/>
  <c r="J6" i="86"/>
  <c r="J7" i="86"/>
  <c r="J8" i="86"/>
  <c r="J9" i="86"/>
  <c r="J10" i="86"/>
  <c r="J3" i="86"/>
  <c r="I4" i="86"/>
  <c r="I5" i="86"/>
  <c r="I6" i="86"/>
  <c r="I7" i="86"/>
  <c r="I8" i="86"/>
  <c r="I9" i="86"/>
  <c r="I10" i="86"/>
  <c r="I3" i="86"/>
  <c r="H4" i="86"/>
  <c r="H5" i="86"/>
  <c r="H6" i="86"/>
  <c r="H7" i="86"/>
  <c r="H8" i="86"/>
  <c r="H9" i="86"/>
  <c r="H10" i="86"/>
  <c r="H3" i="86"/>
  <c r="G4" i="86"/>
  <c r="G5" i="86"/>
  <c r="G6" i="86"/>
  <c r="G7" i="86"/>
  <c r="G8" i="86"/>
  <c r="G9" i="86"/>
  <c r="G10" i="86"/>
  <c r="G3" i="86"/>
  <c r="F4" i="86"/>
  <c r="F5" i="86"/>
  <c r="F6" i="86"/>
  <c r="F7" i="86"/>
  <c r="F8" i="86"/>
  <c r="F9" i="86"/>
  <c r="F10" i="86"/>
  <c r="F3" i="86"/>
  <c r="E4" i="86"/>
  <c r="E5" i="86"/>
  <c r="E6" i="86"/>
  <c r="E7" i="86"/>
  <c r="E8" i="86"/>
  <c r="E9" i="86"/>
  <c r="E10" i="86"/>
  <c r="E3" i="86"/>
  <c r="D4" i="86"/>
  <c r="D5" i="86"/>
  <c r="D6" i="86"/>
  <c r="D7" i="86"/>
  <c r="D8" i="86"/>
  <c r="D9" i="86"/>
  <c r="D10" i="86"/>
  <c r="D3" i="86"/>
  <c r="J21" i="85"/>
  <c r="J20" i="85"/>
  <c r="J19" i="85"/>
  <c r="J18" i="85"/>
  <c r="J17" i="85"/>
  <c r="J4" i="85"/>
  <c r="J5" i="85"/>
  <c r="J6" i="85"/>
  <c r="J7" i="85"/>
  <c r="J8" i="85"/>
  <c r="J9" i="85"/>
  <c r="J10" i="85"/>
  <c r="J11" i="85"/>
  <c r="J12" i="85"/>
  <c r="J13" i="85"/>
  <c r="J14" i="85"/>
  <c r="J15" i="85"/>
  <c r="J16" i="85"/>
  <c r="J3" i="85"/>
  <c r="I4" i="85"/>
  <c r="I5" i="85"/>
  <c r="I6" i="85"/>
  <c r="I7" i="85"/>
  <c r="I8" i="85"/>
  <c r="I9" i="85"/>
  <c r="I10" i="85"/>
  <c r="I11" i="85"/>
  <c r="I12" i="85"/>
  <c r="I13" i="85"/>
  <c r="I14" i="85"/>
  <c r="I15" i="85"/>
  <c r="I16" i="85"/>
  <c r="I3" i="85"/>
  <c r="H4" i="85"/>
  <c r="H5" i="85"/>
  <c r="H6" i="85"/>
  <c r="H7" i="85"/>
  <c r="H8" i="85"/>
  <c r="H9" i="85"/>
  <c r="H10" i="85"/>
  <c r="H11" i="85"/>
  <c r="H12" i="85"/>
  <c r="H13" i="85"/>
  <c r="H14" i="85"/>
  <c r="H15" i="85"/>
  <c r="H16" i="85"/>
  <c r="H3" i="85"/>
  <c r="G4" i="85"/>
  <c r="G5" i="85"/>
  <c r="G6" i="85"/>
  <c r="G7" i="85"/>
  <c r="G8" i="85"/>
  <c r="G9" i="85"/>
  <c r="G10" i="85"/>
  <c r="G11" i="85"/>
  <c r="G12" i="85"/>
  <c r="G13" i="85"/>
  <c r="G14" i="85"/>
  <c r="G15" i="85"/>
  <c r="G16" i="85"/>
  <c r="G3" i="85"/>
  <c r="F4" i="85"/>
  <c r="F5" i="85"/>
  <c r="F6" i="85"/>
  <c r="F7" i="85"/>
  <c r="F8" i="85"/>
  <c r="F9" i="85"/>
  <c r="F10" i="85"/>
  <c r="F11" i="85"/>
  <c r="F12" i="85"/>
  <c r="F13" i="85"/>
  <c r="F14" i="85"/>
  <c r="F15" i="85"/>
  <c r="F16" i="85"/>
  <c r="F3" i="85"/>
  <c r="D4" i="85"/>
  <c r="D5" i="85"/>
  <c r="D6" i="85"/>
  <c r="D7" i="85"/>
  <c r="D8" i="85"/>
  <c r="D9" i="85"/>
  <c r="D10" i="85"/>
  <c r="D11" i="85"/>
  <c r="D12" i="85"/>
  <c r="D13" i="85"/>
  <c r="D14" i="85"/>
  <c r="D15" i="85"/>
  <c r="D16" i="85"/>
  <c r="D3" i="85"/>
  <c r="B28" i="83"/>
  <c r="I26" i="83"/>
  <c r="I25" i="83"/>
  <c r="I24" i="83"/>
  <c r="I23" i="83"/>
  <c r="I22" i="83"/>
  <c r="I3" i="83"/>
  <c r="I4" i="83"/>
  <c r="I5" i="83"/>
  <c r="I6" i="83"/>
  <c r="I7" i="83"/>
  <c r="I8" i="83"/>
  <c r="I9" i="83"/>
  <c r="I10" i="83"/>
  <c r="I11" i="83"/>
  <c r="I12" i="83"/>
  <c r="I13" i="83"/>
  <c r="I14" i="83"/>
  <c r="I15" i="83"/>
  <c r="I16" i="83"/>
  <c r="I17" i="83"/>
  <c r="I18" i="83"/>
  <c r="I19" i="83"/>
  <c r="I20" i="83"/>
  <c r="I21" i="83"/>
  <c r="I2" i="83"/>
  <c r="H3" i="83"/>
  <c r="H4" i="83"/>
  <c r="H5" i="83"/>
  <c r="H6" i="83"/>
  <c r="H7" i="83"/>
  <c r="H8" i="83"/>
  <c r="H9" i="83"/>
  <c r="H10" i="83"/>
  <c r="H11" i="83"/>
  <c r="H12" i="83"/>
  <c r="H13" i="83"/>
  <c r="H14" i="83"/>
  <c r="H15" i="83"/>
  <c r="H16" i="83"/>
  <c r="H17" i="83"/>
  <c r="H18" i="83"/>
  <c r="H19" i="83"/>
  <c r="H20" i="83"/>
  <c r="H21" i="83"/>
  <c r="H2" i="83"/>
  <c r="B25" i="83"/>
  <c r="G3" i="83"/>
  <c r="G4" i="83"/>
  <c r="G5" i="83"/>
  <c r="G6" i="83"/>
  <c r="G7" i="83"/>
  <c r="G8" i="83"/>
  <c r="G9" i="83"/>
  <c r="G10" i="83"/>
  <c r="G11" i="83"/>
  <c r="G12" i="83"/>
  <c r="G13" i="83"/>
  <c r="G14" i="83"/>
  <c r="G15" i="83"/>
  <c r="G16" i="83"/>
  <c r="G17" i="83"/>
  <c r="G18" i="83"/>
  <c r="G19" i="83"/>
  <c r="G20" i="83"/>
  <c r="G21" i="83"/>
  <c r="G2" i="83"/>
  <c r="F3" i="83"/>
  <c r="F4" i="83"/>
  <c r="F5" i="83"/>
  <c r="F6" i="83"/>
  <c r="F7" i="83"/>
  <c r="F8" i="83"/>
  <c r="F9" i="83"/>
  <c r="F10" i="83"/>
  <c r="F11" i="83"/>
  <c r="F12" i="83"/>
  <c r="F13" i="83"/>
  <c r="F14" i="83"/>
  <c r="F15" i="83"/>
  <c r="F16" i="83"/>
  <c r="F17" i="83"/>
  <c r="F18" i="83"/>
  <c r="F19" i="83"/>
  <c r="F20" i="83"/>
  <c r="F21" i="83"/>
  <c r="F2" i="83"/>
  <c r="E3" i="83"/>
  <c r="E4" i="83"/>
  <c r="E5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" i="83"/>
  <c r="C3" i="83"/>
  <c r="C4" i="83"/>
  <c r="C5" i="83"/>
  <c r="C6" i="83"/>
  <c r="C7" i="83"/>
  <c r="C8" i="83"/>
  <c r="C9" i="83"/>
  <c r="C10" i="83"/>
  <c r="C11" i="83"/>
  <c r="C12" i="83"/>
  <c r="C13" i="83"/>
  <c r="C14" i="83"/>
  <c r="C15" i="83"/>
  <c r="C16" i="83"/>
  <c r="C17" i="83"/>
  <c r="C18" i="83"/>
  <c r="C19" i="83"/>
  <c r="C20" i="83"/>
  <c r="C21" i="83"/>
  <c r="C2" i="83"/>
  <c r="C121" i="52"/>
  <c r="I46" i="81"/>
  <c r="I45" i="81"/>
  <c r="I44" i="81"/>
  <c r="I43" i="81"/>
  <c r="I42" i="81"/>
  <c r="I3" i="81"/>
  <c r="I4" i="81"/>
  <c r="I5" i="81"/>
  <c r="I6" i="81"/>
  <c r="I7" i="81"/>
  <c r="I8" i="81"/>
  <c r="I9" i="81"/>
  <c r="I10" i="81"/>
  <c r="I11" i="81"/>
  <c r="I12" i="81"/>
  <c r="I13" i="81"/>
  <c r="I14" i="81"/>
  <c r="I15" i="81"/>
  <c r="I16" i="81"/>
  <c r="I17" i="81"/>
  <c r="I18" i="81"/>
  <c r="I19" i="81"/>
  <c r="I20" i="81"/>
  <c r="I21" i="81"/>
  <c r="I22" i="81"/>
  <c r="I23" i="81"/>
  <c r="I24" i="81"/>
  <c r="I25" i="81"/>
  <c r="I26" i="81"/>
  <c r="I27" i="81"/>
  <c r="I28" i="81"/>
  <c r="I29" i="81"/>
  <c r="I30" i="81"/>
  <c r="I31" i="81"/>
  <c r="I32" i="81"/>
  <c r="I33" i="81"/>
  <c r="I34" i="81"/>
  <c r="I35" i="81"/>
  <c r="I36" i="81"/>
  <c r="I37" i="81"/>
  <c r="I38" i="81"/>
  <c r="I39" i="81"/>
  <c r="I40" i="81"/>
  <c r="I41" i="81"/>
  <c r="I2" i="81"/>
  <c r="H3" i="81"/>
  <c r="H4" i="81"/>
  <c r="H5" i="81"/>
  <c r="H6" i="81"/>
  <c r="H7" i="81"/>
  <c r="H8" i="81"/>
  <c r="H9" i="81"/>
  <c r="H10" i="81"/>
  <c r="H11" i="81"/>
  <c r="H12" i="81"/>
  <c r="H13" i="81"/>
  <c r="H14" i="81"/>
  <c r="H15" i="81"/>
  <c r="H16" i="81"/>
  <c r="H17" i="81"/>
  <c r="H18" i="81"/>
  <c r="H19" i="81"/>
  <c r="H20" i="81"/>
  <c r="H21" i="81"/>
  <c r="H22" i="81"/>
  <c r="H23" i="81"/>
  <c r="H24" i="81"/>
  <c r="H25" i="81"/>
  <c r="H26" i="81"/>
  <c r="H27" i="81"/>
  <c r="H28" i="81"/>
  <c r="H29" i="81"/>
  <c r="H30" i="81"/>
  <c r="H31" i="81"/>
  <c r="H32" i="81"/>
  <c r="H33" i="81"/>
  <c r="H34" i="81"/>
  <c r="H35" i="81"/>
  <c r="H36" i="81"/>
  <c r="H37" i="81"/>
  <c r="H38" i="81"/>
  <c r="H39" i="81"/>
  <c r="H40" i="81"/>
  <c r="H41" i="81"/>
  <c r="H2" i="81"/>
  <c r="G3" i="81"/>
  <c r="G4" i="81"/>
  <c r="G5" i="81"/>
  <c r="G6" i="81"/>
  <c r="G7" i="81"/>
  <c r="G8" i="81"/>
  <c r="G9" i="81"/>
  <c r="G10" i="81"/>
  <c r="G11" i="81"/>
  <c r="G12" i="81"/>
  <c r="G13" i="81"/>
  <c r="G14" i="81"/>
  <c r="G15" i="81"/>
  <c r="G16" i="81"/>
  <c r="G17" i="81"/>
  <c r="G18" i="81"/>
  <c r="G19" i="81"/>
  <c r="G20" i="81"/>
  <c r="G21" i="81"/>
  <c r="G22" i="81"/>
  <c r="G23" i="81"/>
  <c r="G24" i="81"/>
  <c r="G25" i="81"/>
  <c r="G26" i="81"/>
  <c r="G27" i="81"/>
  <c r="G28" i="81"/>
  <c r="G29" i="81"/>
  <c r="G30" i="81"/>
  <c r="G31" i="81"/>
  <c r="G32" i="81"/>
  <c r="G33" i="81"/>
  <c r="G34" i="81"/>
  <c r="G35" i="81"/>
  <c r="G36" i="81"/>
  <c r="G37" i="81"/>
  <c r="G38" i="81"/>
  <c r="G39" i="81"/>
  <c r="G40" i="81"/>
  <c r="G41" i="81"/>
  <c r="G2" i="81"/>
  <c r="F3" i="81"/>
  <c r="F4" i="81"/>
  <c r="F5" i="81"/>
  <c r="F6" i="81"/>
  <c r="F7" i="81"/>
  <c r="F8" i="81"/>
  <c r="F9" i="81"/>
  <c r="F10" i="81"/>
  <c r="F11" i="81"/>
  <c r="F12" i="81"/>
  <c r="F13" i="81"/>
  <c r="F14" i="81"/>
  <c r="F15" i="81"/>
  <c r="F16" i="81"/>
  <c r="F17" i="81"/>
  <c r="F18" i="81"/>
  <c r="F19" i="81"/>
  <c r="F20" i="81"/>
  <c r="F21" i="81"/>
  <c r="F22" i="81"/>
  <c r="F23" i="81"/>
  <c r="F24" i="81"/>
  <c r="F25" i="81"/>
  <c r="F26" i="81"/>
  <c r="F27" i="81"/>
  <c r="F28" i="81"/>
  <c r="F29" i="81"/>
  <c r="F30" i="81"/>
  <c r="F31" i="81"/>
  <c r="F32" i="81"/>
  <c r="F33" i="81"/>
  <c r="F34" i="81"/>
  <c r="F35" i="81"/>
  <c r="F36" i="81"/>
  <c r="F37" i="81"/>
  <c r="F38" i="81"/>
  <c r="F39" i="81"/>
  <c r="F40" i="81"/>
  <c r="F41" i="81"/>
  <c r="F2" i="81"/>
  <c r="B45" i="81"/>
  <c r="E3" i="81"/>
  <c r="E4" i="81"/>
  <c r="E5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2" i="81"/>
  <c r="C3" i="81"/>
  <c r="C4" i="81"/>
  <c r="C5" i="81"/>
  <c r="C6" i="81"/>
  <c r="C7" i="81"/>
  <c r="C8" i="81"/>
  <c r="C9" i="81"/>
  <c r="C10" i="81"/>
  <c r="C11" i="81"/>
  <c r="C12" i="81"/>
  <c r="C13" i="81"/>
  <c r="C14" i="81"/>
  <c r="C15" i="81"/>
  <c r="C16" i="81"/>
  <c r="C17" i="81"/>
  <c r="C18" i="81"/>
  <c r="C19" i="81"/>
  <c r="C20" i="81"/>
  <c r="C21" i="81"/>
  <c r="C22" i="81"/>
  <c r="C23" i="81"/>
  <c r="C24" i="81"/>
  <c r="C25" i="81"/>
  <c r="C26" i="81"/>
  <c r="C27" i="81"/>
  <c r="C28" i="81"/>
  <c r="C29" i="81"/>
  <c r="C30" i="81"/>
  <c r="C31" i="81"/>
  <c r="C32" i="81"/>
  <c r="C33" i="81"/>
  <c r="C34" i="81"/>
  <c r="C35" i="81"/>
  <c r="C36" i="81"/>
  <c r="C37" i="81"/>
  <c r="C38" i="81"/>
  <c r="C39" i="81"/>
  <c r="C40" i="81"/>
  <c r="C41" i="81"/>
  <c r="C2" i="81"/>
  <c r="C3" i="82"/>
  <c r="D3" i="82" s="1"/>
  <c r="D4" i="82" s="1"/>
  <c r="D5" i="82" s="1"/>
  <c r="D6" i="82" s="1"/>
  <c r="D7" i="82" s="1"/>
  <c r="D8" i="82" s="1"/>
  <c r="D9" i="82" s="1"/>
  <c r="C4" i="82"/>
  <c r="C5" i="82"/>
  <c r="C6" i="82"/>
  <c r="C7" i="82"/>
  <c r="C8" i="82"/>
  <c r="C9" i="82"/>
  <c r="C10" i="82"/>
  <c r="C11" i="82"/>
  <c r="C12" i="82"/>
  <c r="C13" i="82"/>
  <c r="C14" i="82"/>
  <c r="C15" i="82"/>
  <c r="C16" i="82"/>
  <c r="C17" i="82"/>
  <c r="C18" i="82"/>
  <c r="C19" i="82"/>
  <c r="C20" i="82"/>
  <c r="C21" i="82"/>
  <c r="C22" i="82"/>
  <c r="C23" i="82"/>
  <c r="C24" i="82"/>
  <c r="C25" i="82"/>
  <c r="C26" i="82"/>
  <c r="C27" i="82"/>
  <c r="C28" i="82"/>
  <c r="C29" i="82"/>
  <c r="C30" i="82"/>
  <c r="C31" i="82"/>
  <c r="C32" i="82"/>
  <c r="C33" i="82"/>
  <c r="C34" i="82"/>
  <c r="C35" i="82"/>
  <c r="C36" i="82"/>
  <c r="C37" i="82"/>
  <c r="C38" i="82"/>
  <c r="C39" i="82"/>
  <c r="C40" i="82"/>
  <c r="C41" i="82"/>
  <c r="C42" i="82"/>
  <c r="C43" i="82"/>
  <c r="C44" i="82"/>
  <c r="C45" i="82"/>
  <c r="C46" i="82"/>
  <c r="C47" i="82"/>
  <c r="C48" i="82"/>
  <c r="C49" i="82"/>
  <c r="C50" i="82"/>
  <c r="C51" i="82"/>
  <c r="C52" i="82"/>
  <c r="C53" i="82"/>
  <c r="C54" i="82"/>
  <c r="C55" i="82"/>
  <c r="C56" i="82"/>
  <c r="C57" i="82"/>
  <c r="C58" i="82"/>
  <c r="C59" i="82"/>
  <c r="C60" i="82"/>
  <c r="C61" i="82"/>
  <c r="C62" i="82"/>
  <c r="C63" i="82"/>
  <c r="C64" i="82"/>
  <c r="C65" i="82"/>
  <c r="C66" i="82"/>
  <c r="C67" i="82"/>
  <c r="C68" i="82"/>
  <c r="C69" i="82"/>
  <c r="C70" i="82"/>
  <c r="C71" i="82"/>
  <c r="C72" i="82"/>
  <c r="C73" i="82"/>
  <c r="C74" i="82"/>
  <c r="C75" i="82"/>
  <c r="C76" i="82"/>
  <c r="C77" i="82"/>
  <c r="C78" i="82"/>
  <c r="C79" i="82"/>
  <c r="C80" i="82"/>
  <c r="C81" i="82"/>
  <c r="C82" i="82"/>
  <c r="C83" i="82"/>
  <c r="C84" i="82"/>
  <c r="C85" i="82"/>
  <c r="C86" i="82"/>
  <c r="C87" i="82"/>
  <c r="C88" i="82"/>
  <c r="C89" i="82"/>
  <c r="C90" i="82"/>
  <c r="C91" i="82"/>
  <c r="C92" i="82"/>
  <c r="C93" i="82"/>
  <c r="C94" i="82"/>
  <c r="C95" i="82"/>
  <c r="C96" i="82"/>
  <c r="C97" i="82"/>
  <c r="C98" i="82"/>
  <c r="C99" i="82"/>
  <c r="C100" i="82"/>
  <c r="C101" i="82"/>
  <c r="C102" i="82"/>
  <c r="C103" i="82"/>
  <c r="C104" i="82"/>
  <c r="C105" i="82"/>
  <c r="C106" i="82"/>
  <c r="C107" i="82"/>
  <c r="C108" i="82"/>
  <c r="C109" i="82"/>
  <c r="C110" i="82"/>
  <c r="C111" i="82"/>
  <c r="C112" i="82"/>
  <c r="C113" i="82"/>
  <c r="C114" i="82"/>
  <c r="C115" i="82"/>
  <c r="C116" i="82"/>
  <c r="C117" i="82"/>
  <c r="C118" i="82"/>
  <c r="C119" i="82"/>
  <c r="C120" i="82"/>
  <c r="C121" i="82"/>
  <c r="C122" i="82"/>
  <c r="C123" i="82"/>
  <c r="C124" i="82"/>
  <c r="C125" i="82"/>
  <c r="C126" i="82"/>
  <c r="C127" i="82"/>
  <c r="C128" i="82"/>
  <c r="C129" i="82"/>
  <c r="C130" i="82"/>
  <c r="C131" i="82"/>
  <c r="C132" i="82"/>
  <c r="C133" i="82"/>
  <c r="C134" i="82"/>
  <c r="C135" i="82"/>
  <c r="C136" i="82"/>
  <c r="C137" i="82"/>
  <c r="C138" i="82"/>
  <c r="C139" i="82"/>
  <c r="C140" i="82"/>
  <c r="C141" i="82"/>
  <c r="C142" i="82"/>
  <c r="C143" i="82"/>
  <c r="C144" i="82"/>
  <c r="C145" i="82"/>
  <c r="C146" i="82"/>
  <c r="C147" i="82"/>
  <c r="C148" i="82"/>
  <c r="C149" i="82"/>
  <c r="C150" i="82"/>
  <c r="C151" i="82"/>
  <c r="C152" i="82"/>
  <c r="C153" i="82"/>
  <c r="C154" i="82"/>
  <c r="C155" i="82"/>
  <c r="C156" i="82"/>
  <c r="C157" i="82"/>
  <c r="C158" i="82"/>
  <c r="C159" i="82"/>
  <c r="C160" i="82"/>
  <c r="C161" i="82"/>
  <c r="C162" i="82"/>
  <c r="C163" i="82"/>
  <c r="C164" i="82"/>
  <c r="C165" i="82"/>
  <c r="C166" i="82"/>
  <c r="C167" i="82"/>
  <c r="C168" i="82"/>
  <c r="C169" i="82"/>
  <c r="C170" i="82"/>
  <c r="C171" i="82"/>
  <c r="C172" i="82"/>
  <c r="C173" i="82"/>
  <c r="C174" i="82"/>
  <c r="C175" i="82"/>
  <c r="C176" i="82"/>
  <c r="C177" i="82"/>
  <c r="C178" i="82"/>
  <c r="C179" i="82"/>
  <c r="C180" i="82"/>
  <c r="C181" i="82"/>
  <c r="C182" i="82"/>
  <c r="C183" i="82"/>
  <c r="C184" i="82"/>
  <c r="C185" i="82"/>
  <c r="C186" i="82"/>
  <c r="C187" i="82"/>
  <c r="C188" i="82"/>
  <c r="C189" i="82"/>
  <c r="C190" i="82"/>
  <c r="C191" i="82"/>
  <c r="C192" i="82"/>
  <c r="C193" i="82"/>
  <c r="C194" i="82"/>
  <c r="C195" i="82"/>
  <c r="C196" i="82"/>
  <c r="C197" i="82"/>
  <c r="C198" i="82"/>
  <c r="C199" i="82"/>
  <c r="C200" i="82"/>
  <c r="C201" i="82"/>
  <c r="C202" i="82"/>
  <c r="C203" i="82"/>
  <c r="C204" i="82"/>
  <c r="C205" i="82"/>
  <c r="C206" i="82"/>
  <c r="C207" i="82"/>
  <c r="C208" i="82"/>
  <c r="C209" i="82"/>
  <c r="C210" i="82"/>
  <c r="C211" i="82"/>
  <c r="C212" i="82"/>
  <c r="C213" i="82"/>
  <c r="C214" i="82"/>
  <c r="C215" i="82"/>
  <c r="C216" i="82"/>
  <c r="C217" i="82"/>
  <c r="C218" i="82"/>
  <c r="C219" i="82"/>
  <c r="C220" i="82"/>
  <c r="C221" i="82"/>
  <c r="C222" i="82"/>
  <c r="C223" i="82"/>
  <c r="C224" i="82"/>
  <c r="C225" i="82"/>
  <c r="C226" i="82"/>
  <c r="C227" i="82"/>
  <c r="C228" i="82"/>
  <c r="C229" i="82"/>
  <c r="C230" i="82"/>
  <c r="C231" i="82"/>
  <c r="C232" i="82"/>
  <c r="C233" i="82"/>
  <c r="C234" i="82"/>
  <c r="C235" i="82"/>
  <c r="C236" i="82"/>
  <c r="C237" i="82"/>
  <c r="C238" i="82"/>
  <c r="C239" i="82"/>
  <c r="C240" i="82"/>
  <c r="C241" i="82"/>
  <c r="C242" i="82"/>
  <c r="C243" i="82"/>
  <c r="C244" i="82"/>
  <c r="C245" i="82"/>
  <c r="C246" i="82"/>
  <c r="C247" i="82"/>
  <c r="C248" i="82"/>
  <c r="C249" i="82"/>
  <c r="C250" i="82"/>
  <c r="C251" i="82"/>
  <c r="C252" i="82"/>
  <c r="C253" i="82"/>
  <c r="C254" i="82"/>
  <c r="C255" i="82"/>
  <c r="C256" i="82"/>
  <c r="C257" i="82"/>
  <c r="C258" i="82"/>
  <c r="C259" i="82"/>
  <c r="C260" i="82"/>
  <c r="C261" i="82"/>
  <c r="C262" i="82"/>
  <c r="C263" i="82"/>
  <c r="C264" i="82"/>
  <c r="C265" i="82"/>
  <c r="C266" i="82"/>
  <c r="C267" i="82"/>
  <c r="C268" i="82"/>
  <c r="C269" i="82"/>
  <c r="C270" i="82"/>
  <c r="C271" i="82"/>
  <c r="C272" i="82"/>
  <c r="C273" i="82"/>
  <c r="C274" i="82"/>
  <c r="C275" i="82"/>
  <c r="C276" i="82"/>
  <c r="C277" i="82"/>
  <c r="C278" i="82"/>
  <c r="C279" i="82"/>
  <c r="C280" i="82"/>
  <c r="C281" i="82"/>
  <c r="C282" i="82"/>
  <c r="C283" i="82"/>
  <c r="C284" i="82"/>
  <c r="C285" i="82"/>
  <c r="C286" i="82"/>
  <c r="C287" i="82"/>
  <c r="C288" i="82"/>
  <c r="C289" i="82"/>
  <c r="C290" i="82"/>
  <c r="C291" i="82"/>
  <c r="C292" i="82"/>
  <c r="C293" i="82"/>
  <c r="C294" i="82"/>
  <c r="C295" i="82"/>
  <c r="C296" i="82"/>
  <c r="C297" i="82"/>
  <c r="C298" i="82"/>
  <c r="C299" i="82"/>
  <c r="C300" i="82"/>
  <c r="C301" i="82"/>
  <c r="C2" i="82"/>
  <c r="B21" i="80"/>
  <c r="J21" i="80"/>
  <c r="J20" i="80"/>
  <c r="J19" i="80"/>
  <c r="J18" i="80"/>
  <c r="J17" i="80"/>
  <c r="J4" i="80"/>
  <c r="J5" i="80"/>
  <c r="J6" i="80"/>
  <c r="J7" i="80"/>
  <c r="J8" i="80"/>
  <c r="J9" i="80"/>
  <c r="J10" i="80"/>
  <c r="J11" i="80"/>
  <c r="J12" i="80"/>
  <c r="J13" i="80"/>
  <c r="J14" i="80"/>
  <c r="J15" i="80"/>
  <c r="J16" i="80"/>
  <c r="J3" i="80"/>
  <c r="I4" i="80"/>
  <c r="I5" i="80"/>
  <c r="I6" i="80"/>
  <c r="I7" i="80"/>
  <c r="I8" i="80"/>
  <c r="I9" i="80"/>
  <c r="I10" i="80"/>
  <c r="I11" i="80"/>
  <c r="I12" i="80"/>
  <c r="I13" i="80"/>
  <c r="I14" i="80"/>
  <c r="I15" i="80"/>
  <c r="I16" i="80"/>
  <c r="I3" i="80"/>
  <c r="H4" i="80"/>
  <c r="H5" i="80"/>
  <c r="H6" i="80"/>
  <c r="H7" i="80"/>
  <c r="H8" i="80"/>
  <c r="H9" i="80"/>
  <c r="H10" i="80"/>
  <c r="H11" i="80"/>
  <c r="H12" i="80"/>
  <c r="H13" i="80"/>
  <c r="H14" i="80"/>
  <c r="H15" i="80"/>
  <c r="H16" i="80"/>
  <c r="H3" i="80"/>
  <c r="G4" i="80"/>
  <c r="G5" i="80"/>
  <c r="G6" i="80"/>
  <c r="G7" i="80"/>
  <c r="G8" i="80"/>
  <c r="G9" i="80"/>
  <c r="G10" i="80"/>
  <c r="G11" i="80"/>
  <c r="G12" i="80"/>
  <c r="G13" i="80"/>
  <c r="G14" i="80"/>
  <c r="G15" i="80"/>
  <c r="G16" i="80"/>
  <c r="G3" i="80"/>
  <c r="F4" i="80"/>
  <c r="F5" i="80"/>
  <c r="F6" i="80"/>
  <c r="F7" i="80"/>
  <c r="F8" i="80"/>
  <c r="F9" i="80"/>
  <c r="F10" i="80"/>
  <c r="F11" i="80"/>
  <c r="F12" i="80"/>
  <c r="F13" i="80"/>
  <c r="F14" i="80"/>
  <c r="F15" i="80"/>
  <c r="F16" i="80"/>
  <c r="F3" i="80"/>
  <c r="D4" i="80"/>
  <c r="D5" i="80"/>
  <c r="D6" i="80"/>
  <c r="D7" i="80"/>
  <c r="D8" i="80"/>
  <c r="D9" i="80"/>
  <c r="D10" i="80"/>
  <c r="D11" i="80"/>
  <c r="D12" i="80"/>
  <c r="D13" i="80"/>
  <c r="D14" i="80"/>
  <c r="D15" i="80"/>
  <c r="D16" i="80"/>
  <c r="D3" i="80"/>
  <c r="B22" i="79"/>
  <c r="I20" i="79"/>
  <c r="I19" i="79"/>
  <c r="I18" i="79"/>
  <c r="I17" i="79"/>
  <c r="I16" i="79"/>
  <c r="I3" i="79"/>
  <c r="I4" i="79"/>
  <c r="I5" i="79"/>
  <c r="I6" i="79"/>
  <c r="I7" i="79"/>
  <c r="I8" i="79"/>
  <c r="I9" i="79"/>
  <c r="I10" i="79"/>
  <c r="I11" i="79"/>
  <c r="I12" i="79"/>
  <c r="I13" i="79"/>
  <c r="I14" i="79"/>
  <c r="I15" i="79"/>
  <c r="I2" i="79"/>
  <c r="H3" i="79"/>
  <c r="H4" i="79"/>
  <c r="H5" i="79"/>
  <c r="H6" i="79"/>
  <c r="H7" i="79"/>
  <c r="H8" i="79"/>
  <c r="H9" i="79"/>
  <c r="H10" i="79"/>
  <c r="H11" i="79"/>
  <c r="H12" i="79"/>
  <c r="H13" i="79"/>
  <c r="H14" i="79"/>
  <c r="H15" i="79"/>
  <c r="H2" i="79"/>
  <c r="B19" i="79"/>
  <c r="G3" i="79"/>
  <c r="G4" i="79"/>
  <c r="G5" i="79"/>
  <c r="G6" i="79"/>
  <c r="G7" i="79"/>
  <c r="G8" i="79"/>
  <c r="G9" i="79"/>
  <c r="G10" i="79"/>
  <c r="G11" i="79"/>
  <c r="G12" i="79"/>
  <c r="G13" i="79"/>
  <c r="G14" i="79"/>
  <c r="G15" i="79"/>
  <c r="G2" i="79"/>
  <c r="F3" i="79"/>
  <c r="F4" i="79"/>
  <c r="F5" i="79"/>
  <c r="F6" i="79"/>
  <c r="F7" i="79"/>
  <c r="F8" i="79"/>
  <c r="F9" i="79"/>
  <c r="F10" i="79"/>
  <c r="F11" i="79"/>
  <c r="F12" i="79"/>
  <c r="F13" i="79"/>
  <c r="F14" i="79"/>
  <c r="F15" i="79"/>
  <c r="F2" i="79"/>
  <c r="E3" i="79"/>
  <c r="E4" i="79"/>
  <c r="E5" i="79"/>
  <c r="E6" i="79"/>
  <c r="E7" i="79"/>
  <c r="E8" i="79"/>
  <c r="E9" i="79"/>
  <c r="E10" i="79"/>
  <c r="E11" i="79"/>
  <c r="E12" i="79"/>
  <c r="E13" i="79"/>
  <c r="E14" i="79"/>
  <c r="E15" i="79"/>
  <c r="E2" i="79"/>
  <c r="C3" i="79"/>
  <c r="C4" i="79"/>
  <c r="C5" i="79"/>
  <c r="C6" i="79"/>
  <c r="C7" i="79"/>
  <c r="C8" i="79"/>
  <c r="C9" i="79"/>
  <c r="C10" i="79"/>
  <c r="C11" i="79"/>
  <c r="C12" i="79"/>
  <c r="C13" i="79"/>
  <c r="C14" i="79"/>
  <c r="C15" i="79"/>
  <c r="C2" i="79"/>
  <c r="C4" i="60"/>
  <c r="D4" i="60" s="1"/>
  <c r="D5" i="60" s="1"/>
  <c r="D6" i="60" s="1"/>
  <c r="D7" i="60" s="1"/>
  <c r="D8" i="60" s="1"/>
  <c r="D9" i="60" s="1"/>
  <c r="D10" i="60" s="1"/>
  <c r="D11" i="60" s="1"/>
  <c r="D12" i="60" s="1"/>
  <c r="D13" i="60" s="1"/>
  <c r="D14" i="60" s="1"/>
  <c r="D15" i="60" s="1"/>
  <c r="D16" i="60" s="1"/>
  <c r="D17" i="60" s="1"/>
  <c r="D18" i="60" s="1"/>
  <c r="D19" i="60" s="1"/>
  <c r="D20" i="60" s="1"/>
  <c r="D21" i="60" s="1"/>
  <c r="D22" i="60" s="1"/>
  <c r="D23" i="60" s="1"/>
  <c r="D24" i="60" s="1"/>
  <c r="D25" i="60" s="1"/>
  <c r="D26" i="60" s="1"/>
  <c r="D27" i="60" s="1"/>
  <c r="D28" i="60" s="1"/>
  <c r="D29" i="60" s="1"/>
  <c r="D30" i="60" s="1"/>
  <c r="D31" i="60" s="1"/>
  <c r="D32" i="60" s="1"/>
  <c r="D33" i="60" s="1"/>
  <c r="D34" i="60" s="1"/>
  <c r="D35" i="60" s="1"/>
  <c r="D36" i="60" s="1"/>
  <c r="D37" i="60" s="1"/>
  <c r="D38" i="60" s="1"/>
  <c r="D39" i="60" s="1"/>
  <c r="D40" i="60" s="1"/>
  <c r="D41" i="60" s="1"/>
  <c r="D42" i="60" s="1"/>
  <c r="D43" i="60" s="1"/>
  <c r="D44" i="60" s="1"/>
  <c r="D45" i="60" s="1"/>
  <c r="D46" i="60" s="1"/>
  <c r="D47" i="60" s="1"/>
  <c r="D48" i="60" s="1"/>
  <c r="D49" i="60" s="1"/>
  <c r="D50" i="60" s="1"/>
  <c r="D51" i="60" s="1"/>
  <c r="D52" i="60" s="1"/>
  <c r="D53" i="60" s="1"/>
  <c r="D54" i="60" s="1"/>
  <c r="D55" i="60" s="1"/>
  <c r="D56" i="60" s="1"/>
  <c r="D57" i="60" s="1"/>
  <c r="D58" i="60" s="1"/>
  <c r="D59" i="60" s="1"/>
  <c r="D60" i="60" s="1"/>
  <c r="D61" i="60" s="1"/>
  <c r="D62" i="60" s="1"/>
  <c r="D63" i="60" s="1"/>
  <c r="D64" i="60" s="1"/>
  <c r="D65" i="60" s="1"/>
  <c r="D66" i="60" s="1"/>
  <c r="D67" i="60" s="1"/>
  <c r="D68" i="60" s="1"/>
  <c r="D69" i="60" s="1"/>
  <c r="D70" i="60" s="1"/>
  <c r="D71" i="60" s="1"/>
  <c r="D72" i="60" s="1"/>
  <c r="D73" i="60" s="1"/>
  <c r="D74" i="60" s="1"/>
  <c r="D75" i="60" s="1"/>
  <c r="D76" i="60" s="1"/>
  <c r="D77" i="60" s="1"/>
  <c r="D78" i="60" s="1"/>
  <c r="D79" i="60" s="1"/>
  <c r="D80" i="60" s="1"/>
  <c r="D81" i="60" s="1"/>
  <c r="D82" i="60" s="1"/>
  <c r="D83" i="60" s="1"/>
  <c r="D84" i="60" s="1"/>
  <c r="D85" i="60" s="1"/>
  <c r="D86" i="60" s="1"/>
  <c r="D87" i="60" s="1"/>
  <c r="D88" i="60" s="1"/>
  <c r="D89" i="60" s="1"/>
  <c r="D90" i="60" s="1"/>
  <c r="D91" i="60" s="1"/>
  <c r="D92" i="60" s="1"/>
  <c r="D93" i="60" s="1"/>
  <c r="D94" i="60" s="1"/>
  <c r="D95" i="60" s="1"/>
  <c r="D96" i="60" s="1"/>
  <c r="D97" i="60" s="1"/>
  <c r="D98" i="60" s="1"/>
  <c r="D99" i="60" s="1"/>
  <c r="D100" i="60" s="1"/>
  <c r="D101" i="60" s="1"/>
  <c r="D102" i="60" s="1"/>
  <c r="D103" i="60" s="1"/>
  <c r="D104" i="60" s="1"/>
  <c r="D105" i="60" s="1"/>
  <c r="D106" i="60" s="1"/>
  <c r="D107" i="60" s="1"/>
  <c r="D108" i="60" s="1"/>
  <c r="D109" i="60" s="1"/>
  <c r="D110" i="60" s="1"/>
  <c r="D111" i="60" s="1"/>
  <c r="D112" i="60" s="1"/>
  <c r="D113" i="60" s="1"/>
  <c r="D114" i="60" s="1"/>
  <c r="D115" i="60" s="1"/>
  <c r="D116" i="60" s="1"/>
  <c r="D117" i="60" s="1"/>
  <c r="D118" i="60" s="1"/>
  <c r="D119" i="60" s="1"/>
  <c r="D120" i="60" s="1"/>
  <c r="D121" i="60" s="1"/>
  <c r="D122" i="60" s="1"/>
  <c r="D123" i="60" s="1"/>
  <c r="D124" i="60" s="1"/>
  <c r="D125" i="60" s="1"/>
  <c r="D126" i="60" s="1"/>
  <c r="D127" i="60" s="1"/>
  <c r="D128" i="60" s="1"/>
  <c r="D129" i="60" s="1"/>
  <c r="D130" i="60" s="1"/>
  <c r="D131" i="60" s="1"/>
  <c r="D132" i="60" s="1"/>
  <c r="D133" i="60" s="1"/>
  <c r="D134" i="60" s="1"/>
  <c r="D135" i="60" s="1"/>
  <c r="D136" i="60" s="1"/>
  <c r="D137" i="60" s="1"/>
  <c r="D138" i="60" s="1"/>
  <c r="D139" i="60" s="1"/>
  <c r="D140" i="60" s="1"/>
  <c r="D141" i="60" s="1"/>
  <c r="D142" i="60" s="1"/>
  <c r="D143" i="60" s="1"/>
  <c r="D144" i="60" s="1"/>
  <c r="D145" i="60" s="1"/>
  <c r="D146" i="60" s="1"/>
  <c r="D147" i="60" s="1"/>
  <c r="D148" i="60" s="1"/>
  <c r="D149" i="60" s="1"/>
  <c r="D150" i="60" s="1"/>
  <c r="D151" i="60" s="1"/>
  <c r="D152" i="60" s="1"/>
  <c r="D153" i="60" s="1"/>
  <c r="D154" i="60" s="1"/>
  <c r="D155" i="60" s="1"/>
  <c r="D156" i="60" s="1"/>
  <c r="D157" i="60" s="1"/>
  <c r="D158" i="60" s="1"/>
  <c r="D159" i="60" s="1"/>
  <c r="D160" i="60" s="1"/>
  <c r="D161" i="60" s="1"/>
  <c r="D162" i="60" s="1"/>
  <c r="D163" i="60" s="1"/>
  <c r="D164" i="60" s="1"/>
  <c r="D165" i="60" s="1"/>
  <c r="D166" i="60" s="1"/>
  <c r="D167" i="60" s="1"/>
  <c r="D168" i="60" s="1"/>
  <c r="D169" i="60" s="1"/>
  <c r="D170" i="60" s="1"/>
  <c r="D171" i="60" s="1"/>
  <c r="D172" i="60" s="1"/>
  <c r="D173" i="60" s="1"/>
  <c r="D174" i="60" s="1"/>
  <c r="D175" i="60" s="1"/>
  <c r="D176" i="60" s="1"/>
  <c r="D177" i="60" s="1"/>
  <c r="D178" i="60" s="1"/>
  <c r="D179" i="60" s="1"/>
  <c r="D180" i="60" s="1"/>
  <c r="D181" i="60" s="1"/>
  <c r="D182" i="60" s="1"/>
  <c r="D183" i="60" s="1"/>
  <c r="D184" i="60" s="1"/>
  <c r="D185" i="60" s="1"/>
  <c r="D186" i="60" s="1"/>
  <c r="D187" i="60" s="1"/>
  <c r="D188" i="60" s="1"/>
  <c r="D189" i="60" s="1"/>
  <c r="D190" i="60" s="1"/>
  <c r="D191" i="60" s="1"/>
  <c r="D192" i="60" s="1"/>
  <c r="D193" i="60" s="1"/>
  <c r="D194" i="60" s="1"/>
  <c r="D195" i="60" s="1"/>
  <c r="C2" i="60"/>
  <c r="C3" i="60"/>
  <c r="D3" i="60" s="1"/>
  <c r="B44" i="78"/>
  <c r="I42" i="78"/>
  <c r="I41" i="78"/>
  <c r="I40" i="78"/>
  <c r="I39" i="78"/>
  <c r="I38" i="78"/>
  <c r="I3" i="78"/>
  <c r="I4" i="78"/>
  <c r="I5" i="78"/>
  <c r="I6" i="78"/>
  <c r="I7" i="78"/>
  <c r="I8" i="78"/>
  <c r="I9" i="78"/>
  <c r="I10" i="78"/>
  <c r="I11" i="78"/>
  <c r="I12" i="78"/>
  <c r="I13" i="78"/>
  <c r="I14" i="78"/>
  <c r="I15" i="78"/>
  <c r="I16" i="78"/>
  <c r="I17" i="78"/>
  <c r="I18" i="78"/>
  <c r="I19" i="78"/>
  <c r="I20" i="78"/>
  <c r="I21" i="78"/>
  <c r="I22" i="78"/>
  <c r="I23" i="78"/>
  <c r="I24" i="78"/>
  <c r="I25" i="78"/>
  <c r="I26" i="78"/>
  <c r="I27" i="78"/>
  <c r="I28" i="78"/>
  <c r="I29" i="78"/>
  <c r="I30" i="78"/>
  <c r="I31" i="78"/>
  <c r="I32" i="78"/>
  <c r="I33" i="78"/>
  <c r="I34" i="78"/>
  <c r="I35" i="78"/>
  <c r="I36" i="78"/>
  <c r="I37" i="78"/>
  <c r="I2" i="78"/>
  <c r="H3" i="78"/>
  <c r="H4" i="78"/>
  <c r="H5" i="78"/>
  <c r="H6" i="78"/>
  <c r="H7" i="78"/>
  <c r="H8" i="78"/>
  <c r="H9" i="78"/>
  <c r="H10" i="78"/>
  <c r="H11" i="78"/>
  <c r="H12" i="78"/>
  <c r="H13" i="78"/>
  <c r="H14" i="78"/>
  <c r="H15" i="78"/>
  <c r="H16" i="78"/>
  <c r="H17" i="78"/>
  <c r="H18" i="78"/>
  <c r="H19" i="78"/>
  <c r="H20" i="78"/>
  <c r="H21" i="78"/>
  <c r="H22" i="78"/>
  <c r="H23" i="78"/>
  <c r="H24" i="78"/>
  <c r="H25" i="78"/>
  <c r="H26" i="78"/>
  <c r="H27" i="78"/>
  <c r="H28" i="78"/>
  <c r="H29" i="78"/>
  <c r="H30" i="78"/>
  <c r="H31" i="78"/>
  <c r="H32" i="78"/>
  <c r="H33" i="78"/>
  <c r="H34" i="78"/>
  <c r="H35" i="78"/>
  <c r="H36" i="78"/>
  <c r="H37" i="78"/>
  <c r="H2" i="78"/>
  <c r="B41" i="78"/>
  <c r="G3" i="78"/>
  <c r="G4" i="78"/>
  <c r="G5" i="78"/>
  <c r="G6" i="78"/>
  <c r="G7" i="78"/>
  <c r="G8" i="78"/>
  <c r="G9" i="78"/>
  <c r="G10" i="78"/>
  <c r="G11" i="78"/>
  <c r="G12" i="78"/>
  <c r="G13" i="78"/>
  <c r="G14" i="78"/>
  <c r="G15" i="78"/>
  <c r="G16" i="78"/>
  <c r="G17" i="78"/>
  <c r="G18" i="78"/>
  <c r="G19" i="78"/>
  <c r="G20" i="78"/>
  <c r="G21" i="78"/>
  <c r="G22" i="78"/>
  <c r="G23" i="78"/>
  <c r="G24" i="78"/>
  <c r="G25" i="78"/>
  <c r="G26" i="78"/>
  <c r="G27" i="78"/>
  <c r="G28" i="78"/>
  <c r="G29" i="78"/>
  <c r="G30" i="78"/>
  <c r="G31" i="78"/>
  <c r="G32" i="78"/>
  <c r="G33" i="78"/>
  <c r="G34" i="78"/>
  <c r="G35" i="78"/>
  <c r="G36" i="78"/>
  <c r="G37" i="78"/>
  <c r="G2" i="78"/>
  <c r="F3" i="78"/>
  <c r="F4" i="78"/>
  <c r="F5" i="78"/>
  <c r="F6" i="78"/>
  <c r="F7" i="78"/>
  <c r="F8" i="78"/>
  <c r="F9" i="78"/>
  <c r="F10" i="78"/>
  <c r="F11" i="78"/>
  <c r="F12" i="78"/>
  <c r="F13" i="78"/>
  <c r="F14" i="78"/>
  <c r="F15" i="78"/>
  <c r="F16" i="78"/>
  <c r="F17" i="78"/>
  <c r="F18" i="78"/>
  <c r="F19" i="78"/>
  <c r="F20" i="78"/>
  <c r="F21" i="78"/>
  <c r="F22" i="78"/>
  <c r="F23" i="78"/>
  <c r="F24" i="78"/>
  <c r="F25" i="78"/>
  <c r="F26" i="78"/>
  <c r="F27" i="78"/>
  <c r="F28" i="78"/>
  <c r="F29" i="78"/>
  <c r="F30" i="78"/>
  <c r="F31" i="78"/>
  <c r="F32" i="78"/>
  <c r="F33" i="78"/>
  <c r="F34" i="78"/>
  <c r="F35" i="78"/>
  <c r="F36" i="78"/>
  <c r="F37" i="78"/>
  <c r="F2" i="78"/>
  <c r="E3" i="78"/>
  <c r="E4" i="78"/>
  <c r="E5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2" i="78"/>
  <c r="C3" i="78"/>
  <c r="C4" i="78"/>
  <c r="C5" i="78"/>
  <c r="C6" i="78"/>
  <c r="C7" i="78"/>
  <c r="C8" i="78"/>
  <c r="C9" i="78"/>
  <c r="C10" i="78"/>
  <c r="C11" i="78"/>
  <c r="C12" i="78"/>
  <c r="C13" i="78"/>
  <c r="C14" i="78"/>
  <c r="C15" i="78"/>
  <c r="C16" i="78"/>
  <c r="C17" i="78"/>
  <c r="C18" i="78"/>
  <c r="C19" i="78"/>
  <c r="C20" i="78"/>
  <c r="C21" i="78"/>
  <c r="C22" i="78"/>
  <c r="C23" i="78"/>
  <c r="C24" i="78"/>
  <c r="C25" i="78"/>
  <c r="C26" i="78"/>
  <c r="C27" i="78"/>
  <c r="C28" i="78"/>
  <c r="C29" i="78"/>
  <c r="C30" i="78"/>
  <c r="C31" i="78"/>
  <c r="C32" i="78"/>
  <c r="C33" i="78"/>
  <c r="C34" i="78"/>
  <c r="C35" i="78"/>
  <c r="C36" i="78"/>
  <c r="C37" i="78"/>
  <c r="C2" i="78"/>
  <c r="C3" i="77"/>
  <c r="D3" i="77" s="1"/>
  <c r="C4" i="77"/>
  <c r="C5" i="77"/>
  <c r="C6" i="77"/>
  <c r="C7" i="77"/>
  <c r="C8" i="77"/>
  <c r="C9" i="77"/>
  <c r="C10" i="77"/>
  <c r="C11" i="77"/>
  <c r="C12" i="77"/>
  <c r="C13" i="77"/>
  <c r="C14" i="77"/>
  <c r="C15" i="77"/>
  <c r="C16" i="77"/>
  <c r="C17" i="77"/>
  <c r="C18" i="77"/>
  <c r="C19" i="77"/>
  <c r="C20" i="77"/>
  <c r="C21" i="77"/>
  <c r="C22" i="77"/>
  <c r="C23" i="77"/>
  <c r="C24" i="77"/>
  <c r="C25" i="77"/>
  <c r="C26" i="77"/>
  <c r="C27" i="77"/>
  <c r="C28" i="77"/>
  <c r="C29" i="77"/>
  <c r="C30" i="77"/>
  <c r="C31" i="77"/>
  <c r="C32" i="77"/>
  <c r="C33" i="77"/>
  <c r="C34" i="77"/>
  <c r="C35" i="77"/>
  <c r="C36" i="77"/>
  <c r="C37" i="77"/>
  <c r="C38" i="77"/>
  <c r="C39" i="77"/>
  <c r="C40" i="77"/>
  <c r="C41" i="77"/>
  <c r="C42" i="77"/>
  <c r="C43" i="77"/>
  <c r="C44" i="77"/>
  <c r="C45" i="77"/>
  <c r="C46" i="77"/>
  <c r="C47" i="77"/>
  <c r="C48" i="77"/>
  <c r="C49" i="77"/>
  <c r="C50" i="77"/>
  <c r="C51" i="77"/>
  <c r="C52" i="77"/>
  <c r="C53" i="77"/>
  <c r="C54" i="77"/>
  <c r="C55" i="77"/>
  <c r="C56" i="77"/>
  <c r="C57" i="77"/>
  <c r="C58" i="77"/>
  <c r="C59" i="77"/>
  <c r="C60" i="77"/>
  <c r="C61" i="77"/>
  <c r="C62" i="77"/>
  <c r="C63" i="77"/>
  <c r="C64" i="77"/>
  <c r="C65" i="77"/>
  <c r="C66" i="77"/>
  <c r="C67" i="77"/>
  <c r="C68" i="77"/>
  <c r="C69" i="77"/>
  <c r="C70" i="77"/>
  <c r="C71" i="77"/>
  <c r="C72" i="77"/>
  <c r="C73" i="77"/>
  <c r="C74" i="77"/>
  <c r="C75" i="77"/>
  <c r="C76" i="77"/>
  <c r="C77" i="77"/>
  <c r="C78" i="77"/>
  <c r="C79" i="77"/>
  <c r="C80" i="77"/>
  <c r="C81" i="77"/>
  <c r="C82" i="77"/>
  <c r="C83" i="77"/>
  <c r="C84" i="77"/>
  <c r="C85" i="77"/>
  <c r="C86" i="77"/>
  <c r="C87" i="77"/>
  <c r="C88" i="77"/>
  <c r="C89" i="77"/>
  <c r="C90" i="77"/>
  <c r="C91" i="77"/>
  <c r="C92" i="77"/>
  <c r="C93" i="77"/>
  <c r="C94" i="77"/>
  <c r="C95" i="77"/>
  <c r="C96" i="77"/>
  <c r="C97" i="77"/>
  <c r="C98" i="77"/>
  <c r="C99" i="77"/>
  <c r="C100" i="77"/>
  <c r="C101" i="77"/>
  <c r="C102" i="77"/>
  <c r="C103" i="77"/>
  <c r="C104" i="77"/>
  <c r="C105" i="77"/>
  <c r="C106" i="77"/>
  <c r="C107" i="77"/>
  <c r="C108" i="77"/>
  <c r="C109" i="77"/>
  <c r="C110" i="77"/>
  <c r="C111" i="77"/>
  <c r="C112" i="77"/>
  <c r="C113" i="77"/>
  <c r="C114" i="77"/>
  <c r="C115" i="77"/>
  <c r="C116" i="77"/>
  <c r="C117" i="77"/>
  <c r="C118" i="77"/>
  <c r="C119" i="77"/>
  <c r="C120" i="77"/>
  <c r="C121" i="77"/>
  <c r="C122" i="77"/>
  <c r="C123" i="77"/>
  <c r="C124" i="77"/>
  <c r="C125" i="77"/>
  <c r="C126" i="77"/>
  <c r="C127" i="77"/>
  <c r="C128" i="77"/>
  <c r="C129" i="77"/>
  <c r="C130" i="77"/>
  <c r="C131" i="77"/>
  <c r="C132" i="77"/>
  <c r="C133" i="77"/>
  <c r="C134" i="77"/>
  <c r="C135" i="77"/>
  <c r="C136" i="77"/>
  <c r="C137" i="77"/>
  <c r="C138" i="77"/>
  <c r="C139" i="77"/>
  <c r="C140" i="77"/>
  <c r="C141" i="77"/>
  <c r="C142" i="77"/>
  <c r="C143" i="77"/>
  <c r="C144" i="77"/>
  <c r="C145" i="77"/>
  <c r="C146" i="77"/>
  <c r="C147" i="77"/>
  <c r="C148" i="77"/>
  <c r="C149" i="77"/>
  <c r="C150" i="77"/>
  <c r="C151" i="77"/>
  <c r="C152" i="77"/>
  <c r="C153" i="77"/>
  <c r="C154" i="77"/>
  <c r="C155" i="77"/>
  <c r="C156" i="77"/>
  <c r="C157" i="77"/>
  <c r="C158" i="77"/>
  <c r="C159" i="77"/>
  <c r="C160" i="77"/>
  <c r="C161" i="77"/>
  <c r="C162" i="77"/>
  <c r="C163" i="77"/>
  <c r="C164" i="77"/>
  <c r="C165" i="77"/>
  <c r="C166" i="77"/>
  <c r="C167" i="77"/>
  <c r="C168" i="77"/>
  <c r="C169" i="77"/>
  <c r="C170" i="77"/>
  <c r="C171" i="77"/>
  <c r="C172" i="77"/>
  <c r="C173" i="77"/>
  <c r="C174" i="77"/>
  <c r="C175" i="77"/>
  <c r="C176" i="77"/>
  <c r="C177" i="77"/>
  <c r="C178" i="77"/>
  <c r="C179" i="77"/>
  <c r="C180" i="77"/>
  <c r="C181" i="77"/>
  <c r="C182" i="77"/>
  <c r="C183" i="77"/>
  <c r="C184" i="77"/>
  <c r="C185" i="77"/>
  <c r="C186" i="77"/>
  <c r="C187" i="77"/>
  <c r="C188" i="77"/>
  <c r="C189" i="77"/>
  <c r="C190" i="77"/>
  <c r="C191" i="77"/>
  <c r="C192" i="77"/>
  <c r="C193" i="77"/>
  <c r="C194" i="77"/>
  <c r="C195" i="77"/>
  <c r="C196" i="77"/>
  <c r="C197" i="77"/>
  <c r="C198" i="77"/>
  <c r="C199" i="77"/>
  <c r="C200" i="77"/>
  <c r="C201" i="77"/>
  <c r="C202" i="77"/>
  <c r="C203" i="77"/>
  <c r="C204" i="77"/>
  <c r="C205" i="77"/>
  <c r="C206" i="77"/>
  <c r="C207" i="77"/>
  <c r="C208" i="77"/>
  <c r="C209" i="77"/>
  <c r="C210" i="77"/>
  <c r="C211" i="77"/>
  <c r="C212" i="77"/>
  <c r="C213" i="77"/>
  <c r="C214" i="77"/>
  <c r="C215" i="77"/>
  <c r="C216" i="77"/>
  <c r="C217" i="77"/>
  <c r="C218" i="77"/>
  <c r="C219" i="77"/>
  <c r="C220" i="77"/>
  <c r="C221" i="77"/>
  <c r="C222" i="77"/>
  <c r="C223" i="77"/>
  <c r="C224" i="77"/>
  <c r="C225" i="77"/>
  <c r="C226" i="77"/>
  <c r="C227" i="77"/>
  <c r="C228" i="77"/>
  <c r="C229" i="77"/>
  <c r="C230" i="77"/>
  <c r="C231" i="77"/>
  <c r="C232" i="77"/>
  <c r="C233" i="77"/>
  <c r="C234" i="77"/>
  <c r="C235" i="77"/>
  <c r="C236" i="77"/>
  <c r="C237" i="77"/>
  <c r="C238" i="77"/>
  <c r="C239" i="77"/>
  <c r="C240" i="77"/>
  <c r="C241" i="77"/>
  <c r="C2" i="77"/>
  <c r="B17" i="76"/>
  <c r="J17" i="76"/>
  <c r="J16" i="76"/>
  <c r="J15" i="76"/>
  <c r="J14" i="76"/>
  <c r="J13" i="76"/>
  <c r="J4" i="76"/>
  <c r="J5" i="76"/>
  <c r="J6" i="76"/>
  <c r="J7" i="76"/>
  <c r="J8" i="76"/>
  <c r="J9" i="76"/>
  <c r="J10" i="76"/>
  <c r="J11" i="76"/>
  <c r="J12" i="76"/>
  <c r="J3" i="76"/>
  <c r="I4" i="76"/>
  <c r="I5" i="76"/>
  <c r="I6" i="76"/>
  <c r="I7" i="76"/>
  <c r="I8" i="76"/>
  <c r="I9" i="76"/>
  <c r="I10" i="76"/>
  <c r="I11" i="76"/>
  <c r="I12" i="76"/>
  <c r="I3" i="76"/>
  <c r="H4" i="76"/>
  <c r="H5" i="76"/>
  <c r="H6" i="76"/>
  <c r="H7" i="76"/>
  <c r="H8" i="76"/>
  <c r="H9" i="76"/>
  <c r="H10" i="76"/>
  <c r="H11" i="76"/>
  <c r="H12" i="76"/>
  <c r="H3" i="76"/>
  <c r="G4" i="76"/>
  <c r="G5" i="76"/>
  <c r="G6" i="76"/>
  <c r="G7" i="76"/>
  <c r="G8" i="76"/>
  <c r="G9" i="76"/>
  <c r="G10" i="76"/>
  <c r="G11" i="76"/>
  <c r="G12" i="76"/>
  <c r="G3" i="76"/>
  <c r="F4" i="76"/>
  <c r="F5" i="76"/>
  <c r="F6" i="76"/>
  <c r="F7" i="76"/>
  <c r="F8" i="76"/>
  <c r="F9" i="76"/>
  <c r="F10" i="76"/>
  <c r="F11" i="76"/>
  <c r="F12" i="76"/>
  <c r="F3" i="76"/>
  <c r="E4" i="76"/>
  <c r="E5" i="76"/>
  <c r="E6" i="76"/>
  <c r="E7" i="76"/>
  <c r="E8" i="76"/>
  <c r="E9" i="76"/>
  <c r="E10" i="76"/>
  <c r="E11" i="76"/>
  <c r="E12" i="76"/>
  <c r="E3" i="76"/>
  <c r="D4" i="76"/>
  <c r="D5" i="76"/>
  <c r="D6" i="76"/>
  <c r="D7" i="76"/>
  <c r="D8" i="76"/>
  <c r="D9" i="76"/>
  <c r="D10" i="76"/>
  <c r="D11" i="76"/>
  <c r="D12" i="76"/>
  <c r="D3" i="76"/>
  <c r="B15" i="75"/>
  <c r="I13" i="75"/>
  <c r="I12" i="75"/>
  <c r="I11" i="75"/>
  <c r="I10" i="75"/>
  <c r="I9" i="75"/>
  <c r="I3" i="75"/>
  <c r="I4" i="75"/>
  <c r="I5" i="75"/>
  <c r="I6" i="75"/>
  <c r="I7" i="75"/>
  <c r="I8" i="75"/>
  <c r="I2" i="75"/>
  <c r="H3" i="75"/>
  <c r="H4" i="75"/>
  <c r="H5" i="75"/>
  <c r="H6" i="75"/>
  <c r="H7" i="75"/>
  <c r="H8" i="75"/>
  <c r="H2" i="75"/>
  <c r="B12" i="75"/>
  <c r="G3" i="75"/>
  <c r="G4" i="75"/>
  <c r="G5" i="75"/>
  <c r="G6" i="75"/>
  <c r="G7" i="75"/>
  <c r="G8" i="75"/>
  <c r="G2" i="75"/>
  <c r="C3" i="75"/>
  <c r="C4" i="75"/>
  <c r="C5" i="75"/>
  <c r="C6" i="75"/>
  <c r="F6" i="75" s="1"/>
  <c r="C7" i="75"/>
  <c r="F7" i="75" s="1"/>
  <c r="C8" i="75"/>
  <c r="C2" i="75"/>
  <c r="F3" i="75"/>
  <c r="F4" i="75"/>
  <c r="F5" i="75"/>
  <c r="F8" i="75"/>
  <c r="F2" i="75"/>
  <c r="E3" i="75"/>
  <c r="E4" i="75"/>
  <c r="E5" i="75"/>
  <c r="E6" i="75"/>
  <c r="E7" i="75"/>
  <c r="E8" i="75"/>
  <c r="E2" i="75"/>
  <c r="D3" i="73"/>
  <c r="B22" i="74"/>
  <c r="I20" i="74"/>
  <c r="I19" i="74"/>
  <c r="I18" i="74"/>
  <c r="I17" i="74"/>
  <c r="I16" i="74"/>
  <c r="I3" i="74"/>
  <c r="I4" i="74"/>
  <c r="I5" i="74"/>
  <c r="I6" i="74"/>
  <c r="I7" i="74"/>
  <c r="I8" i="74"/>
  <c r="I9" i="74"/>
  <c r="I10" i="74"/>
  <c r="I11" i="74"/>
  <c r="I12" i="74"/>
  <c r="I13" i="74"/>
  <c r="I14" i="74"/>
  <c r="I15" i="74"/>
  <c r="I2" i="74"/>
  <c r="H3" i="74"/>
  <c r="H4" i="74"/>
  <c r="H5" i="74"/>
  <c r="H6" i="74"/>
  <c r="H7" i="74"/>
  <c r="H8" i="74"/>
  <c r="H9" i="74"/>
  <c r="H10" i="74"/>
  <c r="H11" i="74"/>
  <c r="H12" i="74"/>
  <c r="H13" i="74"/>
  <c r="H14" i="74"/>
  <c r="H15" i="74"/>
  <c r="H2" i="74"/>
  <c r="G3" i="74"/>
  <c r="G4" i="74"/>
  <c r="G5" i="74"/>
  <c r="G6" i="74"/>
  <c r="G7" i="74"/>
  <c r="G8" i="74"/>
  <c r="G9" i="74"/>
  <c r="G10" i="74"/>
  <c r="G11" i="74"/>
  <c r="G12" i="74"/>
  <c r="G13" i="74"/>
  <c r="G14" i="74"/>
  <c r="G15" i="74"/>
  <c r="G2" i="74"/>
  <c r="F3" i="74"/>
  <c r="F4" i="74"/>
  <c r="F5" i="74"/>
  <c r="F6" i="74"/>
  <c r="F7" i="74"/>
  <c r="F8" i="74"/>
  <c r="F9" i="74"/>
  <c r="F10" i="74"/>
  <c r="F11" i="74"/>
  <c r="F12" i="74"/>
  <c r="F13" i="74"/>
  <c r="F14" i="74"/>
  <c r="F15" i="74"/>
  <c r="F2" i="74"/>
  <c r="B19" i="74"/>
  <c r="E3" i="74"/>
  <c r="E4" i="74"/>
  <c r="E5" i="74"/>
  <c r="E6" i="74"/>
  <c r="E7" i="74"/>
  <c r="E8" i="74"/>
  <c r="E9" i="74"/>
  <c r="E10" i="74"/>
  <c r="E11" i="74"/>
  <c r="E12" i="74"/>
  <c r="E13" i="74"/>
  <c r="E14" i="74"/>
  <c r="E15" i="74"/>
  <c r="E2" i="74"/>
  <c r="C3" i="74"/>
  <c r="C4" i="74"/>
  <c r="C5" i="74"/>
  <c r="C6" i="74"/>
  <c r="C7" i="74"/>
  <c r="C8" i="74"/>
  <c r="C9" i="74"/>
  <c r="C10" i="74"/>
  <c r="C11" i="74"/>
  <c r="C12" i="74"/>
  <c r="C13" i="74"/>
  <c r="C14" i="74"/>
  <c r="C15" i="74"/>
  <c r="C2" i="74"/>
  <c r="C75" i="73"/>
  <c r="B28" i="72"/>
  <c r="I26" i="72"/>
  <c r="I25" i="72"/>
  <c r="I24" i="72"/>
  <c r="I23" i="72"/>
  <c r="I22" i="72"/>
  <c r="I3" i="72"/>
  <c r="I4" i="72"/>
  <c r="I5" i="72"/>
  <c r="I6" i="72"/>
  <c r="I7" i="72"/>
  <c r="I8" i="72"/>
  <c r="I9" i="72"/>
  <c r="I10" i="72"/>
  <c r="I11" i="72"/>
  <c r="I12" i="72"/>
  <c r="I13" i="72"/>
  <c r="I14" i="72"/>
  <c r="I15" i="72"/>
  <c r="I16" i="72"/>
  <c r="I17" i="72"/>
  <c r="I18" i="72"/>
  <c r="I19" i="72"/>
  <c r="I20" i="72"/>
  <c r="I21" i="72"/>
  <c r="I2" i="72"/>
  <c r="H3" i="72"/>
  <c r="H4" i="72"/>
  <c r="H5" i="72"/>
  <c r="H6" i="72"/>
  <c r="H7" i="72"/>
  <c r="H8" i="72"/>
  <c r="H9" i="72"/>
  <c r="H10" i="72"/>
  <c r="H11" i="72"/>
  <c r="H12" i="72"/>
  <c r="H13" i="72"/>
  <c r="H14" i="72"/>
  <c r="H15" i="72"/>
  <c r="H16" i="72"/>
  <c r="H17" i="72"/>
  <c r="H18" i="72"/>
  <c r="H19" i="72"/>
  <c r="H20" i="72"/>
  <c r="H21" i="72"/>
  <c r="H2" i="72"/>
  <c r="G3" i="72"/>
  <c r="G4" i="72"/>
  <c r="G5" i="72"/>
  <c r="G6" i="72"/>
  <c r="G7" i="72"/>
  <c r="G8" i="72"/>
  <c r="G9" i="72"/>
  <c r="G10" i="72"/>
  <c r="G11" i="72"/>
  <c r="G12" i="72"/>
  <c r="G13" i="72"/>
  <c r="G14" i="72"/>
  <c r="G15" i="72"/>
  <c r="G16" i="72"/>
  <c r="G17" i="72"/>
  <c r="G18" i="72"/>
  <c r="G19" i="72"/>
  <c r="G20" i="72"/>
  <c r="G21" i="72"/>
  <c r="G2" i="72"/>
  <c r="F3" i="72"/>
  <c r="F4" i="72"/>
  <c r="F5" i="72"/>
  <c r="F6" i="72"/>
  <c r="F7" i="72"/>
  <c r="F8" i="72"/>
  <c r="F9" i="72"/>
  <c r="F10" i="72"/>
  <c r="F11" i="72"/>
  <c r="F12" i="72"/>
  <c r="F13" i="72"/>
  <c r="F14" i="72"/>
  <c r="F15" i="72"/>
  <c r="F16" i="72"/>
  <c r="F17" i="72"/>
  <c r="F18" i="72"/>
  <c r="F19" i="72"/>
  <c r="F20" i="72"/>
  <c r="F21" i="72"/>
  <c r="F2" i="72"/>
  <c r="B25" i="72"/>
  <c r="E3" i="72"/>
  <c r="E4" i="72"/>
  <c r="E5" i="72"/>
  <c r="E6" i="72"/>
  <c r="E7" i="72"/>
  <c r="E8" i="72"/>
  <c r="E9" i="72"/>
  <c r="E10" i="72"/>
  <c r="E11" i="72"/>
  <c r="E12" i="72"/>
  <c r="E13" i="72"/>
  <c r="E14" i="72"/>
  <c r="E15" i="72"/>
  <c r="E16" i="72"/>
  <c r="E17" i="72"/>
  <c r="E18" i="72"/>
  <c r="E19" i="72"/>
  <c r="E20" i="72"/>
  <c r="E21" i="72"/>
  <c r="E2" i="72"/>
  <c r="C3" i="72"/>
  <c r="C4" i="72"/>
  <c r="C5" i="72"/>
  <c r="C6" i="72"/>
  <c r="C7" i="72"/>
  <c r="C8" i="72"/>
  <c r="C9" i="72"/>
  <c r="C10" i="72"/>
  <c r="C11" i="72"/>
  <c r="C12" i="72"/>
  <c r="C13" i="72"/>
  <c r="C14" i="72"/>
  <c r="C15" i="72"/>
  <c r="C16" i="72"/>
  <c r="C17" i="72"/>
  <c r="C18" i="72"/>
  <c r="C19" i="72"/>
  <c r="C20" i="72"/>
  <c r="C21" i="72"/>
  <c r="C2" i="72"/>
  <c r="C3" i="73"/>
  <c r="C4" i="73"/>
  <c r="C5" i="73"/>
  <c r="C6" i="73"/>
  <c r="C7" i="73"/>
  <c r="C8" i="73"/>
  <c r="C9" i="73"/>
  <c r="C10" i="73"/>
  <c r="C11" i="73"/>
  <c r="C12" i="73"/>
  <c r="C13" i="73"/>
  <c r="C14" i="73"/>
  <c r="C15" i="73"/>
  <c r="C16" i="73"/>
  <c r="C17" i="73"/>
  <c r="C18" i="73"/>
  <c r="C19" i="73"/>
  <c r="C20" i="73"/>
  <c r="C21" i="73"/>
  <c r="C22" i="73"/>
  <c r="C23" i="73"/>
  <c r="C24" i="73"/>
  <c r="C25" i="73"/>
  <c r="C26" i="73"/>
  <c r="C27" i="73"/>
  <c r="C28" i="73"/>
  <c r="C29" i="73"/>
  <c r="C30" i="73"/>
  <c r="C31" i="73"/>
  <c r="C32" i="73"/>
  <c r="C33" i="73"/>
  <c r="C34" i="73"/>
  <c r="C35" i="73"/>
  <c r="C36" i="73"/>
  <c r="C37" i="73"/>
  <c r="C38" i="73"/>
  <c r="C39" i="73"/>
  <c r="C40" i="73"/>
  <c r="C41" i="73"/>
  <c r="C42" i="73"/>
  <c r="C43" i="73"/>
  <c r="C44" i="73"/>
  <c r="C45" i="73"/>
  <c r="C46" i="73"/>
  <c r="C47" i="73"/>
  <c r="C48" i="73"/>
  <c r="C49" i="73"/>
  <c r="C50" i="73"/>
  <c r="C51" i="73"/>
  <c r="C52" i="73"/>
  <c r="C53" i="73"/>
  <c r="C54" i="73"/>
  <c r="C55" i="73"/>
  <c r="C56" i="73"/>
  <c r="C57" i="73"/>
  <c r="C58" i="73"/>
  <c r="C59" i="73"/>
  <c r="C60" i="73"/>
  <c r="C61" i="73"/>
  <c r="C62" i="73"/>
  <c r="C63" i="73"/>
  <c r="C64" i="73"/>
  <c r="C65" i="73"/>
  <c r="C66" i="73"/>
  <c r="C67" i="73"/>
  <c r="C68" i="73"/>
  <c r="C69" i="73"/>
  <c r="C70" i="73"/>
  <c r="C71" i="73"/>
  <c r="C72" i="73"/>
  <c r="C73" i="73"/>
  <c r="C74" i="73"/>
  <c r="C76" i="73"/>
  <c r="C77" i="73"/>
  <c r="C78" i="73"/>
  <c r="C79" i="73"/>
  <c r="C80" i="73"/>
  <c r="C81" i="73"/>
  <c r="C82" i="73"/>
  <c r="C83" i="73"/>
  <c r="C84" i="73"/>
  <c r="C85" i="73"/>
  <c r="C86" i="73"/>
  <c r="C87" i="73"/>
  <c r="C88" i="73"/>
  <c r="C89" i="73"/>
  <c r="C90" i="73"/>
  <c r="C91" i="73"/>
  <c r="C92" i="73"/>
  <c r="C93" i="73"/>
  <c r="C94" i="73"/>
  <c r="C95" i="73"/>
  <c r="C96" i="73"/>
  <c r="C97" i="73"/>
  <c r="C98" i="73"/>
  <c r="C99" i="73"/>
  <c r="C100" i="73"/>
  <c r="C101" i="73"/>
  <c r="C102" i="73"/>
  <c r="C103" i="73"/>
  <c r="C104" i="73"/>
  <c r="C105" i="73"/>
  <c r="C106" i="73"/>
  <c r="C107" i="73"/>
  <c r="C108" i="73"/>
  <c r="C109" i="73"/>
  <c r="C110" i="73"/>
  <c r="C111" i="73"/>
  <c r="C112" i="73"/>
  <c r="C113" i="73"/>
  <c r="C114" i="73"/>
  <c r="C115" i="73"/>
  <c r="C116" i="73"/>
  <c r="C117" i="73"/>
  <c r="C118" i="73"/>
  <c r="C119" i="73"/>
  <c r="C120" i="73"/>
  <c r="C121" i="73"/>
  <c r="C122" i="73"/>
  <c r="C2" i="73"/>
  <c r="B21" i="71"/>
  <c r="J21" i="71"/>
  <c r="J20" i="71"/>
  <c r="J19" i="71"/>
  <c r="J18" i="71"/>
  <c r="J17" i="71"/>
  <c r="J4" i="71"/>
  <c r="J5" i="71"/>
  <c r="J6" i="71"/>
  <c r="J7" i="71"/>
  <c r="J8" i="71"/>
  <c r="J9" i="71"/>
  <c r="J10" i="71"/>
  <c r="J11" i="71"/>
  <c r="J12" i="71"/>
  <c r="J13" i="71"/>
  <c r="J14" i="71"/>
  <c r="J15" i="71"/>
  <c r="J16" i="71"/>
  <c r="J3" i="71"/>
  <c r="I4" i="71"/>
  <c r="I5" i="71"/>
  <c r="I6" i="71"/>
  <c r="I7" i="71"/>
  <c r="I8" i="71"/>
  <c r="I9" i="71"/>
  <c r="I10" i="71"/>
  <c r="I11" i="71"/>
  <c r="I12" i="71"/>
  <c r="I13" i="71"/>
  <c r="I14" i="71"/>
  <c r="I15" i="71"/>
  <c r="I16" i="71"/>
  <c r="I3" i="71"/>
  <c r="H4" i="71"/>
  <c r="H5" i="71"/>
  <c r="H6" i="71"/>
  <c r="H7" i="71"/>
  <c r="H8" i="71"/>
  <c r="H9" i="71"/>
  <c r="H10" i="71"/>
  <c r="H11" i="71"/>
  <c r="H12" i="71"/>
  <c r="H13" i="71"/>
  <c r="H14" i="71"/>
  <c r="H15" i="71"/>
  <c r="H16" i="71"/>
  <c r="H3" i="71"/>
  <c r="G4" i="71"/>
  <c r="G5" i="71"/>
  <c r="G6" i="71"/>
  <c r="G7" i="71"/>
  <c r="G8" i="71"/>
  <c r="G9" i="71"/>
  <c r="G10" i="71"/>
  <c r="G11" i="71"/>
  <c r="G12" i="71"/>
  <c r="G13" i="71"/>
  <c r="G14" i="71"/>
  <c r="G15" i="71"/>
  <c r="G16" i="71"/>
  <c r="G3" i="71"/>
  <c r="F4" i="71"/>
  <c r="F5" i="71"/>
  <c r="F6" i="71"/>
  <c r="F7" i="71"/>
  <c r="F8" i="71"/>
  <c r="F9" i="71"/>
  <c r="F10" i="71"/>
  <c r="F11" i="71"/>
  <c r="F12" i="71"/>
  <c r="F13" i="71"/>
  <c r="F14" i="71"/>
  <c r="F15" i="71"/>
  <c r="F16" i="71"/>
  <c r="F3" i="71"/>
  <c r="E4" i="71"/>
  <c r="E5" i="71"/>
  <c r="E6" i="71"/>
  <c r="E7" i="71"/>
  <c r="E8" i="71"/>
  <c r="E9" i="71"/>
  <c r="E10" i="71"/>
  <c r="E11" i="71"/>
  <c r="E12" i="71"/>
  <c r="E13" i="71"/>
  <c r="E14" i="71"/>
  <c r="E15" i="71"/>
  <c r="E16" i="71"/>
  <c r="E3" i="71"/>
  <c r="D4" i="71"/>
  <c r="D5" i="71"/>
  <c r="D6" i="71"/>
  <c r="D7" i="71"/>
  <c r="D8" i="71"/>
  <c r="D9" i="71"/>
  <c r="D10" i="71"/>
  <c r="D11" i="71"/>
  <c r="D12" i="71"/>
  <c r="D13" i="71"/>
  <c r="D14" i="71"/>
  <c r="D15" i="71"/>
  <c r="D16" i="71"/>
  <c r="D3" i="71"/>
  <c r="B17" i="70"/>
  <c r="I15" i="70"/>
  <c r="I14" i="70"/>
  <c r="I13" i="70"/>
  <c r="I12" i="70"/>
  <c r="I11" i="70"/>
  <c r="I3" i="70"/>
  <c r="I4" i="70"/>
  <c r="I5" i="70"/>
  <c r="I6" i="70"/>
  <c r="I7" i="70"/>
  <c r="I8" i="70"/>
  <c r="I9" i="70"/>
  <c r="I10" i="70"/>
  <c r="I2" i="70"/>
  <c r="H3" i="70"/>
  <c r="H4" i="70"/>
  <c r="H5" i="70"/>
  <c r="H6" i="70"/>
  <c r="H7" i="70"/>
  <c r="H8" i="70"/>
  <c r="H9" i="70"/>
  <c r="H10" i="70"/>
  <c r="H2" i="70"/>
  <c r="B14" i="70"/>
  <c r="G3" i="70"/>
  <c r="G4" i="70"/>
  <c r="G5" i="70"/>
  <c r="G6" i="70"/>
  <c r="G7" i="70"/>
  <c r="G8" i="70"/>
  <c r="G9" i="70"/>
  <c r="G10" i="70"/>
  <c r="G2" i="70"/>
  <c r="F3" i="70"/>
  <c r="F4" i="70"/>
  <c r="F5" i="70"/>
  <c r="F6" i="70"/>
  <c r="F7" i="70"/>
  <c r="F8" i="70"/>
  <c r="F9" i="70"/>
  <c r="F10" i="70"/>
  <c r="F2" i="70"/>
  <c r="E3" i="70"/>
  <c r="E4" i="70"/>
  <c r="E5" i="70"/>
  <c r="E6" i="70"/>
  <c r="E7" i="70"/>
  <c r="E8" i="70"/>
  <c r="E9" i="70"/>
  <c r="E10" i="70"/>
  <c r="E2" i="70"/>
  <c r="C3" i="70"/>
  <c r="C4" i="70"/>
  <c r="C5" i="70"/>
  <c r="C6" i="70"/>
  <c r="C7" i="70"/>
  <c r="C8" i="70"/>
  <c r="C9" i="70"/>
  <c r="C10" i="70"/>
  <c r="C2" i="70"/>
  <c r="D2" i="69"/>
  <c r="C3" i="69"/>
  <c r="D3" i="69" s="1"/>
  <c r="C4" i="69"/>
  <c r="C5" i="69"/>
  <c r="C6" i="69"/>
  <c r="C7" i="69"/>
  <c r="C8" i="69"/>
  <c r="C9" i="69"/>
  <c r="C10" i="69"/>
  <c r="C11" i="69"/>
  <c r="C12" i="69"/>
  <c r="C13" i="69"/>
  <c r="C14" i="69"/>
  <c r="C15" i="69"/>
  <c r="C16" i="69"/>
  <c r="C17" i="69"/>
  <c r="C18" i="69"/>
  <c r="C19" i="69"/>
  <c r="C20" i="69"/>
  <c r="C21" i="69"/>
  <c r="C22" i="69"/>
  <c r="C23" i="69"/>
  <c r="C24" i="69"/>
  <c r="C25" i="69"/>
  <c r="C26" i="69"/>
  <c r="C27" i="69"/>
  <c r="C28" i="69"/>
  <c r="C29" i="69"/>
  <c r="C30" i="69"/>
  <c r="C31" i="69"/>
  <c r="C32" i="69"/>
  <c r="C33" i="69"/>
  <c r="C34" i="69"/>
  <c r="C35" i="69"/>
  <c r="C36" i="69"/>
  <c r="C37" i="69"/>
  <c r="C38" i="69"/>
  <c r="C39" i="69"/>
  <c r="C40" i="69"/>
  <c r="C41" i="69"/>
  <c r="C42" i="69"/>
  <c r="C43" i="69"/>
  <c r="C44" i="69"/>
  <c r="C45" i="69"/>
  <c r="C46" i="69"/>
  <c r="C47" i="69"/>
  <c r="C48" i="69"/>
  <c r="C49" i="69"/>
  <c r="C50" i="69"/>
  <c r="C51" i="69"/>
  <c r="C52" i="69"/>
  <c r="C53" i="69"/>
  <c r="C54" i="69"/>
  <c r="C55" i="69"/>
  <c r="C56" i="69"/>
  <c r="C57" i="69"/>
  <c r="C58" i="69"/>
  <c r="C59" i="69"/>
  <c r="C60" i="69"/>
  <c r="C61" i="69"/>
  <c r="C62" i="69"/>
  <c r="C63" i="69"/>
  <c r="C64" i="69"/>
  <c r="C65" i="69"/>
  <c r="C66" i="69"/>
  <c r="C67" i="69"/>
  <c r="C68" i="69"/>
  <c r="C69" i="69"/>
  <c r="C70" i="69"/>
  <c r="C71" i="69"/>
  <c r="C72" i="69"/>
  <c r="C73" i="69"/>
  <c r="C74" i="69"/>
  <c r="C75" i="69"/>
  <c r="C76" i="69"/>
  <c r="C77" i="69"/>
  <c r="C78" i="69"/>
  <c r="C79" i="69"/>
  <c r="C80" i="69"/>
  <c r="C81" i="69"/>
  <c r="C82" i="69"/>
  <c r="C83" i="69"/>
  <c r="C84" i="69"/>
  <c r="C85" i="69"/>
  <c r="C86" i="69"/>
  <c r="C87" i="69"/>
  <c r="C88" i="69"/>
  <c r="C89" i="69"/>
  <c r="C90" i="69"/>
  <c r="C91" i="69"/>
  <c r="C92" i="69"/>
  <c r="C93" i="69"/>
  <c r="C94" i="69"/>
  <c r="C95" i="69"/>
  <c r="C96" i="69"/>
  <c r="C97" i="69"/>
  <c r="C98" i="69"/>
  <c r="C99" i="69"/>
  <c r="C100" i="69"/>
  <c r="C101" i="69"/>
  <c r="C102" i="69"/>
  <c r="C103" i="69"/>
  <c r="C104" i="69"/>
  <c r="C105" i="69"/>
  <c r="C106" i="69"/>
  <c r="C107" i="69"/>
  <c r="C108" i="69"/>
  <c r="C109" i="69"/>
  <c r="C110" i="69"/>
  <c r="C111" i="69"/>
  <c r="C112" i="69"/>
  <c r="C113" i="69"/>
  <c r="C114" i="69"/>
  <c r="C115" i="69"/>
  <c r="C116" i="69"/>
  <c r="C117" i="69"/>
  <c r="C118" i="69"/>
  <c r="C119" i="69"/>
  <c r="C120" i="69"/>
  <c r="C121" i="69"/>
  <c r="C2" i="69"/>
  <c r="B14" i="67"/>
  <c r="I12" i="67"/>
  <c r="I11" i="67"/>
  <c r="I10" i="67"/>
  <c r="I9" i="67"/>
  <c r="I8" i="67"/>
  <c r="I3" i="67"/>
  <c r="I4" i="67"/>
  <c r="I5" i="67"/>
  <c r="I6" i="67"/>
  <c r="I7" i="67"/>
  <c r="I2" i="67"/>
  <c r="H3" i="67"/>
  <c r="H4" i="67"/>
  <c r="H5" i="67"/>
  <c r="H6" i="67"/>
  <c r="H7" i="67"/>
  <c r="H2" i="67"/>
  <c r="G3" i="67"/>
  <c r="G4" i="67"/>
  <c r="G5" i="67"/>
  <c r="G6" i="67"/>
  <c r="G7" i="67"/>
  <c r="G2" i="67"/>
  <c r="F3" i="67"/>
  <c r="F4" i="67"/>
  <c r="F5" i="67"/>
  <c r="F6" i="67"/>
  <c r="F7" i="67"/>
  <c r="F2" i="67"/>
  <c r="B11" i="67"/>
  <c r="E3" i="67"/>
  <c r="E4" i="67"/>
  <c r="E5" i="67"/>
  <c r="E6" i="67"/>
  <c r="E7" i="67"/>
  <c r="E2" i="67"/>
  <c r="C3" i="67"/>
  <c r="C4" i="67"/>
  <c r="C5" i="67"/>
  <c r="C6" i="67"/>
  <c r="C7" i="67"/>
  <c r="C2" i="67"/>
  <c r="C3" i="68"/>
  <c r="D3" i="68" s="1"/>
  <c r="D4" i="68" s="1"/>
  <c r="D5" i="68" s="1"/>
  <c r="D6" i="68" s="1"/>
  <c r="D7" i="68" s="1"/>
  <c r="D8" i="68" s="1"/>
  <c r="D9" i="68" s="1"/>
  <c r="D10" i="68" s="1"/>
  <c r="D11" i="68" s="1"/>
  <c r="D12" i="68" s="1"/>
  <c r="D13" i="68" s="1"/>
  <c r="D14" i="68" s="1"/>
  <c r="D15" i="68" s="1"/>
  <c r="D16" i="68" s="1"/>
  <c r="D17" i="68" s="1"/>
  <c r="D18" i="68" s="1"/>
  <c r="D19" i="68" s="1"/>
  <c r="D20" i="68" s="1"/>
  <c r="D21" i="68" s="1"/>
  <c r="D22" i="68" s="1"/>
  <c r="D23" i="68" s="1"/>
  <c r="D24" i="68" s="1"/>
  <c r="D25" i="68" s="1"/>
  <c r="D26" i="68" s="1"/>
  <c r="D27" i="68" s="1"/>
  <c r="D28" i="68" s="1"/>
  <c r="D29" i="68" s="1"/>
  <c r="D30" i="68" s="1"/>
  <c r="D31" i="68" s="1"/>
  <c r="D32" i="68" s="1"/>
  <c r="D33" i="68" s="1"/>
  <c r="D34" i="68" s="1"/>
  <c r="D35" i="68" s="1"/>
  <c r="D36" i="68" s="1"/>
  <c r="D37" i="68" s="1"/>
  <c r="D38" i="68" s="1"/>
  <c r="D39" i="68" s="1"/>
  <c r="D40" i="68" s="1"/>
  <c r="D41" i="68" s="1"/>
  <c r="D42" i="68" s="1"/>
  <c r="D43" i="68" s="1"/>
  <c r="D44" i="68" s="1"/>
  <c r="D45" i="68" s="1"/>
  <c r="D46" i="68" s="1"/>
  <c r="D47" i="68" s="1"/>
  <c r="D48" i="68" s="1"/>
  <c r="D49" i="68" s="1"/>
  <c r="D50" i="68" s="1"/>
  <c r="D51" i="68" s="1"/>
  <c r="D52" i="68" s="1"/>
  <c r="D53" i="68" s="1"/>
  <c r="D54" i="68" s="1"/>
  <c r="D55" i="68" s="1"/>
  <c r="D56" i="68" s="1"/>
  <c r="D57" i="68" s="1"/>
  <c r="D58" i="68" s="1"/>
  <c r="D59" i="68" s="1"/>
  <c r="D60" i="68" s="1"/>
  <c r="D61" i="68" s="1"/>
  <c r="D62" i="68" s="1"/>
  <c r="D63" i="68" s="1"/>
  <c r="D64" i="68" s="1"/>
  <c r="D65" i="68" s="1"/>
  <c r="D66" i="68" s="1"/>
  <c r="D67" i="68" s="1"/>
  <c r="D68" i="68" s="1"/>
  <c r="D69" i="68" s="1"/>
  <c r="D70" i="68" s="1"/>
  <c r="D71" i="68" s="1"/>
  <c r="D72" i="68" s="1"/>
  <c r="D73" i="68" s="1"/>
  <c r="D74" i="68" s="1"/>
  <c r="D75" i="68" s="1"/>
  <c r="D76" i="68" s="1"/>
  <c r="D77" i="68" s="1"/>
  <c r="D78" i="68" s="1"/>
  <c r="D79" i="68" s="1"/>
  <c r="D80" i="68" s="1"/>
  <c r="D81" i="68" s="1"/>
  <c r="D82" i="68" s="1"/>
  <c r="D83" i="68" s="1"/>
  <c r="D84" i="68" s="1"/>
  <c r="D85" i="68" s="1"/>
  <c r="C4" i="68"/>
  <c r="C5" i="68"/>
  <c r="C6" i="68"/>
  <c r="C7" i="68"/>
  <c r="C8" i="68"/>
  <c r="C9" i="68"/>
  <c r="C10" i="68"/>
  <c r="C11" i="68"/>
  <c r="C12" i="68"/>
  <c r="C13" i="68"/>
  <c r="C14" i="68"/>
  <c r="C15" i="68"/>
  <c r="C16" i="68"/>
  <c r="C17" i="68"/>
  <c r="C18" i="68"/>
  <c r="C19" i="68"/>
  <c r="C20" i="68"/>
  <c r="C21" i="68"/>
  <c r="C22" i="68"/>
  <c r="C23" i="68"/>
  <c r="C24" i="68"/>
  <c r="C25" i="68"/>
  <c r="C26" i="68"/>
  <c r="C27" i="68"/>
  <c r="C28" i="68"/>
  <c r="C29" i="68"/>
  <c r="C30" i="68"/>
  <c r="C31" i="68"/>
  <c r="C32" i="68"/>
  <c r="C33" i="68"/>
  <c r="C34" i="68"/>
  <c r="C35" i="68"/>
  <c r="C36" i="68"/>
  <c r="C37" i="68"/>
  <c r="C38" i="68"/>
  <c r="C39" i="68"/>
  <c r="C40" i="68"/>
  <c r="C41" i="68"/>
  <c r="C42" i="68"/>
  <c r="C43" i="68"/>
  <c r="C44" i="68"/>
  <c r="C45" i="68"/>
  <c r="C46" i="68"/>
  <c r="C47" i="68"/>
  <c r="C48" i="68"/>
  <c r="C49" i="68"/>
  <c r="C50" i="68"/>
  <c r="C51" i="68"/>
  <c r="C52" i="68"/>
  <c r="C53" i="68"/>
  <c r="C54" i="68"/>
  <c r="C55" i="68"/>
  <c r="C56" i="68"/>
  <c r="C57" i="68"/>
  <c r="C58" i="68"/>
  <c r="C59" i="68"/>
  <c r="C60" i="68"/>
  <c r="C61" i="68"/>
  <c r="C62" i="68"/>
  <c r="C63" i="68"/>
  <c r="C64" i="68"/>
  <c r="C65" i="68"/>
  <c r="C66" i="68"/>
  <c r="C67" i="68"/>
  <c r="C68" i="68"/>
  <c r="C69" i="68"/>
  <c r="C70" i="68"/>
  <c r="C71" i="68"/>
  <c r="C72" i="68"/>
  <c r="C73" i="68"/>
  <c r="C74" i="68"/>
  <c r="C75" i="68"/>
  <c r="C76" i="68"/>
  <c r="C77" i="68"/>
  <c r="C78" i="68"/>
  <c r="C79" i="68"/>
  <c r="C80" i="68"/>
  <c r="C81" i="68"/>
  <c r="C82" i="68"/>
  <c r="C83" i="68"/>
  <c r="C84" i="68"/>
  <c r="C85" i="68"/>
  <c r="C2" i="68"/>
  <c r="B16" i="66"/>
  <c r="J16" i="66"/>
  <c r="J15" i="66"/>
  <c r="J14" i="66"/>
  <c r="J13" i="66"/>
  <c r="J12" i="66"/>
  <c r="J4" i="66"/>
  <c r="J5" i="66"/>
  <c r="J6" i="66"/>
  <c r="J7" i="66"/>
  <c r="J8" i="66"/>
  <c r="J9" i="66"/>
  <c r="J10" i="66"/>
  <c r="J11" i="66"/>
  <c r="J3" i="66"/>
  <c r="I4" i="66"/>
  <c r="I5" i="66"/>
  <c r="I6" i="66"/>
  <c r="I7" i="66"/>
  <c r="I8" i="66"/>
  <c r="I9" i="66"/>
  <c r="I10" i="66"/>
  <c r="I11" i="66"/>
  <c r="I3" i="66"/>
  <c r="H4" i="66"/>
  <c r="H5" i="66"/>
  <c r="H6" i="66"/>
  <c r="H7" i="66"/>
  <c r="H8" i="66"/>
  <c r="H9" i="66"/>
  <c r="H10" i="66"/>
  <c r="H11" i="66"/>
  <c r="H3" i="66"/>
  <c r="G4" i="66"/>
  <c r="G5" i="66"/>
  <c r="G6" i="66"/>
  <c r="G7" i="66"/>
  <c r="G8" i="66"/>
  <c r="G9" i="66"/>
  <c r="G10" i="66"/>
  <c r="G11" i="66"/>
  <c r="G3" i="66"/>
  <c r="F4" i="66"/>
  <c r="F5" i="66"/>
  <c r="F6" i="66"/>
  <c r="F7" i="66"/>
  <c r="F8" i="66"/>
  <c r="F9" i="66"/>
  <c r="F10" i="66"/>
  <c r="F11" i="66"/>
  <c r="F3" i="66"/>
  <c r="D4" i="66"/>
  <c r="D5" i="66"/>
  <c r="D6" i="66"/>
  <c r="D7" i="66"/>
  <c r="D8" i="66"/>
  <c r="D9" i="66"/>
  <c r="D10" i="66"/>
  <c r="D11" i="66"/>
  <c r="D3" i="66"/>
  <c r="B17" i="65"/>
  <c r="J17" i="65"/>
  <c r="J16" i="65"/>
  <c r="J15" i="65"/>
  <c r="J14" i="65"/>
  <c r="J13" i="65"/>
  <c r="J4" i="65"/>
  <c r="J5" i="65"/>
  <c r="J6" i="65"/>
  <c r="J7" i="65"/>
  <c r="J8" i="65"/>
  <c r="J9" i="65"/>
  <c r="J10" i="65"/>
  <c r="J11" i="65"/>
  <c r="J12" i="65"/>
  <c r="J3" i="65"/>
  <c r="I4" i="65"/>
  <c r="I5" i="65"/>
  <c r="I6" i="65"/>
  <c r="I7" i="65"/>
  <c r="I8" i="65"/>
  <c r="I9" i="65"/>
  <c r="I10" i="65"/>
  <c r="I11" i="65"/>
  <c r="I12" i="65"/>
  <c r="I3" i="65"/>
  <c r="H4" i="65"/>
  <c r="H5" i="65"/>
  <c r="H6" i="65"/>
  <c r="H7" i="65"/>
  <c r="H8" i="65"/>
  <c r="H9" i="65"/>
  <c r="H10" i="65"/>
  <c r="H11" i="65"/>
  <c r="H12" i="65"/>
  <c r="H3" i="65"/>
  <c r="G4" i="65"/>
  <c r="G5" i="65"/>
  <c r="G6" i="65"/>
  <c r="G7" i="65"/>
  <c r="G8" i="65"/>
  <c r="G9" i="65"/>
  <c r="G10" i="65"/>
  <c r="G11" i="65"/>
  <c r="G12" i="65"/>
  <c r="G3" i="65"/>
  <c r="F4" i="65"/>
  <c r="F5" i="65"/>
  <c r="F6" i="65"/>
  <c r="F7" i="65"/>
  <c r="F8" i="65"/>
  <c r="F9" i="65"/>
  <c r="F10" i="65"/>
  <c r="F11" i="65"/>
  <c r="F12" i="65"/>
  <c r="F3" i="65"/>
  <c r="D4" i="65"/>
  <c r="D5" i="65"/>
  <c r="D6" i="65"/>
  <c r="D7" i="65"/>
  <c r="D8" i="65"/>
  <c r="D9" i="65"/>
  <c r="D10" i="65"/>
  <c r="D11" i="65"/>
  <c r="D12" i="65"/>
  <c r="D3" i="65"/>
  <c r="B18" i="63"/>
  <c r="I16" i="63"/>
  <c r="I15" i="63"/>
  <c r="I14" i="63"/>
  <c r="I13" i="63"/>
  <c r="I12" i="63"/>
  <c r="I3" i="63"/>
  <c r="I4" i="63"/>
  <c r="I5" i="63"/>
  <c r="I6" i="63"/>
  <c r="I7" i="63"/>
  <c r="I8" i="63"/>
  <c r="I9" i="63"/>
  <c r="I10" i="63"/>
  <c r="I11" i="63"/>
  <c r="I2" i="63"/>
  <c r="H3" i="63"/>
  <c r="H4" i="63"/>
  <c r="H5" i="63"/>
  <c r="H6" i="63"/>
  <c r="H7" i="63"/>
  <c r="H8" i="63"/>
  <c r="H9" i="63"/>
  <c r="H10" i="63"/>
  <c r="H11" i="63"/>
  <c r="H2" i="63"/>
  <c r="B15" i="63"/>
  <c r="G3" i="63"/>
  <c r="G4" i="63"/>
  <c r="G5" i="63"/>
  <c r="G6" i="63"/>
  <c r="G7" i="63"/>
  <c r="G8" i="63"/>
  <c r="G9" i="63"/>
  <c r="G10" i="63"/>
  <c r="G11" i="63"/>
  <c r="G2" i="63"/>
  <c r="F3" i="63"/>
  <c r="F4" i="63"/>
  <c r="F5" i="63"/>
  <c r="F6" i="63"/>
  <c r="F7" i="63"/>
  <c r="F8" i="63"/>
  <c r="F9" i="63"/>
  <c r="F10" i="63"/>
  <c r="F11" i="63"/>
  <c r="F2" i="63"/>
  <c r="E3" i="63"/>
  <c r="E4" i="63"/>
  <c r="E5" i="63"/>
  <c r="E6" i="63"/>
  <c r="E7" i="63"/>
  <c r="E8" i="63"/>
  <c r="E9" i="63"/>
  <c r="E10" i="63"/>
  <c r="E11" i="63"/>
  <c r="E2" i="63"/>
  <c r="C3" i="63"/>
  <c r="C4" i="63"/>
  <c r="C5" i="63"/>
  <c r="C6" i="63"/>
  <c r="C7" i="63"/>
  <c r="C8" i="63"/>
  <c r="C9" i="63"/>
  <c r="C10" i="63"/>
  <c r="C11" i="63"/>
  <c r="C2" i="63"/>
  <c r="C3" i="64"/>
  <c r="D3" i="64" s="1"/>
  <c r="C4" i="64"/>
  <c r="C5" i="64"/>
  <c r="C6" i="64"/>
  <c r="C7" i="64"/>
  <c r="C8" i="64"/>
  <c r="C9" i="64"/>
  <c r="C10" i="64"/>
  <c r="C11" i="64"/>
  <c r="C12" i="64"/>
  <c r="C13" i="64"/>
  <c r="C14" i="64"/>
  <c r="C15" i="64"/>
  <c r="C16" i="64"/>
  <c r="C17" i="64"/>
  <c r="C18" i="64"/>
  <c r="C19" i="64"/>
  <c r="C20" i="64"/>
  <c r="C21" i="64"/>
  <c r="C22" i="64"/>
  <c r="C23" i="64"/>
  <c r="C24" i="64"/>
  <c r="C25" i="64"/>
  <c r="C26" i="64"/>
  <c r="C27" i="64"/>
  <c r="C28" i="64"/>
  <c r="C29" i="64"/>
  <c r="C30" i="64"/>
  <c r="C31" i="64"/>
  <c r="C32" i="64"/>
  <c r="C33" i="64"/>
  <c r="C34" i="64"/>
  <c r="C35" i="64"/>
  <c r="C36" i="64"/>
  <c r="C37" i="64"/>
  <c r="C38" i="64"/>
  <c r="C39" i="64"/>
  <c r="C40" i="64"/>
  <c r="C41" i="64"/>
  <c r="C42" i="64"/>
  <c r="C43" i="64"/>
  <c r="C44" i="64"/>
  <c r="C45" i="64"/>
  <c r="C46" i="64"/>
  <c r="C47" i="64"/>
  <c r="C48" i="64"/>
  <c r="C49" i="64"/>
  <c r="C50" i="64"/>
  <c r="C51" i="64"/>
  <c r="C52" i="64"/>
  <c r="C53" i="64"/>
  <c r="C54" i="64"/>
  <c r="C55" i="64"/>
  <c r="C56" i="64"/>
  <c r="C57" i="64"/>
  <c r="C58" i="64"/>
  <c r="C59" i="64"/>
  <c r="C60" i="64"/>
  <c r="C61" i="64"/>
  <c r="C62" i="64"/>
  <c r="C63" i="64"/>
  <c r="C64" i="64"/>
  <c r="C65" i="64"/>
  <c r="C66" i="64"/>
  <c r="C67" i="64"/>
  <c r="C68" i="64"/>
  <c r="C69" i="64"/>
  <c r="C70" i="64"/>
  <c r="C71" i="64"/>
  <c r="C72" i="64"/>
  <c r="C73" i="64"/>
  <c r="C74" i="64"/>
  <c r="C75" i="64"/>
  <c r="C76" i="64"/>
  <c r="C77" i="64"/>
  <c r="C78" i="64"/>
  <c r="C79" i="64"/>
  <c r="C80" i="64"/>
  <c r="C81" i="64"/>
  <c r="C82" i="64"/>
  <c r="C83" i="64"/>
  <c r="C84" i="64"/>
  <c r="C85" i="64"/>
  <c r="C86" i="64"/>
  <c r="C87" i="64"/>
  <c r="C88" i="64"/>
  <c r="C89" i="64"/>
  <c r="C90" i="64"/>
  <c r="C91" i="64"/>
  <c r="C92" i="64"/>
  <c r="C93" i="64"/>
  <c r="C94" i="64"/>
  <c r="C95" i="64"/>
  <c r="C96" i="64"/>
  <c r="C97" i="64"/>
  <c r="C98" i="64"/>
  <c r="C99" i="64"/>
  <c r="C100" i="64"/>
  <c r="C101" i="64"/>
  <c r="C102" i="64"/>
  <c r="C103" i="64"/>
  <c r="C104" i="64"/>
  <c r="C105" i="64"/>
  <c r="C106" i="64"/>
  <c r="C107" i="64"/>
  <c r="C108" i="64"/>
  <c r="C109" i="64"/>
  <c r="C110" i="64"/>
  <c r="C111" i="64"/>
  <c r="C112" i="64"/>
  <c r="C113" i="64"/>
  <c r="C114" i="64"/>
  <c r="C115" i="64"/>
  <c r="C116" i="64"/>
  <c r="C117" i="64"/>
  <c r="C118" i="64"/>
  <c r="C119" i="64"/>
  <c r="C120" i="64"/>
  <c r="C121" i="64"/>
  <c r="C2" i="64"/>
  <c r="B36" i="62"/>
  <c r="I34" i="62"/>
  <c r="I33" i="62"/>
  <c r="I32" i="62"/>
  <c r="I31" i="62"/>
  <c r="I30" i="62"/>
  <c r="I3" i="62"/>
  <c r="I4" i="62"/>
  <c r="I5" i="62"/>
  <c r="I6" i="62"/>
  <c r="I7" i="62"/>
  <c r="I8" i="62"/>
  <c r="I9" i="62"/>
  <c r="I10" i="62"/>
  <c r="I11" i="62"/>
  <c r="I12" i="62"/>
  <c r="I13" i="62"/>
  <c r="I14" i="62"/>
  <c r="I15" i="62"/>
  <c r="I16" i="62"/>
  <c r="I17" i="62"/>
  <c r="I18" i="62"/>
  <c r="I19" i="62"/>
  <c r="I20" i="62"/>
  <c r="I21" i="62"/>
  <c r="I22" i="62"/>
  <c r="I23" i="62"/>
  <c r="I24" i="62"/>
  <c r="I25" i="62"/>
  <c r="I26" i="62"/>
  <c r="I27" i="62"/>
  <c r="I28" i="62"/>
  <c r="I29" i="62"/>
  <c r="I2" i="62"/>
  <c r="H3" i="62"/>
  <c r="H4" i="62"/>
  <c r="H5" i="62"/>
  <c r="H6" i="62"/>
  <c r="H7" i="62"/>
  <c r="H8" i="62"/>
  <c r="H9" i="62"/>
  <c r="H10" i="62"/>
  <c r="H11" i="62"/>
  <c r="H12" i="62"/>
  <c r="H13" i="62"/>
  <c r="H14" i="62"/>
  <c r="H15" i="62"/>
  <c r="H16" i="62"/>
  <c r="H17" i="62"/>
  <c r="H18" i="62"/>
  <c r="H19" i="62"/>
  <c r="H20" i="62"/>
  <c r="H21" i="62"/>
  <c r="H22" i="62"/>
  <c r="H23" i="62"/>
  <c r="H24" i="62"/>
  <c r="H25" i="62"/>
  <c r="H26" i="62"/>
  <c r="H27" i="62"/>
  <c r="H28" i="62"/>
  <c r="H29" i="62"/>
  <c r="H2" i="62"/>
  <c r="G3" i="62"/>
  <c r="G4" i="62"/>
  <c r="G5" i="62"/>
  <c r="G6" i="62"/>
  <c r="G7" i="62"/>
  <c r="G8" i="62"/>
  <c r="G9" i="62"/>
  <c r="G10" i="62"/>
  <c r="G11" i="62"/>
  <c r="G12" i="62"/>
  <c r="G13" i="62"/>
  <c r="G14" i="62"/>
  <c r="G15" i="62"/>
  <c r="G16" i="62"/>
  <c r="G17" i="62"/>
  <c r="G18" i="62"/>
  <c r="G19" i="62"/>
  <c r="G20" i="62"/>
  <c r="G21" i="62"/>
  <c r="G22" i="62"/>
  <c r="G23" i="62"/>
  <c r="G24" i="62"/>
  <c r="G25" i="62"/>
  <c r="G26" i="62"/>
  <c r="G27" i="62"/>
  <c r="G28" i="62"/>
  <c r="G29" i="62"/>
  <c r="G2" i="62"/>
  <c r="F3" i="62"/>
  <c r="F4" i="62"/>
  <c r="F5" i="62"/>
  <c r="F6" i="62"/>
  <c r="F7" i="62"/>
  <c r="F8" i="62"/>
  <c r="F9" i="62"/>
  <c r="F10" i="62"/>
  <c r="F11" i="62"/>
  <c r="F12" i="62"/>
  <c r="F13" i="62"/>
  <c r="F14" i="62"/>
  <c r="F15" i="62"/>
  <c r="F16" i="62"/>
  <c r="F17" i="62"/>
  <c r="F18" i="62"/>
  <c r="F19" i="62"/>
  <c r="F20" i="62"/>
  <c r="F21" i="62"/>
  <c r="F22" i="62"/>
  <c r="F23" i="62"/>
  <c r="F24" i="62"/>
  <c r="F25" i="62"/>
  <c r="F26" i="62"/>
  <c r="F27" i="62"/>
  <c r="F28" i="62"/>
  <c r="F29" i="62"/>
  <c r="F2" i="62"/>
  <c r="B33" i="62"/>
  <c r="E3" i="62"/>
  <c r="E4" i="62"/>
  <c r="E5" i="62"/>
  <c r="E6" i="62"/>
  <c r="E7" i="62"/>
  <c r="E8" i="62"/>
  <c r="E9" i="62"/>
  <c r="E10" i="62"/>
  <c r="E11" i="62"/>
  <c r="E12" i="62"/>
  <c r="E13" i="62"/>
  <c r="E14" i="62"/>
  <c r="E15" i="62"/>
  <c r="E16" i="62"/>
  <c r="E17" i="62"/>
  <c r="E18" i="62"/>
  <c r="E19" i="62"/>
  <c r="E20" i="62"/>
  <c r="E21" i="62"/>
  <c r="E22" i="62"/>
  <c r="E23" i="62"/>
  <c r="E24" i="62"/>
  <c r="E25" i="62"/>
  <c r="E26" i="62"/>
  <c r="E27" i="62"/>
  <c r="E28" i="62"/>
  <c r="E29" i="62"/>
  <c r="E2" i="62"/>
  <c r="C3" i="62"/>
  <c r="C4" i="62"/>
  <c r="C5" i="62"/>
  <c r="C6" i="62"/>
  <c r="C7" i="62"/>
  <c r="C8" i="62"/>
  <c r="C9" i="62"/>
  <c r="C10" i="62"/>
  <c r="C11" i="62"/>
  <c r="C12" i="62"/>
  <c r="C13" i="62"/>
  <c r="C14" i="62"/>
  <c r="C15" i="62"/>
  <c r="C16" i="62"/>
  <c r="C17" i="62"/>
  <c r="C18" i="62"/>
  <c r="C19" i="62"/>
  <c r="C20" i="62"/>
  <c r="C21" i="62"/>
  <c r="C22" i="62"/>
  <c r="C23" i="62"/>
  <c r="C24" i="62"/>
  <c r="C25" i="62"/>
  <c r="C26" i="62"/>
  <c r="C27" i="62"/>
  <c r="C28" i="62"/>
  <c r="C29" i="62"/>
  <c r="C2" i="62"/>
  <c r="D3" i="61"/>
  <c r="D4" i="61" s="1"/>
  <c r="D5" i="61" s="1"/>
  <c r="C3" i="61"/>
  <c r="C4" i="61"/>
  <c r="C5" i="61"/>
  <c r="C6" i="61"/>
  <c r="C7" i="61"/>
  <c r="C8" i="61"/>
  <c r="C9" i="61"/>
  <c r="C10" i="61"/>
  <c r="C11" i="61"/>
  <c r="C12" i="61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C33" i="61"/>
  <c r="C34" i="61"/>
  <c r="C35" i="61"/>
  <c r="C36" i="61"/>
  <c r="C37" i="61"/>
  <c r="C38" i="61"/>
  <c r="C39" i="61"/>
  <c r="C40" i="61"/>
  <c r="C41" i="61"/>
  <c r="C42" i="61"/>
  <c r="C43" i="61"/>
  <c r="C44" i="61"/>
  <c r="C45" i="61"/>
  <c r="C46" i="61"/>
  <c r="C47" i="61"/>
  <c r="C48" i="61"/>
  <c r="C49" i="61"/>
  <c r="C50" i="61"/>
  <c r="C51" i="61"/>
  <c r="C52" i="61"/>
  <c r="C53" i="61"/>
  <c r="C54" i="61"/>
  <c r="C55" i="61"/>
  <c r="C56" i="61"/>
  <c r="C57" i="61"/>
  <c r="C58" i="61"/>
  <c r="C59" i="61"/>
  <c r="C60" i="61"/>
  <c r="C61" i="61"/>
  <c r="C62" i="61"/>
  <c r="C63" i="61"/>
  <c r="C64" i="61"/>
  <c r="C65" i="61"/>
  <c r="C66" i="61"/>
  <c r="C67" i="61"/>
  <c r="C68" i="61"/>
  <c r="C69" i="61"/>
  <c r="C70" i="61"/>
  <c r="C71" i="61"/>
  <c r="C72" i="61"/>
  <c r="C73" i="61"/>
  <c r="C74" i="61"/>
  <c r="C75" i="61"/>
  <c r="C76" i="61"/>
  <c r="C77" i="61"/>
  <c r="C78" i="61"/>
  <c r="C79" i="61"/>
  <c r="C80" i="61"/>
  <c r="C81" i="61"/>
  <c r="C82" i="61"/>
  <c r="C83" i="61"/>
  <c r="C84" i="61"/>
  <c r="C85" i="61"/>
  <c r="C86" i="61"/>
  <c r="C87" i="61"/>
  <c r="C88" i="61"/>
  <c r="C89" i="61"/>
  <c r="C90" i="61"/>
  <c r="C91" i="61"/>
  <c r="C92" i="61"/>
  <c r="C93" i="61"/>
  <c r="C94" i="61"/>
  <c r="C95" i="61"/>
  <c r="C96" i="61"/>
  <c r="C97" i="61"/>
  <c r="C98" i="61"/>
  <c r="C99" i="61"/>
  <c r="C100" i="61"/>
  <c r="C101" i="61"/>
  <c r="C102" i="61"/>
  <c r="C103" i="61"/>
  <c r="C104" i="61"/>
  <c r="C105" i="61"/>
  <c r="C106" i="61"/>
  <c r="C107" i="61"/>
  <c r="C108" i="61"/>
  <c r="C109" i="61"/>
  <c r="C110" i="61"/>
  <c r="C111" i="61"/>
  <c r="C112" i="61"/>
  <c r="C113" i="61"/>
  <c r="C114" i="61"/>
  <c r="C115" i="61"/>
  <c r="C116" i="61"/>
  <c r="C117" i="61"/>
  <c r="C118" i="61"/>
  <c r="C119" i="61"/>
  <c r="C120" i="61"/>
  <c r="C121" i="61"/>
  <c r="C122" i="61"/>
  <c r="C123" i="61"/>
  <c r="C124" i="61"/>
  <c r="C125" i="61"/>
  <c r="C126" i="61"/>
  <c r="C127" i="61"/>
  <c r="C128" i="61"/>
  <c r="C129" i="61"/>
  <c r="C130" i="61"/>
  <c r="C131" i="61"/>
  <c r="C132" i="61"/>
  <c r="C133" i="61"/>
  <c r="C134" i="61"/>
  <c r="C135" i="61"/>
  <c r="C136" i="61"/>
  <c r="C137" i="61"/>
  <c r="C138" i="61"/>
  <c r="C139" i="61"/>
  <c r="C140" i="61"/>
  <c r="C141" i="61"/>
  <c r="C142" i="61"/>
  <c r="C143" i="61"/>
  <c r="C144" i="61"/>
  <c r="C145" i="61"/>
  <c r="C146" i="61"/>
  <c r="C147" i="61"/>
  <c r="C148" i="61"/>
  <c r="C149" i="61"/>
  <c r="C150" i="61"/>
  <c r="C151" i="61"/>
  <c r="C152" i="61"/>
  <c r="C153" i="61"/>
  <c r="C154" i="61"/>
  <c r="C155" i="61"/>
  <c r="C156" i="61"/>
  <c r="C157" i="61"/>
  <c r="C158" i="61"/>
  <c r="C159" i="61"/>
  <c r="C160" i="61"/>
  <c r="C161" i="61"/>
  <c r="C162" i="61"/>
  <c r="C163" i="61"/>
  <c r="C164" i="61"/>
  <c r="C165" i="61"/>
  <c r="C166" i="61"/>
  <c r="C167" i="61"/>
  <c r="C2" i="61"/>
  <c r="B39" i="59"/>
  <c r="I37" i="59"/>
  <c r="I36" i="59"/>
  <c r="I35" i="59"/>
  <c r="I34" i="59"/>
  <c r="I33" i="59"/>
  <c r="I3" i="59"/>
  <c r="I4" i="59"/>
  <c r="I5" i="59"/>
  <c r="I6" i="59"/>
  <c r="I7" i="59"/>
  <c r="I8" i="59"/>
  <c r="I9" i="59"/>
  <c r="I10" i="59"/>
  <c r="I11" i="59"/>
  <c r="I12" i="59"/>
  <c r="I13" i="59"/>
  <c r="I14" i="59"/>
  <c r="I15" i="59"/>
  <c r="I16" i="59"/>
  <c r="I17" i="59"/>
  <c r="I18" i="59"/>
  <c r="I19" i="59"/>
  <c r="I20" i="59"/>
  <c r="I21" i="59"/>
  <c r="I22" i="59"/>
  <c r="I23" i="59"/>
  <c r="I24" i="59"/>
  <c r="I25" i="59"/>
  <c r="I26" i="59"/>
  <c r="I27" i="59"/>
  <c r="I28" i="59"/>
  <c r="I29" i="59"/>
  <c r="I30" i="59"/>
  <c r="I31" i="59"/>
  <c r="I32" i="59"/>
  <c r="I2" i="59"/>
  <c r="H3" i="59"/>
  <c r="H4" i="59"/>
  <c r="H5" i="59"/>
  <c r="H6" i="59"/>
  <c r="H7" i="59"/>
  <c r="H8" i="59"/>
  <c r="H9" i="59"/>
  <c r="H10" i="59"/>
  <c r="H11" i="59"/>
  <c r="H12" i="59"/>
  <c r="H13" i="59"/>
  <c r="H14" i="59"/>
  <c r="H15" i="59"/>
  <c r="H16" i="59"/>
  <c r="H17" i="59"/>
  <c r="H18" i="59"/>
  <c r="H19" i="59"/>
  <c r="H20" i="59"/>
  <c r="H21" i="59"/>
  <c r="H22" i="59"/>
  <c r="H23" i="59"/>
  <c r="H24" i="59"/>
  <c r="H25" i="59"/>
  <c r="H26" i="59"/>
  <c r="H27" i="59"/>
  <c r="H28" i="59"/>
  <c r="H29" i="59"/>
  <c r="H30" i="59"/>
  <c r="H31" i="59"/>
  <c r="H32" i="59"/>
  <c r="H2" i="59"/>
  <c r="G3" i="59"/>
  <c r="G4" i="59"/>
  <c r="G5" i="59"/>
  <c r="G6" i="59"/>
  <c r="G7" i="59"/>
  <c r="G8" i="59"/>
  <c r="G9" i="59"/>
  <c r="G10" i="59"/>
  <c r="G11" i="59"/>
  <c r="G12" i="59"/>
  <c r="G13" i="59"/>
  <c r="G14" i="59"/>
  <c r="G15" i="59"/>
  <c r="G16" i="59"/>
  <c r="G17" i="59"/>
  <c r="G18" i="59"/>
  <c r="G19" i="59"/>
  <c r="G20" i="59"/>
  <c r="G21" i="59"/>
  <c r="G22" i="59"/>
  <c r="G23" i="59"/>
  <c r="G24" i="59"/>
  <c r="G25" i="59"/>
  <c r="G26" i="59"/>
  <c r="G27" i="59"/>
  <c r="G28" i="59"/>
  <c r="G29" i="59"/>
  <c r="G30" i="59"/>
  <c r="G31" i="59"/>
  <c r="G32" i="59"/>
  <c r="G2" i="59"/>
  <c r="F3" i="59"/>
  <c r="F4" i="59"/>
  <c r="F5" i="59"/>
  <c r="F6" i="59"/>
  <c r="F7" i="59"/>
  <c r="F8" i="59"/>
  <c r="F9" i="59"/>
  <c r="F10" i="59"/>
  <c r="F11" i="59"/>
  <c r="F12" i="59"/>
  <c r="F13" i="59"/>
  <c r="F14" i="59"/>
  <c r="F15" i="59"/>
  <c r="F16" i="59"/>
  <c r="F17" i="59"/>
  <c r="F18" i="59"/>
  <c r="F19" i="59"/>
  <c r="F20" i="59"/>
  <c r="F21" i="59"/>
  <c r="F22" i="59"/>
  <c r="F23" i="59"/>
  <c r="F24" i="59"/>
  <c r="F25" i="59"/>
  <c r="F26" i="59"/>
  <c r="F27" i="59"/>
  <c r="F28" i="59"/>
  <c r="F29" i="59"/>
  <c r="F30" i="59"/>
  <c r="F31" i="59"/>
  <c r="F32" i="59"/>
  <c r="F2" i="59"/>
  <c r="B36" i="59"/>
  <c r="E3" i="59"/>
  <c r="E4" i="59"/>
  <c r="E5" i="59"/>
  <c r="E6" i="59"/>
  <c r="E7" i="59"/>
  <c r="E8" i="59"/>
  <c r="E9" i="59"/>
  <c r="E10" i="59"/>
  <c r="E11" i="59"/>
  <c r="E12" i="59"/>
  <c r="E13" i="59"/>
  <c r="E14" i="59"/>
  <c r="E15" i="59"/>
  <c r="E16" i="59"/>
  <c r="E17" i="59"/>
  <c r="E18" i="59"/>
  <c r="E19" i="59"/>
  <c r="E20" i="59"/>
  <c r="E21" i="59"/>
  <c r="E22" i="59"/>
  <c r="E23" i="59"/>
  <c r="E24" i="59"/>
  <c r="E25" i="59"/>
  <c r="E26" i="59"/>
  <c r="E27" i="59"/>
  <c r="E28" i="59"/>
  <c r="E29" i="59"/>
  <c r="E30" i="59"/>
  <c r="E31" i="59"/>
  <c r="E32" i="59"/>
  <c r="E2" i="59"/>
  <c r="C3" i="59"/>
  <c r="C4" i="59"/>
  <c r="C5" i="59"/>
  <c r="C6" i="59"/>
  <c r="C7" i="59"/>
  <c r="C8" i="59"/>
  <c r="C9" i="59"/>
  <c r="C10" i="59"/>
  <c r="C11" i="59"/>
  <c r="C12" i="59"/>
  <c r="C13" i="59"/>
  <c r="C14" i="59"/>
  <c r="C15" i="59"/>
  <c r="C16" i="59"/>
  <c r="C17" i="59"/>
  <c r="C18" i="59"/>
  <c r="C19" i="59"/>
  <c r="C20" i="59"/>
  <c r="C21" i="59"/>
  <c r="C22" i="59"/>
  <c r="C23" i="59"/>
  <c r="C24" i="59"/>
  <c r="C25" i="59"/>
  <c r="C26" i="59"/>
  <c r="C27" i="59"/>
  <c r="C28" i="59"/>
  <c r="C29" i="59"/>
  <c r="C30" i="59"/>
  <c r="C31" i="59"/>
  <c r="C32" i="59"/>
  <c r="C2" i="59"/>
  <c r="C5" i="60"/>
  <c r="C6" i="60"/>
  <c r="C7" i="60"/>
  <c r="C8" i="60"/>
  <c r="C9" i="60"/>
  <c r="C10" i="60"/>
  <c r="C11" i="60"/>
  <c r="C12" i="60"/>
  <c r="C13" i="60"/>
  <c r="C14" i="60"/>
  <c r="C15" i="60"/>
  <c r="C16" i="60"/>
  <c r="C17" i="60"/>
  <c r="C18" i="60"/>
  <c r="C19" i="60"/>
  <c r="C20" i="60"/>
  <c r="C21" i="60"/>
  <c r="C22" i="60"/>
  <c r="C23" i="60"/>
  <c r="C24" i="60"/>
  <c r="C25" i="60"/>
  <c r="C26" i="60"/>
  <c r="C27" i="60"/>
  <c r="C28" i="60"/>
  <c r="C29" i="60"/>
  <c r="C30" i="60"/>
  <c r="C31" i="60"/>
  <c r="C32" i="60"/>
  <c r="C33" i="60"/>
  <c r="C34" i="60"/>
  <c r="C35" i="60"/>
  <c r="C36" i="60"/>
  <c r="C37" i="60"/>
  <c r="C38" i="60"/>
  <c r="C39" i="60"/>
  <c r="C40" i="60"/>
  <c r="C41" i="60"/>
  <c r="C42" i="60"/>
  <c r="C43" i="60"/>
  <c r="C44" i="60"/>
  <c r="C45" i="60"/>
  <c r="C46" i="60"/>
  <c r="C47" i="60"/>
  <c r="C48" i="60"/>
  <c r="C49" i="60"/>
  <c r="C50" i="60"/>
  <c r="C51" i="60"/>
  <c r="C52" i="60"/>
  <c r="C53" i="60"/>
  <c r="C54" i="60"/>
  <c r="C55" i="60"/>
  <c r="C56" i="60"/>
  <c r="C57" i="60"/>
  <c r="C58" i="60"/>
  <c r="C59" i="60"/>
  <c r="C60" i="60"/>
  <c r="C61" i="60"/>
  <c r="C62" i="60"/>
  <c r="C63" i="60"/>
  <c r="C64" i="60"/>
  <c r="C65" i="60"/>
  <c r="C66" i="60"/>
  <c r="C67" i="60"/>
  <c r="C68" i="60"/>
  <c r="C69" i="60"/>
  <c r="C70" i="60"/>
  <c r="C71" i="60"/>
  <c r="C72" i="60"/>
  <c r="C73" i="60"/>
  <c r="C74" i="60"/>
  <c r="C75" i="60"/>
  <c r="C76" i="60"/>
  <c r="C77" i="60"/>
  <c r="C78" i="60"/>
  <c r="C79" i="60"/>
  <c r="C80" i="60"/>
  <c r="C81" i="60"/>
  <c r="C82" i="60"/>
  <c r="C83" i="60"/>
  <c r="C84" i="60"/>
  <c r="C85" i="60"/>
  <c r="C86" i="60"/>
  <c r="C87" i="60"/>
  <c r="C88" i="60"/>
  <c r="C89" i="60"/>
  <c r="C90" i="60"/>
  <c r="C91" i="60"/>
  <c r="C92" i="60"/>
  <c r="C93" i="60"/>
  <c r="C94" i="60"/>
  <c r="C95" i="60"/>
  <c r="C96" i="60"/>
  <c r="C97" i="60"/>
  <c r="C98" i="60"/>
  <c r="C99" i="60"/>
  <c r="C100" i="60"/>
  <c r="C101" i="60"/>
  <c r="C102" i="60"/>
  <c r="C103" i="60"/>
  <c r="C104" i="60"/>
  <c r="C105" i="60"/>
  <c r="C106" i="60"/>
  <c r="C107" i="60"/>
  <c r="C108" i="60"/>
  <c r="C109" i="60"/>
  <c r="C110" i="60"/>
  <c r="C111" i="60"/>
  <c r="C112" i="60"/>
  <c r="C113" i="60"/>
  <c r="C114" i="60"/>
  <c r="C115" i="60"/>
  <c r="C116" i="60"/>
  <c r="C117" i="60"/>
  <c r="C118" i="60"/>
  <c r="C119" i="60"/>
  <c r="C120" i="60"/>
  <c r="C121" i="60"/>
  <c r="C122" i="60"/>
  <c r="C123" i="60"/>
  <c r="C124" i="60"/>
  <c r="C125" i="60"/>
  <c r="C126" i="60"/>
  <c r="C127" i="60"/>
  <c r="C128" i="60"/>
  <c r="C129" i="60"/>
  <c r="C130" i="60"/>
  <c r="C131" i="60"/>
  <c r="C132" i="60"/>
  <c r="C133" i="60"/>
  <c r="C134" i="60"/>
  <c r="C135" i="60"/>
  <c r="C136" i="60"/>
  <c r="C137" i="60"/>
  <c r="C138" i="60"/>
  <c r="C139" i="60"/>
  <c r="C140" i="60"/>
  <c r="C141" i="60"/>
  <c r="C142" i="60"/>
  <c r="C143" i="60"/>
  <c r="C144" i="60"/>
  <c r="C145" i="60"/>
  <c r="C146" i="60"/>
  <c r="C147" i="60"/>
  <c r="C148" i="60"/>
  <c r="C149" i="60"/>
  <c r="C150" i="60"/>
  <c r="C151" i="60"/>
  <c r="C152" i="60"/>
  <c r="C153" i="60"/>
  <c r="C154" i="60"/>
  <c r="C155" i="60"/>
  <c r="C156" i="60"/>
  <c r="C157" i="60"/>
  <c r="C158" i="60"/>
  <c r="C159" i="60"/>
  <c r="C160" i="60"/>
  <c r="C161" i="60"/>
  <c r="C162" i="60"/>
  <c r="C163" i="60"/>
  <c r="C164" i="60"/>
  <c r="C165" i="60"/>
  <c r="C166" i="60"/>
  <c r="C167" i="60"/>
  <c r="C168" i="60"/>
  <c r="C169" i="60"/>
  <c r="C170" i="60"/>
  <c r="C171" i="60"/>
  <c r="C172" i="60"/>
  <c r="C173" i="60"/>
  <c r="C174" i="60"/>
  <c r="C175" i="60"/>
  <c r="C176" i="60"/>
  <c r="C177" i="60"/>
  <c r="C178" i="60"/>
  <c r="C179" i="60"/>
  <c r="C180" i="60"/>
  <c r="C181" i="60"/>
  <c r="C182" i="60"/>
  <c r="C183" i="60"/>
  <c r="C184" i="60"/>
  <c r="C185" i="60"/>
  <c r="C186" i="60"/>
  <c r="C187" i="60"/>
  <c r="C188" i="60"/>
  <c r="C189" i="60"/>
  <c r="C190" i="60"/>
  <c r="C191" i="60"/>
  <c r="C192" i="60"/>
  <c r="C193" i="60"/>
  <c r="C194" i="60"/>
  <c r="C195" i="60"/>
  <c r="B45" i="58"/>
  <c r="I43" i="58"/>
  <c r="I42" i="58"/>
  <c r="I41" i="58"/>
  <c r="I40" i="58"/>
  <c r="I39" i="58"/>
  <c r="I3" i="58"/>
  <c r="I4" i="58"/>
  <c r="I5" i="58"/>
  <c r="I6" i="58"/>
  <c r="I7" i="58"/>
  <c r="I8" i="58"/>
  <c r="I9" i="58"/>
  <c r="I10" i="58"/>
  <c r="I11" i="58"/>
  <c r="I12" i="58"/>
  <c r="I13" i="58"/>
  <c r="I14" i="58"/>
  <c r="I15" i="58"/>
  <c r="I16" i="58"/>
  <c r="I17" i="58"/>
  <c r="I18" i="58"/>
  <c r="I19" i="58"/>
  <c r="I20" i="58"/>
  <c r="I21" i="58"/>
  <c r="I22" i="58"/>
  <c r="I23" i="58"/>
  <c r="I24" i="58"/>
  <c r="I25" i="58"/>
  <c r="I26" i="58"/>
  <c r="I27" i="58"/>
  <c r="I28" i="58"/>
  <c r="I29" i="58"/>
  <c r="I30" i="58"/>
  <c r="I31" i="58"/>
  <c r="I32" i="58"/>
  <c r="I33" i="58"/>
  <c r="I34" i="58"/>
  <c r="I35" i="58"/>
  <c r="I36" i="58"/>
  <c r="I37" i="58"/>
  <c r="I38" i="58"/>
  <c r="I2" i="58"/>
  <c r="H3" i="58"/>
  <c r="H4" i="58"/>
  <c r="H5" i="58"/>
  <c r="H6" i="58"/>
  <c r="H7" i="58"/>
  <c r="H8" i="58"/>
  <c r="H9" i="58"/>
  <c r="H10" i="58"/>
  <c r="H11" i="58"/>
  <c r="H12" i="58"/>
  <c r="H13" i="58"/>
  <c r="H14" i="58"/>
  <c r="H15" i="58"/>
  <c r="H16" i="58"/>
  <c r="H17" i="58"/>
  <c r="H18" i="58"/>
  <c r="H19" i="58"/>
  <c r="H20" i="58"/>
  <c r="H21" i="58"/>
  <c r="H22" i="58"/>
  <c r="H23" i="58"/>
  <c r="H24" i="58"/>
  <c r="H25" i="58"/>
  <c r="H26" i="58"/>
  <c r="H27" i="58"/>
  <c r="H28" i="58"/>
  <c r="H29" i="58"/>
  <c r="H30" i="58"/>
  <c r="H31" i="58"/>
  <c r="H32" i="58"/>
  <c r="H33" i="58"/>
  <c r="H34" i="58"/>
  <c r="H35" i="58"/>
  <c r="H36" i="58"/>
  <c r="H37" i="58"/>
  <c r="H38" i="58"/>
  <c r="H2" i="58"/>
  <c r="G3" i="58"/>
  <c r="G4" i="58"/>
  <c r="G5" i="58"/>
  <c r="G6" i="58"/>
  <c r="G7" i="58"/>
  <c r="G8" i="58"/>
  <c r="G9" i="58"/>
  <c r="G10" i="58"/>
  <c r="G11" i="58"/>
  <c r="G12" i="58"/>
  <c r="G13" i="58"/>
  <c r="G14" i="58"/>
  <c r="G15" i="58"/>
  <c r="G16" i="58"/>
  <c r="G17" i="58"/>
  <c r="G18" i="58"/>
  <c r="G19" i="58"/>
  <c r="G20" i="58"/>
  <c r="G21" i="58"/>
  <c r="G22" i="58"/>
  <c r="G23" i="58"/>
  <c r="G24" i="58"/>
  <c r="G25" i="58"/>
  <c r="G26" i="58"/>
  <c r="G27" i="58"/>
  <c r="G28" i="58"/>
  <c r="G29" i="58"/>
  <c r="G30" i="58"/>
  <c r="G31" i="58"/>
  <c r="G32" i="58"/>
  <c r="G33" i="58"/>
  <c r="G34" i="58"/>
  <c r="G35" i="58"/>
  <c r="G36" i="58"/>
  <c r="G37" i="58"/>
  <c r="G38" i="58"/>
  <c r="G2" i="58"/>
  <c r="F3" i="58"/>
  <c r="F4" i="58"/>
  <c r="F5" i="58"/>
  <c r="F6" i="58"/>
  <c r="F7" i="58"/>
  <c r="F8" i="58"/>
  <c r="F9" i="58"/>
  <c r="F10" i="58"/>
  <c r="F11" i="58"/>
  <c r="F12" i="58"/>
  <c r="F13" i="58"/>
  <c r="F14" i="58"/>
  <c r="F15" i="58"/>
  <c r="F16" i="58"/>
  <c r="F17" i="58"/>
  <c r="F18" i="58"/>
  <c r="F19" i="58"/>
  <c r="F20" i="58"/>
  <c r="F21" i="58"/>
  <c r="F22" i="58"/>
  <c r="F23" i="58"/>
  <c r="F24" i="58"/>
  <c r="F25" i="58"/>
  <c r="F26" i="58"/>
  <c r="F27" i="58"/>
  <c r="F28" i="58"/>
  <c r="F29" i="58"/>
  <c r="F30" i="58"/>
  <c r="F31" i="58"/>
  <c r="F32" i="58"/>
  <c r="F33" i="58"/>
  <c r="F34" i="58"/>
  <c r="F35" i="58"/>
  <c r="F36" i="58"/>
  <c r="F37" i="58"/>
  <c r="F38" i="58"/>
  <c r="F2" i="58"/>
  <c r="B42" i="58"/>
  <c r="E3" i="58"/>
  <c r="E4" i="58"/>
  <c r="E5" i="58"/>
  <c r="E6" i="58"/>
  <c r="E7" i="58"/>
  <c r="E8" i="58"/>
  <c r="E9" i="58"/>
  <c r="E10" i="58"/>
  <c r="E11" i="58"/>
  <c r="E12" i="58"/>
  <c r="E13" i="58"/>
  <c r="E14" i="58"/>
  <c r="E15" i="58"/>
  <c r="E16" i="58"/>
  <c r="E17" i="58"/>
  <c r="E18" i="58"/>
  <c r="E19" i="58"/>
  <c r="E20" i="58"/>
  <c r="E21" i="58"/>
  <c r="E22" i="58"/>
  <c r="E23" i="58"/>
  <c r="E24" i="58"/>
  <c r="E25" i="58"/>
  <c r="E26" i="58"/>
  <c r="E27" i="58"/>
  <c r="E28" i="58"/>
  <c r="E29" i="58"/>
  <c r="E30" i="58"/>
  <c r="E31" i="58"/>
  <c r="E32" i="58"/>
  <c r="E33" i="58"/>
  <c r="E34" i="58"/>
  <c r="E35" i="58"/>
  <c r="E36" i="58"/>
  <c r="E37" i="58"/>
  <c r="E38" i="58"/>
  <c r="E2" i="58"/>
  <c r="C3" i="58"/>
  <c r="C4" i="58"/>
  <c r="C5" i="58"/>
  <c r="C6" i="58"/>
  <c r="C7" i="58"/>
  <c r="C8" i="58"/>
  <c r="C9" i="58"/>
  <c r="C10" i="58"/>
  <c r="C11" i="58"/>
  <c r="C12" i="58"/>
  <c r="C13" i="58"/>
  <c r="C14" i="58"/>
  <c r="C15" i="58"/>
  <c r="C16" i="58"/>
  <c r="C17" i="58"/>
  <c r="C18" i="58"/>
  <c r="C19" i="58"/>
  <c r="C20" i="58"/>
  <c r="C21" i="58"/>
  <c r="C22" i="58"/>
  <c r="C23" i="58"/>
  <c r="C24" i="58"/>
  <c r="C25" i="58"/>
  <c r="C26" i="58"/>
  <c r="C27" i="58"/>
  <c r="C28" i="58"/>
  <c r="C29" i="58"/>
  <c r="C30" i="58"/>
  <c r="C31" i="58"/>
  <c r="C32" i="58"/>
  <c r="C33" i="58"/>
  <c r="C34" i="58"/>
  <c r="C35" i="58"/>
  <c r="C36" i="58"/>
  <c r="C37" i="58"/>
  <c r="C38" i="58"/>
  <c r="C2" i="58"/>
  <c r="C3" i="57"/>
  <c r="D3" i="57" s="1"/>
  <c r="D4" i="57" s="1"/>
  <c r="D5" i="57" s="1"/>
  <c r="D6" i="57" s="1"/>
  <c r="D7" i="57" s="1"/>
  <c r="D8" i="57" s="1"/>
  <c r="C4" i="57"/>
  <c r="C5" i="57"/>
  <c r="C6" i="57"/>
  <c r="C7" i="57"/>
  <c r="C8" i="57"/>
  <c r="C9" i="57"/>
  <c r="C10" i="57"/>
  <c r="C11" i="57"/>
  <c r="C12" i="57"/>
  <c r="C13" i="57"/>
  <c r="C14" i="57"/>
  <c r="C15" i="57"/>
  <c r="C16" i="57"/>
  <c r="C17" i="57"/>
  <c r="C18" i="57"/>
  <c r="C19" i="57"/>
  <c r="C20" i="57"/>
  <c r="C21" i="57"/>
  <c r="C22" i="57"/>
  <c r="C23" i="57"/>
  <c r="C24" i="57"/>
  <c r="C25" i="57"/>
  <c r="C26" i="57"/>
  <c r="C27" i="57"/>
  <c r="C28" i="57"/>
  <c r="C29" i="57"/>
  <c r="C30" i="57"/>
  <c r="C31" i="57"/>
  <c r="C32" i="57"/>
  <c r="C33" i="57"/>
  <c r="C34" i="57"/>
  <c r="C35" i="57"/>
  <c r="C36" i="57"/>
  <c r="C37" i="57"/>
  <c r="C38" i="57"/>
  <c r="C39" i="57"/>
  <c r="C40" i="57"/>
  <c r="C41" i="57"/>
  <c r="C42" i="57"/>
  <c r="C43" i="57"/>
  <c r="C44" i="57"/>
  <c r="C45" i="57"/>
  <c r="C46" i="57"/>
  <c r="C47" i="57"/>
  <c r="C48" i="57"/>
  <c r="C49" i="57"/>
  <c r="C50" i="57"/>
  <c r="C51" i="57"/>
  <c r="C52" i="57"/>
  <c r="C53" i="57"/>
  <c r="C54" i="57"/>
  <c r="C55" i="57"/>
  <c r="C56" i="57"/>
  <c r="C57" i="57"/>
  <c r="C58" i="57"/>
  <c r="C59" i="57"/>
  <c r="C60" i="57"/>
  <c r="C61" i="57"/>
  <c r="C62" i="57"/>
  <c r="C63" i="57"/>
  <c r="C64" i="57"/>
  <c r="C65" i="57"/>
  <c r="C66" i="57"/>
  <c r="C67" i="57"/>
  <c r="C68" i="57"/>
  <c r="C69" i="57"/>
  <c r="C70" i="57"/>
  <c r="C71" i="57"/>
  <c r="C72" i="57"/>
  <c r="C73" i="57"/>
  <c r="C74" i="57"/>
  <c r="C75" i="57"/>
  <c r="C76" i="57"/>
  <c r="C77" i="57"/>
  <c r="C78" i="57"/>
  <c r="C79" i="57"/>
  <c r="C80" i="57"/>
  <c r="C81" i="57"/>
  <c r="C82" i="57"/>
  <c r="C83" i="57"/>
  <c r="C84" i="57"/>
  <c r="C85" i="57"/>
  <c r="C86" i="57"/>
  <c r="C87" i="57"/>
  <c r="C88" i="57"/>
  <c r="C89" i="57"/>
  <c r="C90" i="57"/>
  <c r="C91" i="57"/>
  <c r="C92" i="57"/>
  <c r="C93" i="57"/>
  <c r="C94" i="57"/>
  <c r="C95" i="57"/>
  <c r="C96" i="57"/>
  <c r="C97" i="57"/>
  <c r="C98" i="57"/>
  <c r="C99" i="57"/>
  <c r="C100" i="57"/>
  <c r="C101" i="57"/>
  <c r="C102" i="57"/>
  <c r="C103" i="57"/>
  <c r="C104" i="57"/>
  <c r="C105" i="57"/>
  <c r="C106" i="57"/>
  <c r="C107" i="57"/>
  <c r="C108" i="57"/>
  <c r="C109" i="57"/>
  <c r="C110" i="57"/>
  <c r="C111" i="57"/>
  <c r="C112" i="57"/>
  <c r="C113" i="57"/>
  <c r="C114" i="57"/>
  <c r="C115" i="57"/>
  <c r="C116" i="57"/>
  <c r="C117" i="57"/>
  <c r="C118" i="57"/>
  <c r="C119" i="57"/>
  <c r="C120" i="57"/>
  <c r="C121" i="57"/>
  <c r="C122" i="57"/>
  <c r="C123" i="57"/>
  <c r="C124" i="57"/>
  <c r="C125" i="57"/>
  <c r="C126" i="57"/>
  <c r="C127" i="57"/>
  <c r="C128" i="57"/>
  <c r="C129" i="57"/>
  <c r="C130" i="57"/>
  <c r="C131" i="57"/>
  <c r="C132" i="57"/>
  <c r="C133" i="57"/>
  <c r="C134" i="57"/>
  <c r="C135" i="57"/>
  <c r="C136" i="57"/>
  <c r="C137" i="57"/>
  <c r="C138" i="57"/>
  <c r="C139" i="57"/>
  <c r="C140" i="57"/>
  <c r="C141" i="57"/>
  <c r="C142" i="57"/>
  <c r="C143" i="57"/>
  <c r="C144" i="57"/>
  <c r="C145" i="57"/>
  <c r="C146" i="57"/>
  <c r="C147" i="57"/>
  <c r="C148" i="57"/>
  <c r="C149" i="57"/>
  <c r="C150" i="57"/>
  <c r="C151" i="57"/>
  <c r="C152" i="57"/>
  <c r="C153" i="57"/>
  <c r="C154" i="57"/>
  <c r="C155" i="57"/>
  <c r="C156" i="57"/>
  <c r="C157" i="57"/>
  <c r="C158" i="57"/>
  <c r="C159" i="57"/>
  <c r="C160" i="57"/>
  <c r="C161" i="57"/>
  <c r="C162" i="57"/>
  <c r="C163" i="57"/>
  <c r="C164" i="57"/>
  <c r="C165" i="57"/>
  <c r="C166" i="57"/>
  <c r="C167" i="57"/>
  <c r="C168" i="57"/>
  <c r="C169" i="57"/>
  <c r="C170" i="57"/>
  <c r="C171" i="57"/>
  <c r="C172" i="57"/>
  <c r="C173" i="57"/>
  <c r="C174" i="57"/>
  <c r="C175" i="57"/>
  <c r="C176" i="57"/>
  <c r="C177" i="57"/>
  <c r="C178" i="57"/>
  <c r="C179" i="57"/>
  <c r="C180" i="57"/>
  <c r="C181" i="57"/>
  <c r="C182" i="57"/>
  <c r="C183" i="57"/>
  <c r="C184" i="57"/>
  <c r="C185" i="57"/>
  <c r="C186" i="57"/>
  <c r="C187" i="57"/>
  <c r="C188" i="57"/>
  <c r="C189" i="57"/>
  <c r="C190" i="57"/>
  <c r="C191" i="57"/>
  <c r="C192" i="57"/>
  <c r="C193" i="57"/>
  <c r="C194" i="57"/>
  <c r="C195" i="57"/>
  <c r="C196" i="57"/>
  <c r="C197" i="57"/>
  <c r="C198" i="57"/>
  <c r="C199" i="57"/>
  <c r="C200" i="57"/>
  <c r="C201" i="57"/>
  <c r="C202" i="57"/>
  <c r="C203" i="57"/>
  <c r="C204" i="57"/>
  <c r="C205" i="57"/>
  <c r="C206" i="57"/>
  <c r="C207" i="57"/>
  <c r="C208" i="57"/>
  <c r="C209" i="57"/>
  <c r="C210" i="57"/>
  <c r="C211" i="57"/>
  <c r="C212" i="57"/>
  <c r="C213" i="57"/>
  <c r="C214" i="57"/>
  <c r="C215" i="57"/>
  <c r="C216" i="57"/>
  <c r="C217" i="57"/>
  <c r="C218" i="57"/>
  <c r="C219" i="57"/>
  <c r="C220" i="57"/>
  <c r="C221" i="57"/>
  <c r="C222" i="57"/>
  <c r="C223" i="57"/>
  <c r="C224" i="57"/>
  <c r="C225" i="57"/>
  <c r="C226" i="57"/>
  <c r="C227" i="57"/>
  <c r="C228" i="57"/>
  <c r="C229" i="57"/>
  <c r="C230" i="57"/>
  <c r="C231" i="57"/>
  <c r="C232" i="57"/>
  <c r="C233" i="57"/>
  <c r="C234" i="57"/>
  <c r="C235" i="57"/>
  <c r="C236" i="57"/>
  <c r="C237" i="57"/>
  <c r="C238" i="57"/>
  <c r="C239" i="57"/>
  <c r="C240" i="57"/>
  <c r="C241" i="57"/>
  <c r="C2" i="57"/>
  <c r="B58" i="56"/>
  <c r="I56" i="56"/>
  <c r="I55" i="56"/>
  <c r="I54" i="56"/>
  <c r="I53" i="56"/>
  <c r="I52" i="56"/>
  <c r="I3" i="56"/>
  <c r="I4" i="56"/>
  <c r="I5" i="56"/>
  <c r="I6" i="56"/>
  <c r="I7" i="56"/>
  <c r="I8" i="56"/>
  <c r="I9" i="56"/>
  <c r="I10" i="56"/>
  <c r="I11" i="56"/>
  <c r="I12" i="56"/>
  <c r="I13" i="56"/>
  <c r="I14" i="56"/>
  <c r="I15" i="56"/>
  <c r="I16" i="56"/>
  <c r="I17" i="56"/>
  <c r="I18" i="56"/>
  <c r="I19" i="56"/>
  <c r="I20" i="56"/>
  <c r="I21" i="56"/>
  <c r="I22" i="56"/>
  <c r="I23" i="56"/>
  <c r="I24" i="56"/>
  <c r="I25" i="56"/>
  <c r="I26" i="56"/>
  <c r="I27" i="56"/>
  <c r="I28" i="56"/>
  <c r="I29" i="56"/>
  <c r="I30" i="56"/>
  <c r="I31" i="56"/>
  <c r="I32" i="56"/>
  <c r="I33" i="56"/>
  <c r="I34" i="56"/>
  <c r="I35" i="56"/>
  <c r="I36" i="56"/>
  <c r="I37" i="56"/>
  <c r="I38" i="56"/>
  <c r="I39" i="56"/>
  <c r="I40" i="56"/>
  <c r="I41" i="56"/>
  <c r="I42" i="56"/>
  <c r="I43" i="56"/>
  <c r="I44" i="56"/>
  <c r="I45" i="56"/>
  <c r="I46" i="56"/>
  <c r="I47" i="56"/>
  <c r="I48" i="56"/>
  <c r="I49" i="56"/>
  <c r="I50" i="56"/>
  <c r="I51" i="56"/>
  <c r="I2" i="56"/>
  <c r="H3" i="56"/>
  <c r="H4" i="56"/>
  <c r="H5" i="56"/>
  <c r="H6" i="56"/>
  <c r="H7" i="56"/>
  <c r="H8" i="56"/>
  <c r="H9" i="56"/>
  <c r="H10" i="56"/>
  <c r="H11" i="56"/>
  <c r="H12" i="56"/>
  <c r="H13" i="56"/>
  <c r="H14" i="56"/>
  <c r="H15" i="56"/>
  <c r="H16" i="56"/>
  <c r="H17" i="56"/>
  <c r="H18" i="56"/>
  <c r="H19" i="56"/>
  <c r="H20" i="56"/>
  <c r="H21" i="56"/>
  <c r="H22" i="56"/>
  <c r="H23" i="56"/>
  <c r="H24" i="56"/>
  <c r="H25" i="56"/>
  <c r="H26" i="56"/>
  <c r="H27" i="56"/>
  <c r="H28" i="56"/>
  <c r="H29" i="56"/>
  <c r="H30" i="56"/>
  <c r="H31" i="56"/>
  <c r="H32" i="56"/>
  <c r="H33" i="56"/>
  <c r="H34" i="56"/>
  <c r="H35" i="56"/>
  <c r="H36" i="56"/>
  <c r="H37" i="56"/>
  <c r="H38" i="56"/>
  <c r="H39" i="56"/>
  <c r="H40" i="56"/>
  <c r="H41" i="56"/>
  <c r="H42" i="56"/>
  <c r="H43" i="56"/>
  <c r="H44" i="56"/>
  <c r="H45" i="56"/>
  <c r="H46" i="56"/>
  <c r="H47" i="56"/>
  <c r="H48" i="56"/>
  <c r="H49" i="56"/>
  <c r="H50" i="56"/>
  <c r="H51" i="56"/>
  <c r="H2" i="56"/>
  <c r="B55" i="56"/>
  <c r="G3" i="56"/>
  <c r="G4" i="56"/>
  <c r="G5" i="56"/>
  <c r="G6" i="56"/>
  <c r="G7" i="56"/>
  <c r="G8" i="56"/>
  <c r="G9" i="56"/>
  <c r="G10" i="56"/>
  <c r="G11" i="56"/>
  <c r="G12" i="56"/>
  <c r="G13" i="56"/>
  <c r="G14" i="56"/>
  <c r="G15" i="56"/>
  <c r="G16" i="56"/>
  <c r="G17" i="56"/>
  <c r="G18" i="56"/>
  <c r="G19" i="56"/>
  <c r="G20" i="56"/>
  <c r="G21" i="56"/>
  <c r="G22" i="56"/>
  <c r="G23" i="56"/>
  <c r="G24" i="56"/>
  <c r="G25" i="56"/>
  <c r="G26" i="56"/>
  <c r="G27" i="56"/>
  <c r="G28" i="56"/>
  <c r="G29" i="56"/>
  <c r="G30" i="56"/>
  <c r="G31" i="56"/>
  <c r="G32" i="56"/>
  <c r="G33" i="56"/>
  <c r="G34" i="56"/>
  <c r="G35" i="56"/>
  <c r="G36" i="56"/>
  <c r="G37" i="56"/>
  <c r="G38" i="56"/>
  <c r="G39" i="56"/>
  <c r="G40" i="56"/>
  <c r="G41" i="56"/>
  <c r="G42" i="56"/>
  <c r="G43" i="56"/>
  <c r="G44" i="56"/>
  <c r="G45" i="56"/>
  <c r="G46" i="56"/>
  <c r="G47" i="56"/>
  <c r="G48" i="56"/>
  <c r="G49" i="56"/>
  <c r="G50" i="56"/>
  <c r="G51" i="56"/>
  <c r="G2" i="56"/>
  <c r="F3" i="56"/>
  <c r="F4" i="56"/>
  <c r="F5" i="56"/>
  <c r="F6" i="56"/>
  <c r="F7" i="56"/>
  <c r="F8" i="56"/>
  <c r="F9" i="56"/>
  <c r="F10" i="56"/>
  <c r="F11" i="56"/>
  <c r="F12" i="56"/>
  <c r="F13" i="56"/>
  <c r="F14" i="56"/>
  <c r="F15" i="56"/>
  <c r="F16" i="56"/>
  <c r="F17" i="56"/>
  <c r="F18" i="56"/>
  <c r="F19" i="56"/>
  <c r="F20" i="56"/>
  <c r="F21" i="56"/>
  <c r="F22" i="56"/>
  <c r="F23" i="56"/>
  <c r="F24" i="56"/>
  <c r="F25" i="56"/>
  <c r="F26" i="56"/>
  <c r="F27" i="56"/>
  <c r="F28" i="56"/>
  <c r="F29" i="56"/>
  <c r="F30" i="56"/>
  <c r="F31" i="56"/>
  <c r="F32" i="56"/>
  <c r="F33" i="56"/>
  <c r="F34" i="56"/>
  <c r="F35" i="56"/>
  <c r="F36" i="56"/>
  <c r="F37" i="56"/>
  <c r="F38" i="56"/>
  <c r="F39" i="56"/>
  <c r="F40" i="56"/>
  <c r="F41" i="56"/>
  <c r="F42" i="56"/>
  <c r="F43" i="56"/>
  <c r="F44" i="56"/>
  <c r="F45" i="56"/>
  <c r="F46" i="56"/>
  <c r="F47" i="56"/>
  <c r="F48" i="56"/>
  <c r="F49" i="56"/>
  <c r="F50" i="56"/>
  <c r="F51" i="56"/>
  <c r="F2" i="56"/>
  <c r="E3" i="56"/>
  <c r="E4" i="56"/>
  <c r="E5" i="56"/>
  <c r="E6" i="56"/>
  <c r="E7" i="56"/>
  <c r="E8" i="56"/>
  <c r="E9" i="56"/>
  <c r="E10" i="56"/>
  <c r="E11" i="56"/>
  <c r="E12" i="56"/>
  <c r="E13" i="56"/>
  <c r="E14" i="56"/>
  <c r="E15" i="56"/>
  <c r="E16" i="56"/>
  <c r="E17" i="56"/>
  <c r="E18" i="56"/>
  <c r="E19" i="56"/>
  <c r="E20" i="56"/>
  <c r="E21" i="56"/>
  <c r="E22" i="56"/>
  <c r="E23" i="56"/>
  <c r="E24" i="56"/>
  <c r="E25" i="56"/>
  <c r="E26" i="56"/>
  <c r="E27" i="56"/>
  <c r="E28" i="56"/>
  <c r="E29" i="56"/>
  <c r="E30" i="56"/>
  <c r="E31" i="56"/>
  <c r="E32" i="56"/>
  <c r="E33" i="56"/>
  <c r="E34" i="56"/>
  <c r="E35" i="56"/>
  <c r="E36" i="56"/>
  <c r="E37" i="56"/>
  <c r="E38" i="56"/>
  <c r="E39" i="56"/>
  <c r="E40" i="56"/>
  <c r="E41" i="56"/>
  <c r="E42" i="56"/>
  <c r="E43" i="56"/>
  <c r="E44" i="56"/>
  <c r="E45" i="56"/>
  <c r="E46" i="56"/>
  <c r="E47" i="56"/>
  <c r="E48" i="56"/>
  <c r="E49" i="56"/>
  <c r="E50" i="56"/>
  <c r="E51" i="56"/>
  <c r="E2" i="56"/>
  <c r="C3" i="56"/>
  <c r="C4" i="56"/>
  <c r="C5" i="56"/>
  <c r="C6" i="56"/>
  <c r="C7" i="56"/>
  <c r="C8" i="56"/>
  <c r="C9" i="56"/>
  <c r="C10" i="56"/>
  <c r="C11" i="56"/>
  <c r="C12" i="56"/>
  <c r="C13" i="56"/>
  <c r="C14" i="56"/>
  <c r="C15" i="56"/>
  <c r="C16" i="56"/>
  <c r="C17" i="56"/>
  <c r="C18" i="56"/>
  <c r="C19" i="56"/>
  <c r="C20" i="56"/>
  <c r="C21" i="56"/>
  <c r="C22" i="56"/>
  <c r="C23" i="56"/>
  <c r="C24" i="56"/>
  <c r="C25" i="56"/>
  <c r="C26" i="56"/>
  <c r="C27" i="56"/>
  <c r="C28" i="56"/>
  <c r="C29" i="56"/>
  <c r="C30" i="56"/>
  <c r="C31" i="56"/>
  <c r="C32" i="56"/>
  <c r="C33" i="56"/>
  <c r="C34" i="56"/>
  <c r="C35" i="56"/>
  <c r="C36" i="56"/>
  <c r="C37" i="56"/>
  <c r="C38" i="56"/>
  <c r="C39" i="56"/>
  <c r="C40" i="56"/>
  <c r="C41" i="56"/>
  <c r="C42" i="56"/>
  <c r="C43" i="56"/>
  <c r="C44" i="56"/>
  <c r="C45" i="56"/>
  <c r="C46" i="56"/>
  <c r="C47" i="56"/>
  <c r="C48" i="56"/>
  <c r="C49" i="56"/>
  <c r="C50" i="56"/>
  <c r="C51" i="56"/>
  <c r="C2" i="56"/>
  <c r="C3" i="55"/>
  <c r="D3" i="55" s="1"/>
  <c r="C4" i="55"/>
  <c r="C5" i="55"/>
  <c r="C6" i="55"/>
  <c r="C7" i="55"/>
  <c r="C8" i="55"/>
  <c r="C9" i="55"/>
  <c r="C10" i="55"/>
  <c r="C11" i="55"/>
  <c r="C12" i="55"/>
  <c r="C13" i="55"/>
  <c r="C14" i="55"/>
  <c r="C15" i="55"/>
  <c r="C16" i="55"/>
  <c r="C17" i="55"/>
  <c r="C18" i="55"/>
  <c r="C19" i="55"/>
  <c r="C20" i="55"/>
  <c r="C21" i="55"/>
  <c r="C22" i="55"/>
  <c r="C23" i="55"/>
  <c r="C24" i="55"/>
  <c r="C25" i="55"/>
  <c r="C26" i="55"/>
  <c r="C27" i="55"/>
  <c r="C28" i="55"/>
  <c r="C29" i="55"/>
  <c r="C30" i="55"/>
  <c r="C31" i="55"/>
  <c r="C32" i="55"/>
  <c r="C33" i="55"/>
  <c r="C34" i="55"/>
  <c r="C35" i="55"/>
  <c r="C36" i="55"/>
  <c r="C37" i="55"/>
  <c r="C38" i="55"/>
  <c r="C39" i="55"/>
  <c r="C40" i="55"/>
  <c r="C41" i="55"/>
  <c r="C42" i="55"/>
  <c r="C43" i="55"/>
  <c r="C44" i="55"/>
  <c r="C45" i="55"/>
  <c r="C46" i="55"/>
  <c r="C47" i="55"/>
  <c r="C48" i="55"/>
  <c r="C49" i="55"/>
  <c r="C50" i="55"/>
  <c r="C51" i="55"/>
  <c r="C52" i="55"/>
  <c r="C53" i="55"/>
  <c r="C54" i="55"/>
  <c r="C55" i="55"/>
  <c r="C56" i="55"/>
  <c r="C57" i="55"/>
  <c r="C58" i="55"/>
  <c r="C59" i="55"/>
  <c r="C60" i="55"/>
  <c r="C61" i="55"/>
  <c r="C62" i="55"/>
  <c r="C63" i="55"/>
  <c r="C64" i="55"/>
  <c r="C65" i="55"/>
  <c r="C66" i="55"/>
  <c r="C67" i="55"/>
  <c r="C68" i="55"/>
  <c r="C69" i="55"/>
  <c r="C70" i="55"/>
  <c r="C71" i="55"/>
  <c r="C72" i="55"/>
  <c r="C73" i="55"/>
  <c r="C74" i="55"/>
  <c r="C75" i="55"/>
  <c r="C76" i="55"/>
  <c r="C77" i="55"/>
  <c r="C78" i="55"/>
  <c r="C79" i="55"/>
  <c r="C80" i="55"/>
  <c r="C81" i="55"/>
  <c r="C82" i="55"/>
  <c r="C83" i="55"/>
  <c r="C84" i="55"/>
  <c r="C85" i="55"/>
  <c r="C86" i="55"/>
  <c r="C87" i="55"/>
  <c r="C88" i="55"/>
  <c r="C89" i="55"/>
  <c r="C90" i="55"/>
  <c r="C91" i="55"/>
  <c r="C92" i="55"/>
  <c r="C93" i="55"/>
  <c r="C94" i="55"/>
  <c r="C95" i="55"/>
  <c r="C96" i="55"/>
  <c r="C97" i="55"/>
  <c r="C98" i="55"/>
  <c r="C99" i="55"/>
  <c r="C100" i="55"/>
  <c r="C101" i="55"/>
  <c r="C102" i="55"/>
  <c r="C103" i="55"/>
  <c r="C104" i="55"/>
  <c r="C105" i="55"/>
  <c r="C106" i="55"/>
  <c r="C107" i="55"/>
  <c r="C108" i="55"/>
  <c r="C109" i="55"/>
  <c r="C110" i="55"/>
  <c r="C111" i="55"/>
  <c r="C112" i="55"/>
  <c r="C113" i="55"/>
  <c r="C114" i="55"/>
  <c r="C115" i="55"/>
  <c r="C116" i="55"/>
  <c r="C117" i="55"/>
  <c r="C118" i="55"/>
  <c r="C119" i="55"/>
  <c r="C120" i="55"/>
  <c r="C121" i="55"/>
  <c r="C122" i="55"/>
  <c r="C123" i="55"/>
  <c r="C124" i="55"/>
  <c r="C125" i="55"/>
  <c r="C126" i="55"/>
  <c r="C127" i="55"/>
  <c r="C128" i="55"/>
  <c r="C129" i="55"/>
  <c r="C130" i="55"/>
  <c r="C131" i="55"/>
  <c r="C132" i="55"/>
  <c r="C133" i="55"/>
  <c r="C134" i="55"/>
  <c r="C135" i="55"/>
  <c r="C136" i="55"/>
  <c r="C137" i="55"/>
  <c r="C138" i="55"/>
  <c r="C139" i="55"/>
  <c r="C140" i="55"/>
  <c r="C141" i="55"/>
  <c r="C142" i="55"/>
  <c r="C143" i="55"/>
  <c r="C144" i="55"/>
  <c r="C145" i="55"/>
  <c r="C146" i="55"/>
  <c r="C147" i="55"/>
  <c r="C148" i="55"/>
  <c r="C149" i="55"/>
  <c r="C150" i="55"/>
  <c r="C151" i="55"/>
  <c r="C152" i="55"/>
  <c r="C153" i="55"/>
  <c r="C154" i="55"/>
  <c r="C155" i="55"/>
  <c r="C156" i="55"/>
  <c r="C157" i="55"/>
  <c r="C158" i="55"/>
  <c r="C159" i="55"/>
  <c r="C160" i="55"/>
  <c r="C161" i="55"/>
  <c r="C162" i="55"/>
  <c r="C163" i="55"/>
  <c r="C164" i="55"/>
  <c r="C165" i="55"/>
  <c r="C166" i="55"/>
  <c r="C167" i="55"/>
  <c r="C168" i="55"/>
  <c r="C169" i="55"/>
  <c r="C170" i="55"/>
  <c r="C171" i="55"/>
  <c r="C172" i="55"/>
  <c r="C173" i="55"/>
  <c r="C174" i="55"/>
  <c r="C175" i="55"/>
  <c r="C176" i="55"/>
  <c r="C177" i="55"/>
  <c r="C178" i="55"/>
  <c r="C179" i="55"/>
  <c r="C180" i="55"/>
  <c r="C181" i="55"/>
  <c r="C182" i="55"/>
  <c r="C183" i="55"/>
  <c r="C184" i="55"/>
  <c r="C185" i="55"/>
  <c r="C186" i="55"/>
  <c r="C187" i="55"/>
  <c r="C188" i="55"/>
  <c r="C189" i="55"/>
  <c r="C190" i="55"/>
  <c r="C191" i="55"/>
  <c r="C192" i="55"/>
  <c r="C193" i="55"/>
  <c r="C194" i="55"/>
  <c r="C195" i="55"/>
  <c r="C196" i="55"/>
  <c r="C197" i="55"/>
  <c r="C198" i="55"/>
  <c r="C199" i="55"/>
  <c r="C200" i="55"/>
  <c r="C201" i="55"/>
  <c r="C202" i="55"/>
  <c r="C203" i="55"/>
  <c r="C204" i="55"/>
  <c r="C205" i="55"/>
  <c r="C206" i="55"/>
  <c r="C207" i="55"/>
  <c r="C208" i="55"/>
  <c r="C209" i="55"/>
  <c r="C210" i="55"/>
  <c r="C211" i="55"/>
  <c r="C212" i="55"/>
  <c r="C213" i="55"/>
  <c r="C214" i="55"/>
  <c r="C215" i="55"/>
  <c r="C216" i="55"/>
  <c r="C217" i="55"/>
  <c r="C218" i="55"/>
  <c r="C219" i="55"/>
  <c r="C220" i="55"/>
  <c r="C221" i="55"/>
  <c r="C222" i="55"/>
  <c r="C223" i="55"/>
  <c r="C224" i="55"/>
  <c r="C225" i="55"/>
  <c r="C226" i="55"/>
  <c r="C227" i="55"/>
  <c r="C228" i="55"/>
  <c r="C229" i="55"/>
  <c r="C230" i="55"/>
  <c r="C231" i="55"/>
  <c r="C232" i="55"/>
  <c r="C233" i="55"/>
  <c r="C234" i="55"/>
  <c r="C235" i="55"/>
  <c r="C236" i="55"/>
  <c r="C237" i="55"/>
  <c r="C238" i="55"/>
  <c r="C239" i="55"/>
  <c r="C240" i="55"/>
  <c r="C241" i="55"/>
  <c r="C242" i="55"/>
  <c r="C243" i="55"/>
  <c r="C244" i="55"/>
  <c r="C245" i="55"/>
  <c r="C246" i="55"/>
  <c r="C247" i="55"/>
  <c r="C248" i="55"/>
  <c r="C249" i="55"/>
  <c r="C250" i="55"/>
  <c r="C251" i="55"/>
  <c r="C252" i="55"/>
  <c r="C253" i="55"/>
  <c r="C254" i="55"/>
  <c r="C255" i="55"/>
  <c r="C256" i="55"/>
  <c r="C257" i="55"/>
  <c r="C258" i="55"/>
  <c r="C259" i="55"/>
  <c r="C260" i="55"/>
  <c r="C261" i="55"/>
  <c r="C262" i="55"/>
  <c r="C263" i="55"/>
  <c r="C264" i="55"/>
  <c r="C265" i="55"/>
  <c r="C266" i="55"/>
  <c r="C267" i="55"/>
  <c r="C268" i="55"/>
  <c r="C269" i="55"/>
  <c r="C270" i="55"/>
  <c r="C271" i="55"/>
  <c r="C272" i="55"/>
  <c r="C273" i="55"/>
  <c r="C274" i="55"/>
  <c r="C275" i="55"/>
  <c r="C276" i="55"/>
  <c r="C277" i="55"/>
  <c r="C278" i="55"/>
  <c r="C279" i="55"/>
  <c r="C280" i="55"/>
  <c r="C281" i="55"/>
  <c r="C282" i="55"/>
  <c r="C283" i="55"/>
  <c r="C284" i="55"/>
  <c r="C285" i="55"/>
  <c r="C286" i="55"/>
  <c r="C287" i="55"/>
  <c r="C288" i="55"/>
  <c r="C289" i="55"/>
  <c r="C290" i="55"/>
  <c r="C291" i="55"/>
  <c r="C292" i="55"/>
  <c r="C293" i="55"/>
  <c r="C294" i="55"/>
  <c r="C295" i="55"/>
  <c r="C296" i="55"/>
  <c r="C297" i="55"/>
  <c r="C298" i="55"/>
  <c r="C299" i="55"/>
  <c r="C300" i="55"/>
  <c r="C301" i="55"/>
  <c r="C302" i="55"/>
  <c r="C2" i="55"/>
  <c r="D3" i="54"/>
  <c r="D4" i="54" s="1"/>
  <c r="D5" i="54" s="1"/>
  <c r="D6" i="54" s="1"/>
  <c r="C2" i="54"/>
  <c r="C3" i="54"/>
  <c r="C4" i="54"/>
  <c r="C5" i="54"/>
  <c r="C6" i="54"/>
  <c r="C7" i="54"/>
  <c r="C8" i="54"/>
  <c r="C9" i="54"/>
  <c r="C10" i="54"/>
  <c r="C11" i="54"/>
  <c r="C12" i="54"/>
  <c r="C13" i="54"/>
  <c r="C14" i="54"/>
  <c r="C15" i="54"/>
  <c r="C16" i="54"/>
  <c r="C17" i="54"/>
  <c r="C18" i="54"/>
  <c r="C19" i="54"/>
  <c r="C20" i="54"/>
  <c r="C21" i="54"/>
  <c r="C22" i="54"/>
  <c r="C23" i="54"/>
  <c r="C24" i="54"/>
  <c r="C25" i="54"/>
  <c r="C26" i="54"/>
  <c r="C27" i="54"/>
  <c r="C28" i="54"/>
  <c r="C29" i="54"/>
  <c r="C30" i="54"/>
  <c r="C31" i="54"/>
  <c r="C32" i="54"/>
  <c r="C33" i="54"/>
  <c r="C34" i="54"/>
  <c r="C35" i="54"/>
  <c r="C36" i="54"/>
  <c r="C37" i="54"/>
  <c r="C38" i="54"/>
  <c r="C39" i="54"/>
  <c r="C40" i="54"/>
  <c r="C41" i="54"/>
  <c r="C42" i="54"/>
  <c r="C43" i="54"/>
  <c r="C44" i="54"/>
  <c r="C45" i="54"/>
  <c r="C46" i="54"/>
  <c r="C47" i="54"/>
  <c r="C48" i="54"/>
  <c r="C49" i="54"/>
  <c r="C50" i="54"/>
  <c r="C51" i="54"/>
  <c r="C52" i="54"/>
  <c r="C53" i="54"/>
  <c r="C54" i="54"/>
  <c r="C55" i="54"/>
  <c r="C56" i="54"/>
  <c r="C57" i="54"/>
  <c r="C58" i="54"/>
  <c r="C59" i="54"/>
  <c r="C60" i="54"/>
  <c r="C61" i="54"/>
  <c r="C62" i="54"/>
  <c r="C63" i="54"/>
  <c r="C64" i="54"/>
  <c r="C65" i="54"/>
  <c r="C66" i="54"/>
  <c r="C67" i="54"/>
  <c r="C68" i="54"/>
  <c r="C69" i="54"/>
  <c r="C70" i="54"/>
  <c r="C71" i="54"/>
  <c r="C72" i="54"/>
  <c r="C73" i="54"/>
  <c r="C74" i="54"/>
  <c r="C75" i="54"/>
  <c r="C76" i="54"/>
  <c r="C77" i="54"/>
  <c r="C78" i="54"/>
  <c r="C79" i="54"/>
  <c r="C80" i="54"/>
  <c r="C81" i="54"/>
  <c r="C82" i="54"/>
  <c r="C83" i="54"/>
  <c r="C84" i="54"/>
  <c r="C85" i="54"/>
  <c r="C86" i="54"/>
  <c r="C87" i="54"/>
  <c r="C88" i="54"/>
  <c r="C89" i="54"/>
  <c r="C90" i="54"/>
  <c r="C91" i="54"/>
  <c r="C92" i="54"/>
  <c r="C93" i="54"/>
  <c r="C94" i="54"/>
  <c r="C95" i="54"/>
  <c r="C96" i="54"/>
  <c r="C97" i="54"/>
  <c r="C98" i="54"/>
  <c r="C99" i="54"/>
  <c r="C100" i="54"/>
  <c r="C101" i="54"/>
  <c r="C102" i="54"/>
  <c r="C103" i="54"/>
  <c r="C104" i="54"/>
  <c r="C105" i="54"/>
  <c r="C106" i="54"/>
  <c r="C107" i="54"/>
  <c r="C108" i="54"/>
  <c r="C109" i="54"/>
  <c r="C110" i="54"/>
  <c r="C111" i="54"/>
  <c r="C112" i="54"/>
  <c r="C113" i="54"/>
  <c r="C114" i="54"/>
  <c r="C115" i="54"/>
  <c r="C116" i="54"/>
  <c r="C117" i="54"/>
  <c r="C118" i="54"/>
  <c r="B26" i="53"/>
  <c r="I24" i="53"/>
  <c r="I23" i="53"/>
  <c r="I22" i="53"/>
  <c r="I21" i="53"/>
  <c r="I20" i="53"/>
  <c r="I3" i="53"/>
  <c r="I4" i="53"/>
  <c r="I5" i="53"/>
  <c r="I6" i="53"/>
  <c r="I7" i="53"/>
  <c r="I8" i="53"/>
  <c r="I9" i="53"/>
  <c r="I10" i="53"/>
  <c r="I11" i="53"/>
  <c r="I12" i="53"/>
  <c r="I13" i="53"/>
  <c r="I14" i="53"/>
  <c r="I15" i="53"/>
  <c r="I16" i="53"/>
  <c r="I17" i="53"/>
  <c r="I18" i="53"/>
  <c r="I19" i="53"/>
  <c r="I2" i="53"/>
  <c r="H3" i="53"/>
  <c r="H4" i="53"/>
  <c r="H5" i="53"/>
  <c r="H6" i="53"/>
  <c r="H7" i="53"/>
  <c r="H8" i="53"/>
  <c r="H9" i="53"/>
  <c r="H10" i="53"/>
  <c r="H11" i="53"/>
  <c r="H12" i="53"/>
  <c r="H13" i="53"/>
  <c r="H14" i="53"/>
  <c r="H15" i="53"/>
  <c r="H16" i="53"/>
  <c r="H17" i="53"/>
  <c r="H18" i="53"/>
  <c r="H19" i="53"/>
  <c r="H2" i="53"/>
  <c r="B23" i="53"/>
  <c r="G3" i="53"/>
  <c r="G4" i="53"/>
  <c r="G5" i="53"/>
  <c r="G6" i="53"/>
  <c r="G7" i="53"/>
  <c r="G8" i="53"/>
  <c r="G9" i="53"/>
  <c r="G10" i="53"/>
  <c r="G11" i="53"/>
  <c r="G12" i="53"/>
  <c r="G13" i="53"/>
  <c r="G14" i="53"/>
  <c r="G15" i="53"/>
  <c r="G16" i="53"/>
  <c r="G17" i="53"/>
  <c r="G18" i="53"/>
  <c r="G19" i="53"/>
  <c r="G2" i="53"/>
  <c r="F3" i="53"/>
  <c r="F4" i="53"/>
  <c r="F5" i="53"/>
  <c r="F6" i="53"/>
  <c r="F7" i="53"/>
  <c r="F8" i="53"/>
  <c r="F9" i="53"/>
  <c r="F10" i="53"/>
  <c r="F11" i="53"/>
  <c r="F12" i="53"/>
  <c r="F13" i="53"/>
  <c r="F14" i="53"/>
  <c r="F15" i="53"/>
  <c r="F16" i="53"/>
  <c r="F17" i="53"/>
  <c r="F18" i="53"/>
  <c r="F19" i="53"/>
  <c r="F2" i="53"/>
  <c r="E3" i="53"/>
  <c r="E4" i="53"/>
  <c r="E5" i="53"/>
  <c r="E6" i="53"/>
  <c r="E7" i="53"/>
  <c r="E8" i="53"/>
  <c r="E9" i="53"/>
  <c r="E10" i="53"/>
  <c r="E11" i="53"/>
  <c r="E12" i="53"/>
  <c r="E13" i="53"/>
  <c r="E14" i="53"/>
  <c r="E15" i="53"/>
  <c r="E16" i="53"/>
  <c r="E17" i="53"/>
  <c r="E18" i="53"/>
  <c r="E19" i="53"/>
  <c r="E2" i="53"/>
  <c r="C3" i="53"/>
  <c r="C4" i="53"/>
  <c r="C5" i="53"/>
  <c r="C6" i="53"/>
  <c r="C7" i="53"/>
  <c r="C8" i="53"/>
  <c r="C9" i="53"/>
  <c r="C10" i="53"/>
  <c r="C11" i="53"/>
  <c r="C12" i="53"/>
  <c r="C13" i="53"/>
  <c r="C14" i="53"/>
  <c r="C15" i="53"/>
  <c r="C16" i="53"/>
  <c r="C17" i="53"/>
  <c r="C18" i="53"/>
  <c r="C19" i="53"/>
  <c r="C2" i="53"/>
  <c r="C2" i="52"/>
  <c r="C3" i="52"/>
  <c r="C4" i="52"/>
  <c r="C5" i="52"/>
  <c r="C6" i="52"/>
  <c r="C7" i="52"/>
  <c r="C8" i="52"/>
  <c r="C9" i="52"/>
  <c r="C10" i="52"/>
  <c r="C11" i="52"/>
  <c r="C12" i="52"/>
  <c r="C13" i="52"/>
  <c r="C14" i="52"/>
  <c r="C15" i="52"/>
  <c r="C16" i="52"/>
  <c r="C17" i="52"/>
  <c r="C18" i="52"/>
  <c r="C19" i="52"/>
  <c r="C20" i="52"/>
  <c r="C21" i="52"/>
  <c r="C22" i="52"/>
  <c r="C23" i="52"/>
  <c r="C24" i="52"/>
  <c r="C25" i="52"/>
  <c r="C26" i="52"/>
  <c r="C27" i="52"/>
  <c r="C28" i="52"/>
  <c r="C29" i="52"/>
  <c r="C30" i="52"/>
  <c r="C31" i="52"/>
  <c r="C32" i="52"/>
  <c r="C33" i="52"/>
  <c r="C34" i="52"/>
  <c r="C35" i="52"/>
  <c r="C36" i="52"/>
  <c r="C37" i="52"/>
  <c r="C38" i="52"/>
  <c r="C39" i="52"/>
  <c r="C40" i="52"/>
  <c r="C41" i="52"/>
  <c r="C42" i="52"/>
  <c r="C43" i="52"/>
  <c r="C44" i="52"/>
  <c r="C45" i="52"/>
  <c r="C46" i="52"/>
  <c r="C47" i="52"/>
  <c r="C48" i="52"/>
  <c r="C49" i="52"/>
  <c r="C50" i="52"/>
  <c r="C51" i="52"/>
  <c r="C52" i="52"/>
  <c r="C53" i="52"/>
  <c r="C54" i="52"/>
  <c r="C55" i="52"/>
  <c r="C56" i="52"/>
  <c r="C57" i="52"/>
  <c r="C58" i="52"/>
  <c r="C59" i="52"/>
  <c r="C60" i="52"/>
  <c r="C61" i="52"/>
  <c r="C62" i="52"/>
  <c r="C63" i="52"/>
  <c r="C64" i="52"/>
  <c r="C65" i="52"/>
  <c r="C66" i="52"/>
  <c r="C67" i="52"/>
  <c r="C68" i="52"/>
  <c r="C69" i="52"/>
  <c r="C70" i="52"/>
  <c r="C71" i="52"/>
  <c r="C72" i="52"/>
  <c r="C73" i="52"/>
  <c r="C74" i="52"/>
  <c r="C75" i="52"/>
  <c r="C76" i="52"/>
  <c r="C77" i="52"/>
  <c r="C78" i="52"/>
  <c r="C79" i="52"/>
  <c r="C80" i="52"/>
  <c r="C81" i="52"/>
  <c r="C82" i="52"/>
  <c r="C83" i="52"/>
  <c r="C84" i="52"/>
  <c r="C85" i="52"/>
  <c r="C86" i="52"/>
  <c r="C87" i="52"/>
  <c r="C88" i="52"/>
  <c r="C89" i="52"/>
  <c r="C90" i="52"/>
  <c r="C91" i="52"/>
  <c r="C92" i="52"/>
  <c r="C93" i="52"/>
  <c r="C94" i="52"/>
  <c r="C95" i="52"/>
  <c r="C96" i="52"/>
  <c r="C97" i="52"/>
  <c r="C98" i="52"/>
  <c r="C99" i="52"/>
  <c r="C100" i="52"/>
  <c r="C101" i="52"/>
  <c r="C102" i="52"/>
  <c r="C103" i="52"/>
  <c r="C104" i="52"/>
  <c r="C105" i="52"/>
  <c r="C106" i="52"/>
  <c r="C107" i="52"/>
  <c r="C108" i="52"/>
  <c r="C109" i="52"/>
  <c r="C110" i="52"/>
  <c r="C111" i="52"/>
  <c r="C112" i="52"/>
  <c r="C113" i="52"/>
  <c r="C114" i="52"/>
  <c r="C115" i="52"/>
  <c r="C116" i="52"/>
  <c r="C117" i="52"/>
  <c r="C118" i="52"/>
  <c r="C119" i="52"/>
  <c r="C120" i="52"/>
  <c r="B24" i="51"/>
  <c r="B15" i="49"/>
  <c r="I22" i="51"/>
  <c r="I21" i="51"/>
  <c r="I20" i="51"/>
  <c r="I19" i="51"/>
  <c r="I18" i="51"/>
  <c r="I3" i="51"/>
  <c r="I4" i="51"/>
  <c r="I5" i="51"/>
  <c r="I6" i="51"/>
  <c r="I7" i="51"/>
  <c r="I8" i="51"/>
  <c r="I9" i="51"/>
  <c r="I10" i="51"/>
  <c r="I11" i="51"/>
  <c r="I12" i="51"/>
  <c r="I13" i="51"/>
  <c r="I14" i="51"/>
  <c r="I15" i="51"/>
  <c r="I16" i="51"/>
  <c r="I17" i="51"/>
  <c r="I2" i="51"/>
  <c r="H3" i="51"/>
  <c r="H4" i="51"/>
  <c r="H5" i="51"/>
  <c r="H6" i="51"/>
  <c r="H7" i="51"/>
  <c r="H8" i="51"/>
  <c r="H9" i="51"/>
  <c r="H10" i="51"/>
  <c r="H11" i="51"/>
  <c r="H12" i="51"/>
  <c r="H13" i="51"/>
  <c r="H14" i="51"/>
  <c r="H15" i="51"/>
  <c r="H16" i="51"/>
  <c r="H17" i="51"/>
  <c r="H2" i="51"/>
  <c r="G3" i="51"/>
  <c r="G4" i="51"/>
  <c r="G5" i="51"/>
  <c r="G6" i="51"/>
  <c r="G7" i="51"/>
  <c r="G8" i="51"/>
  <c r="G9" i="51"/>
  <c r="G10" i="51"/>
  <c r="G11" i="51"/>
  <c r="G12" i="51"/>
  <c r="G13" i="51"/>
  <c r="G14" i="51"/>
  <c r="G15" i="51"/>
  <c r="G16" i="51"/>
  <c r="G17" i="51"/>
  <c r="G2" i="51"/>
  <c r="F3" i="51"/>
  <c r="F4" i="51"/>
  <c r="F5" i="51"/>
  <c r="F6" i="51"/>
  <c r="F7" i="51"/>
  <c r="F8" i="51"/>
  <c r="F9" i="51"/>
  <c r="F10" i="51"/>
  <c r="F11" i="51"/>
  <c r="F12" i="51"/>
  <c r="F13" i="51"/>
  <c r="F14" i="51"/>
  <c r="F15" i="51"/>
  <c r="F16" i="51"/>
  <c r="F17" i="51"/>
  <c r="F2" i="51"/>
  <c r="B21" i="51"/>
  <c r="E3" i="51"/>
  <c r="E4" i="51"/>
  <c r="E5" i="51"/>
  <c r="E6" i="51"/>
  <c r="E7" i="51"/>
  <c r="E8" i="51"/>
  <c r="E9" i="51"/>
  <c r="E10" i="51"/>
  <c r="E11" i="51"/>
  <c r="E12" i="51"/>
  <c r="E13" i="51"/>
  <c r="E14" i="51"/>
  <c r="E15" i="51"/>
  <c r="E16" i="51"/>
  <c r="E17" i="51"/>
  <c r="E2" i="51"/>
  <c r="C3" i="51"/>
  <c r="C4" i="51"/>
  <c r="C5" i="51"/>
  <c r="C6" i="51"/>
  <c r="C7" i="51"/>
  <c r="C8" i="51"/>
  <c r="C9" i="51"/>
  <c r="C10" i="51"/>
  <c r="C11" i="51"/>
  <c r="C12" i="51"/>
  <c r="C13" i="51"/>
  <c r="C14" i="51"/>
  <c r="C15" i="51"/>
  <c r="C16" i="51"/>
  <c r="C17" i="51"/>
  <c r="C2" i="51"/>
  <c r="D87" i="48"/>
  <c r="D88" i="48" s="1"/>
  <c r="D89" i="48" s="1"/>
  <c r="D90" i="48" s="1"/>
  <c r="D91" i="48" s="1"/>
  <c r="D92" i="48" s="1"/>
  <c r="D93" i="48" s="1"/>
  <c r="D94" i="48" s="1"/>
  <c r="D95" i="48" s="1"/>
  <c r="D96" i="48" s="1"/>
  <c r="D97" i="48" s="1"/>
  <c r="D98" i="48" s="1"/>
  <c r="C87" i="48"/>
  <c r="C88" i="48"/>
  <c r="C89" i="48"/>
  <c r="C90" i="48"/>
  <c r="C91" i="48"/>
  <c r="C92" i="48"/>
  <c r="C93" i="48"/>
  <c r="C94" i="48"/>
  <c r="C95" i="48"/>
  <c r="C96" i="48"/>
  <c r="C97" i="48"/>
  <c r="C98" i="48"/>
  <c r="I13" i="49"/>
  <c r="I12" i="49"/>
  <c r="I11" i="49"/>
  <c r="I10" i="49"/>
  <c r="I9" i="49"/>
  <c r="I3" i="49"/>
  <c r="I4" i="49"/>
  <c r="I5" i="49"/>
  <c r="I6" i="49"/>
  <c r="I7" i="49"/>
  <c r="I8" i="49"/>
  <c r="I2" i="49"/>
  <c r="H3" i="49"/>
  <c r="H4" i="49"/>
  <c r="H5" i="49"/>
  <c r="H6" i="49"/>
  <c r="H7" i="49"/>
  <c r="H8" i="49"/>
  <c r="H2" i="49"/>
  <c r="B12" i="49"/>
  <c r="G3" i="49"/>
  <c r="G4" i="49"/>
  <c r="G5" i="49"/>
  <c r="G6" i="49"/>
  <c r="G7" i="49"/>
  <c r="G8" i="49"/>
  <c r="G2" i="49"/>
  <c r="F3" i="49"/>
  <c r="F4" i="49"/>
  <c r="F5" i="49"/>
  <c r="F6" i="49"/>
  <c r="F7" i="49"/>
  <c r="F8" i="49"/>
  <c r="F2" i="49"/>
  <c r="E3" i="49"/>
  <c r="E4" i="49"/>
  <c r="E5" i="49"/>
  <c r="E6" i="49"/>
  <c r="E7" i="49"/>
  <c r="E8" i="49"/>
  <c r="E2" i="49"/>
  <c r="C3" i="49"/>
  <c r="C4" i="49"/>
  <c r="C5" i="49"/>
  <c r="C6" i="49"/>
  <c r="C7" i="49"/>
  <c r="C8" i="49"/>
  <c r="C2" i="49"/>
  <c r="D4" i="48"/>
  <c r="D5" i="48" s="1"/>
  <c r="D6" i="48" s="1"/>
  <c r="D7" i="48" s="1"/>
  <c r="D8" i="48" s="1"/>
  <c r="D9" i="48" s="1"/>
  <c r="D10" i="48" s="1"/>
  <c r="D11" i="48" s="1"/>
  <c r="D12" i="48" s="1"/>
  <c r="D13" i="48" s="1"/>
  <c r="D14" i="48" s="1"/>
  <c r="D15" i="48" s="1"/>
  <c r="D16" i="48" s="1"/>
  <c r="D17" i="48" s="1"/>
  <c r="D18" i="48" s="1"/>
  <c r="D19" i="48" s="1"/>
  <c r="D20" i="48" s="1"/>
  <c r="D21" i="48" s="1"/>
  <c r="D22" i="48" s="1"/>
  <c r="D23" i="48" s="1"/>
  <c r="D24" i="48" s="1"/>
  <c r="D25" i="48" s="1"/>
  <c r="D26" i="48" s="1"/>
  <c r="D27" i="48" s="1"/>
  <c r="D28" i="48" s="1"/>
  <c r="D29" i="48" s="1"/>
  <c r="D30" i="48" s="1"/>
  <c r="D31" i="48" s="1"/>
  <c r="D32" i="48" s="1"/>
  <c r="D33" i="48" s="1"/>
  <c r="D34" i="48" s="1"/>
  <c r="D35" i="48" s="1"/>
  <c r="D36" i="48" s="1"/>
  <c r="D37" i="48" s="1"/>
  <c r="D38" i="48" s="1"/>
  <c r="D39" i="48" s="1"/>
  <c r="D40" i="48" s="1"/>
  <c r="D41" i="48" s="1"/>
  <c r="D42" i="48" s="1"/>
  <c r="D43" i="48" s="1"/>
  <c r="D44" i="48" s="1"/>
  <c r="D45" i="48" s="1"/>
  <c r="D46" i="48" s="1"/>
  <c r="D47" i="48" s="1"/>
  <c r="D48" i="48" s="1"/>
  <c r="D49" i="48" s="1"/>
  <c r="D50" i="48" s="1"/>
  <c r="D51" i="48" s="1"/>
  <c r="D52" i="48" s="1"/>
  <c r="D53" i="48" s="1"/>
  <c r="D54" i="48" s="1"/>
  <c r="D55" i="48" s="1"/>
  <c r="D56" i="48" s="1"/>
  <c r="D57" i="48" s="1"/>
  <c r="D58" i="48" s="1"/>
  <c r="D59" i="48" s="1"/>
  <c r="D60" i="48" s="1"/>
  <c r="D61" i="48" s="1"/>
  <c r="D62" i="48" s="1"/>
  <c r="D63" i="48" s="1"/>
  <c r="D64" i="48" s="1"/>
  <c r="D65" i="48" s="1"/>
  <c r="D66" i="48" s="1"/>
  <c r="D67" i="48" s="1"/>
  <c r="D68" i="48" s="1"/>
  <c r="D69" i="48" s="1"/>
  <c r="D70" i="48" s="1"/>
  <c r="D71" i="48" s="1"/>
  <c r="D72" i="48" s="1"/>
  <c r="D73" i="48" s="1"/>
  <c r="D74" i="48" s="1"/>
  <c r="D75" i="48" s="1"/>
  <c r="D76" i="48" s="1"/>
  <c r="D77" i="48" s="1"/>
  <c r="D78" i="48" s="1"/>
  <c r="D79" i="48" s="1"/>
  <c r="D80" i="48" s="1"/>
  <c r="D81" i="48" s="1"/>
  <c r="D82" i="48" s="1"/>
  <c r="D83" i="48" s="1"/>
  <c r="D84" i="48" s="1"/>
  <c r="D85" i="48" s="1"/>
  <c r="D86" i="48" s="1"/>
  <c r="D3" i="48"/>
  <c r="C3" i="48"/>
  <c r="C4" i="48"/>
  <c r="C5" i="48"/>
  <c r="C6" i="48"/>
  <c r="C7" i="48"/>
  <c r="C8" i="48"/>
  <c r="C9" i="48"/>
  <c r="C10" i="48"/>
  <c r="C11" i="48"/>
  <c r="C12" i="48"/>
  <c r="C13" i="48"/>
  <c r="C14" i="48"/>
  <c r="C15" i="48"/>
  <c r="C16" i="48"/>
  <c r="C17" i="48"/>
  <c r="C18" i="48"/>
  <c r="C19" i="48"/>
  <c r="C20" i="48"/>
  <c r="C21" i="48"/>
  <c r="C22" i="48"/>
  <c r="C23" i="48"/>
  <c r="C24" i="48"/>
  <c r="C25" i="48"/>
  <c r="C26" i="48"/>
  <c r="C27" i="48"/>
  <c r="C28" i="48"/>
  <c r="C29" i="48"/>
  <c r="C30" i="48"/>
  <c r="C31" i="48"/>
  <c r="C32" i="48"/>
  <c r="C33" i="48"/>
  <c r="C34" i="48"/>
  <c r="C35" i="48"/>
  <c r="C36" i="48"/>
  <c r="C37" i="48"/>
  <c r="C38" i="48"/>
  <c r="C39" i="48"/>
  <c r="C40" i="48"/>
  <c r="C41" i="48"/>
  <c r="C42" i="48"/>
  <c r="C43" i="48"/>
  <c r="C44" i="48"/>
  <c r="C45" i="48"/>
  <c r="C46" i="48"/>
  <c r="C47" i="48"/>
  <c r="C48" i="48"/>
  <c r="C49" i="48"/>
  <c r="C50" i="48"/>
  <c r="C51" i="48"/>
  <c r="C52" i="48"/>
  <c r="C53" i="48"/>
  <c r="C54" i="48"/>
  <c r="C55" i="48"/>
  <c r="C56" i="48"/>
  <c r="C57" i="48"/>
  <c r="C58" i="48"/>
  <c r="C59" i="48"/>
  <c r="C60" i="48"/>
  <c r="C61" i="48"/>
  <c r="C62" i="48"/>
  <c r="C63" i="48"/>
  <c r="C64" i="48"/>
  <c r="C65" i="48"/>
  <c r="C66" i="48"/>
  <c r="C67" i="48"/>
  <c r="C68" i="48"/>
  <c r="C69" i="48"/>
  <c r="C70" i="48"/>
  <c r="C71" i="48"/>
  <c r="C72" i="48"/>
  <c r="C73" i="48"/>
  <c r="C74" i="48"/>
  <c r="C75" i="48"/>
  <c r="C76" i="48"/>
  <c r="C77" i="48"/>
  <c r="C78" i="48"/>
  <c r="C79" i="48"/>
  <c r="C80" i="48"/>
  <c r="C81" i="48"/>
  <c r="C82" i="48"/>
  <c r="C83" i="48"/>
  <c r="C84" i="48"/>
  <c r="C85" i="48"/>
  <c r="C86" i="48"/>
  <c r="C2" i="48"/>
  <c r="B21" i="47"/>
  <c r="J21" i="47"/>
  <c r="J20" i="47"/>
  <c r="J19" i="47"/>
  <c r="J18" i="47"/>
  <c r="J17" i="47"/>
  <c r="J4" i="47"/>
  <c r="J5" i="47"/>
  <c r="J6" i="47"/>
  <c r="J7" i="47"/>
  <c r="J8" i="47"/>
  <c r="J9" i="47"/>
  <c r="J10" i="47"/>
  <c r="J11" i="47"/>
  <c r="J12" i="47"/>
  <c r="J13" i="47"/>
  <c r="J14" i="47"/>
  <c r="J15" i="47"/>
  <c r="J16" i="47"/>
  <c r="J3" i="47"/>
  <c r="I4" i="47"/>
  <c r="I5" i="47"/>
  <c r="I6" i="47"/>
  <c r="I7" i="47"/>
  <c r="I8" i="47"/>
  <c r="I9" i="47"/>
  <c r="I10" i="47"/>
  <c r="I11" i="47"/>
  <c r="I12" i="47"/>
  <c r="I13" i="47"/>
  <c r="I14" i="47"/>
  <c r="I15" i="47"/>
  <c r="I16" i="47"/>
  <c r="I3" i="47"/>
  <c r="H4" i="47"/>
  <c r="H5" i="47"/>
  <c r="H6" i="47"/>
  <c r="H7" i="47"/>
  <c r="H8" i="47"/>
  <c r="H9" i="47"/>
  <c r="H10" i="47"/>
  <c r="H11" i="47"/>
  <c r="H12" i="47"/>
  <c r="H13" i="47"/>
  <c r="H14" i="47"/>
  <c r="H15" i="47"/>
  <c r="H16" i="47"/>
  <c r="H3" i="47"/>
  <c r="G4" i="47"/>
  <c r="G5" i="47"/>
  <c r="G6" i="47"/>
  <c r="G7" i="47"/>
  <c r="G8" i="47"/>
  <c r="G9" i="47"/>
  <c r="G10" i="47"/>
  <c r="G11" i="47"/>
  <c r="G12" i="47"/>
  <c r="G13" i="47"/>
  <c r="G14" i="47"/>
  <c r="G15" i="47"/>
  <c r="G16" i="47"/>
  <c r="G3" i="47"/>
  <c r="F4" i="47"/>
  <c r="F5" i="47"/>
  <c r="F6" i="47"/>
  <c r="F7" i="47"/>
  <c r="F8" i="47"/>
  <c r="F9" i="47"/>
  <c r="F10" i="47"/>
  <c r="F11" i="47"/>
  <c r="F12" i="47"/>
  <c r="F13" i="47"/>
  <c r="F14" i="47"/>
  <c r="F15" i="47"/>
  <c r="F16" i="47"/>
  <c r="F3" i="47"/>
  <c r="E4" i="47"/>
  <c r="E5" i="47"/>
  <c r="E6" i="47"/>
  <c r="E7" i="47"/>
  <c r="E8" i="47"/>
  <c r="E9" i="47"/>
  <c r="E10" i="47"/>
  <c r="E11" i="47"/>
  <c r="E12" i="47"/>
  <c r="E13" i="47"/>
  <c r="E14" i="47"/>
  <c r="E15" i="47"/>
  <c r="E16" i="47"/>
  <c r="E3" i="47"/>
  <c r="D4" i="47"/>
  <c r="D5" i="47"/>
  <c r="D6" i="47"/>
  <c r="D7" i="47"/>
  <c r="D8" i="47"/>
  <c r="D9" i="47"/>
  <c r="D10" i="47"/>
  <c r="D11" i="47"/>
  <c r="D12" i="47"/>
  <c r="D13" i="47"/>
  <c r="D14" i="47"/>
  <c r="D15" i="47"/>
  <c r="D16" i="47"/>
  <c r="D3" i="47"/>
  <c r="B17" i="46"/>
  <c r="J17" i="46"/>
  <c r="J16" i="46"/>
  <c r="J15" i="46"/>
  <c r="J14" i="46"/>
  <c r="J13" i="46"/>
  <c r="J4" i="46"/>
  <c r="J5" i="46"/>
  <c r="J6" i="46"/>
  <c r="J7" i="46"/>
  <c r="J8" i="46"/>
  <c r="J9" i="46"/>
  <c r="J10" i="46"/>
  <c r="J11" i="46"/>
  <c r="J12" i="46"/>
  <c r="J3" i="46"/>
  <c r="I4" i="46"/>
  <c r="I5" i="46"/>
  <c r="I6" i="46"/>
  <c r="I7" i="46"/>
  <c r="I8" i="46"/>
  <c r="I9" i="46"/>
  <c r="I10" i="46"/>
  <c r="I11" i="46"/>
  <c r="I12" i="46"/>
  <c r="I3" i="46"/>
  <c r="H4" i="46"/>
  <c r="H5" i="46"/>
  <c r="H6" i="46"/>
  <c r="H7" i="46"/>
  <c r="H8" i="46"/>
  <c r="H9" i="46"/>
  <c r="H10" i="46"/>
  <c r="H11" i="46"/>
  <c r="H12" i="46"/>
  <c r="H3" i="46"/>
  <c r="G4" i="46"/>
  <c r="G5" i="46"/>
  <c r="G6" i="46"/>
  <c r="G7" i="46"/>
  <c r="G8" i="46"/>
  <c r="G9" i="46"/>
  <c r="G10" i="46"/>
  <c r="G11" i="46"/>
  <c r="G12" i="46"/>
  <c r="G3" i="46"/>
  <c r="F4" i="46"/>
  <c r="F5" i="46"/>
  <c r="F6" i="46"/>
  <c r="F7" i="46"/>
  <c r="F8" i="46"/>
  <c r="F9" i="46"/>
  <c r="F10" i="46"/>
  <c r="F11" i="46"/>
  <c r="F12" i="46"/>
  <c r="F3" i="46"/>
  <c r="E4" i="46"/>
  <c r="E5" i="46"/>
  <c r="E6" i="46"/>
  <c r="E7" i="46"/>
  <c r="E8" i="46"/>
  <c r="E9" i="46"/>
  <c r="E10" i="46"/>
  <c r="E11" i="46"/>
  <c r="E12" i="46"/>
  <c r="E3" i="46"/>
  <c r="D4" i="46"/>
  <c r="D5" i="46"/>
  <c r="D6" i="46"/>
  <c r="D7" i="46"/>
  <c r="D8" i="46"/>
  <c r="D9" i="46"/>
  <c r="D10" i="46"/>
  <c r="D11" i="46"/>
  <c r="D12" i="46"/>
  <c r="D3" i="46"/>
  <c r="B30" i="44"/>
  <c r="I28" i="44"/>
  <c r="I27" i="44"/>
  <c r="I26" i="44"/>
  <c r="I25" i="44"/>
  <c r="I24" i="44"/>
  <c r="I3" i="44"/>
  <c r="I4" i="44"/>
  <c r="I5" i="44"/>
  <c r="I6" i="44"/>
  <c r="I7" i="44"/>
  <c r="I8" i="44"/>
  <c r="I9" i="44"/>
  <c r="I10" i="44"/>
  <c r="I11" i="44"/>
  <c r="I12" i="44"/>
  <c r="I13" i="44"/>
  <c r="I14" i="44"/>
  <c r="I15" i="44"/>
  <c r="I16" i="44"/>
  <c r="I17" i="44"/>
  <c r="I18" i="44"/>
  <c r="I19" i="44"/>
  <c r="I20" i="44"/>
  <c r="I21" i="44"/>
  <c r="I22" i="44"/>
  <c r="I23" i="44"/>
  <c r="I2" i="44"/>
  <c r="H3" i="44"/>
  <c r="H4" i="44"/>
  <c r="H5" i="44"/>
  <c r="H6" i="44"/>
  <c r="H7" i="44"/>
  <c r="H8" i="44"/>
  <c r="H9" i="44"/>
  <c r="H10" i="44"/>
  <c r="H11" i="44"/>
  <c r="H12" i="44"/>
  <c r="H13" i="44"/>
  <c r="H14" i="44"/>
  <c r="H15" i="44"/>
  <c r="H16" i="44"/>
  <c r="H17" i="44"/>
  <c r="H18" i="44"/>
  <c r="H19" i="44"/>
  <c r="H20" i="44"/>
  <c r="H21" i="44"/>
  <c r="H22" i="44"/>
  <c r="H23" i="44"/>
  <c r="H2" i="44"/>
  <c r="B27" i="44"/>
  <c r="G3" i="44"/>
  <c r="G4" i="44"/>
  <c r="G5" i="44"/>
  <c r="G6" i="44"/>
  <c r="G7" i="44"/>
  <c r="G8" i="44"/>
  <c r="G9" i="44"/>
  <c r="G10" i="44"/>
  <c r="G11" i="44"/>
  <c r="G12" i="44"/>
  <c r="G13" i="44"/>
  <c r="G14" i="44"/>
  <c r="G15" i="44"/>
  <c r="G16" i="44"/>
  <c r="G17" i="44"/>
  <c r="G18" i="44"/>
  <c r="G19" i="44"/>
  <c r="G20" i="44"/>
  <c r="G21" i="44"/>
  <c r="G22" i="44"/>
  <c r="G23" i="44"/>
  <c r="G2" i="44"/>
  <c r="F3" i="44"/>
  <c r="F4" i="44"/>
  <c r="F5" i="44"/>
  <c r="F6" i="44"/>
  <c r="F7" i="44"/>
  <c r="F8" i="44"/>
  <c r="F9" i="44"/>
  <c r="F10" i="44"/>
  <c r="F11" i="44"/>
  <c r="F12" i="44"/>
  <c r="F13" i="44"/>
  <c r="F14" i="44"/>
  <c r="F15" i="44"/>
  <c r="F16" i="44"/>
  <c r="F17" i="44"/>
  <c r="F18" i="44"/>
  <c r="F19" i="44"/>
  <c r="F20" i="44"/>
  <c r="F21" i="44"/>
  <c r="F22" i="44"/>
  <c r="F23" i="44"/>
  <c r="F2" i="44"/>
  <c r="E3" i="44"/>
  <c r="E4" i="44"/>
  <c r="E5" i="44"/>
  <c r="E6" i="44"/>
  <c r="E7" i="44"/>
  <c r="E8" i="44"/>
  <c r="E9" i="44"/>
  <c r="E10" i="44"/>
  <c r="E11" i="44"/>
  <c r="E12" i="44"/>
  <c r="E13" i="44"/>
  <c r="E14" i="44"/>
  <c r="E15" i="44"/>
  <c r="E16" i="44"/>
  <c r="E17" i="44"/>
  <c r="E18" i="44"/>
  <c r="E19" i="44"/>
  <c r="E20" i="44"/>
  <c r="E21" i="44"/>
  <c r="E22" i="44"/>
  <c r="E23" i="44"/>
  <c r="E2" i="44"/>
  <c r="C3" i="44"/>
  <c r="C4" i="44"/>
  <c r="C5" i="44"/>
  <c r="C6" i="44"/>
  <c r="C7" i="44"/>
  <c r="C8" i="44"/>
  <c r="C9" i="44"/>
  <c r="C10" i="44"/>
  <c r="C11" i="44"/>
  <c r="C12" i="44"/>
  <c r="C13" i="44"/>
  <c r="C14" i="44"/>
  <c r="C15" i="44"/>
  <c r="C16" i="44"/>
  <c r="C17" i="44"/>
  <c r="C18" i="44"/>
  <c r="C19" i="44"/>
  <c r="C20" i="44"/>
  <c r="C21" i="44"/>
  <c r="C22" i="44"/>
  <c r="C23" i="44"/>
  <c r="C2" i="44"/>
  <c r="D4" i="45"/>
  <c r="D5" i="45" s="1"/>
  <c r="D6" i="45" s="1"/>
  <c r="D7" i="45" s="1"/>
  <c r="D8" i="45" s="1"/>
  <c r="D9" i="45" s="1"/>
  <c r="D10" i="45" s="1"/>
  <c r="D11" i="45" s="1"/>
  <c r="D12" i="45" s="1"/>
  <c r="D13" i="45" s="1"/>
  <c r="D14" i="45" s="1"/>
  <c r="D15" i="45" s="1"/>
  <c r="D16" i="45" s="1"/>
  <c r="D17" i="45" s="1"/>
  <c r="D18" i="45" s="1"/>
  <c r="D19" i="45" s="1"/>
  <c r="D20" i="45" s="1"/>
  <c r="D21" i="45" s="1"/>
  <c r="D22" i="45" s="1"/>
  <c r="D23" i="45" s="1"/>
  <c r="D24" i="45" s="1"/>
  <c r="D25" i="45" s="1"/>
  <c r="D26" i="45" s="1"/>
  <c r="D27" i="45" s="1"/>
  <c r="D28" i="45" s="1"/>
  <c r="D29" i="45" s="1"/>
  <c r="D30" i="45" s="1"/>
  <c r="D31" i="45" s="1"/>
  <c r="D32" i="45" s="1"/>
  <c r="D33" i="45" s="1"/>
  <c r="D34" i="45" s="1"/>
  <c r="D35" i="45" s="1"/>
  <c r="D36" i="45" s="1"/>
  <c r="D37" i="45" s="1"/>
  <c r="D38" i="45" s="1"/>
  <c r="D39" i="45" s="1"/>
  <c r="D40" i="45" s="1"/>
  <c r="D41" i="45" s="1"/>
  <c r="D42" i="45" s="1"/>
  <c r="D43" i="45" s="1"/>
  <c r="D44" i="45" s="1"/>
  <c r="D45" i="45" s="1"/>
  <c r="D46" i="45" s="1"/>
  <c r="D47" i="45" s="1"/>
  <c r="D48" i="45" s="1"/>
  <c r="D49" i="45" s="1"/>
  <c r="D50" i="45" s="1"/>
  <c r="D51" i="45" s="1"/>
  <c r="D52" i="45" s="1"/>
  <c r="D53" i="45" s="1"/>
  <c r="D54" i="45" s="1"/>
  <c r="D55" i="45" s="1"/>
  <c r="D56" i="45" s="1"/>
  <c r="D57" i="45" s="1"/>
  <c r="D58" i="45" s="1"/>
  <c r="D59" i="45" s="1"/>
  <c r="D60" i="45" s="1"/>
  <c r="D61" i="45" s="1"/>
  <c r="D62" i="45" s="1"/>
  <c r="D63" i="45" s="1"/>
  <c r="D64" i="45" s="1"/>
  <c r="D65" i="45" s="1"/>
  <c r="D66" i="45" s="1"/>
  <c r="D67" i="45" s="1"/>
  <c r="D68" i="45" s="1"/>
  <c r="D69" i="45" s="1"/>
  <c r="D70" i="45" s="1"/>
  <c r="D71" i="45" s="1"/>
  <c r="D72" i="45" s="1"/>
  <c r="D73" i="45" s="1"/>
  <c r="D74" i="45" s="1"/>
  <c r="D75" i="45" s="1"/>
  <c r="D76" i="45" s="1"/>
  <c r="D77" i="45" s="1"/>
  <c r="D78" i="45" s="1"/>
  <c r="D79" i="45" s="1"/>
  <c r="D80" i="45" s="1"/>
  <c r="D81" i="45" s="1"/>
  <c r="D82" i="45" s="1"/>
  <c r="D83" i="45" s="1"/>
  <c r="D84" i="45" s="1"/>
  <c r="D85" i="45" s="1"/>
  <c r="D86" i="45" s="1"/>
  <c r="D87" i="45" s="1"/>
  <c r="D88" i="45" s="1"/>
  <c r="D89" i="45" s="1"/>
  <c r="D90" i="45" s="1"/>
  <c r="D91" i="45" s="1"/>
  <c r="D92" i="45" s="1"/>
  <c r="D93" i="45" s="1"/>
  <c r="D94" i="45" s="1"/>
  <c r="D95" i="45" s="1"/>
  <c r="D96" i="45" s="1"/>
  <c r="D97" i="45" s="1"/>
  <c r="D98" i="45" s="1"/>
  <c r="D99" i="45" s="1"/>
  <c r="D100" i="45" s="1"/>
  <c r="D101" i="45" s="1"/>
  <c r="D102" i="45" s="1"/>
  <c r="D103" i="45" s="1"/>
  <c r="D104" i="45" s="1"/>
  <c r="D105" i="45" s="1"/>
  <c r="D106" i="45" s="1"/>
  <c r="D107" i="45" s="1"/>
  <c r="D108" i="45" s="1"/>
  <c r="D109" i="45" s="1"/>
  <c r="D110" i="45" s="1"/>
  <c r="D111" i="45" s="1"/>
  <c r="D112" i="45" s="1"/>
  <c r="D113" i="45" s="1"/>
  <c r="D114" i="45" s="1"/>
  <c r="D115" i="45" s="1"/>
  <c r="D116" i="45" s="1"/>
  <c r="D117" i="45" s="1"/>
  <c r="D118" i="45" s="1"/>
  <c r="D119" i="45" s="1"/>
  <c r="D120" i="45" s="1"/>
  <c r="D121" i="45" s="1"/>
  <c r="D122" i="45" s="1"/>
  <c r="D123" i="45" s="1"/>
  <c r="D124" i="45" s="1"/>
  <c r="D125" i="45" s="1"/>
  <c r="D126" i="45" s="1"/>
  <c r="D127" i="45" s="1"/>
  <c r="D128" i="45" s="1"/>
  <c r="D129" i="45" s="1"/>
  <c r="D130" i="45" s="1"/>
  <c r="D131" i="45" s="1"/>
  <c r="D132" i="45" s="1"/>
  <c r="D133" i="45" s="1"/>
  <c r="D134" i="45" s="1"/>
  <c r="D135" i="45" s="1"/>
  <c r="D136" i="45" s="1"/>
  <c r="D137" i="45" s="1"/>
  <c r="D138" i="45" s="1"/>
  <c r="D139" i="45" s="1"/>
  <c r="D140" i="45" s="1"/>
  <c r="D141" i="45" s="1"/>
  <c r="D3" i="45"/>
  <c r="C3" i="45"/>
  <c r="C4" i="45"/>
  <c r="C5" i="45"/>
  <c r="C6" i="45"/>
  <c r="C7" i="45"/>
  <c r="C8" i="45"/>
  <c r="C9" i="45"/>
  <c r="C10" i="45"/>
  <c r="C11" i="45"/>
  <c r="C12" i="45"/>
  <c r="C13" i="45"/>
  <c r="C14" i="45"/>
  <c r="C15" i="45"/>
  <c r="C16" i="45"/>
  <c r="C17" i="45"/>
  <c r="C18" i="45"/>
  <c r="C19" i="45"/>
  <c r="C20" i="45"/>
  <c r="C21" i="45"/>
  <c r="C22" i="45"/>
  <c r="C23" i="45"/>
  <c r="C24" i="45"/>
  <c r="C25" i="45"/>
  <c r="C26" i="45"/>
  <c r="C27" i="45"/>
  <c r="C28" i="45"/>
  <c r="C29" i="45"/>
  <c r="C30" i="45"/>
  <c r="C31" i="45"/>
  <c r="C32" i="45"/>
  <c r="C33" i="45"/>
  <c r="C34" i="45"/>
  <c r="C35" i="45"/>
  <c r="C36" i="45"/>
  <c r="C37" i="45"/>
  <c r="C38" i="45"/>
  <c r="C39" i="45"/>
  <c r="C40" i="45"/>
  <c r="C41" i="45"/>
  <c r="C42" i="45"/>
  <c r="C43" i="45"/>
  <c r="C44" i="45"/>
  <c r="C45" i="45"/>
  <c r="C46" i="45"/>
  <c r="C47" i="45"/>
  <c r="C48" i="45"/>
  <c r="C49" i="45"/>
  <c r="C50" i="45"/>
  <c r="C51" i="45"/>
  <c r="C52" i="45"/>
  <c r="C53" i="45"/>
  <c r="C54" i="45"/>
  <c r="C55" i="45"/>
  <c r="C56" i="45"/>
  <c r="C57" i="45"/>
  <c r="C58" i="45"/>
  <c r="C59" i="45"/>
  <c r="C60" i="45"/>
  <c r="C61" i="45"/>
  <c r="C62" i="45"/>
  <c r="C63" i="45"/>
  <c r="C64" i="45"/>
  <c r="C65" i="45"/>
  <c r="C66" i="45"/>
  <c r="C67" i="45"/>
  <c r="C68" i="45"/>
  <c r="C69" i="45"/>
  <c r="C70" i="45"/>
  <c r="C71" i="45"/>
  <c r="C72" i="45"/>
  <c r="C73" i="45"/>
  <c r="C74" i="45"/>
  <c r="C75" i="45"/>
  <c r="C76" i="45"/>
  <c r="C77" i="45"/>
  <c r="C78" i="45"/>
  <c r="C79" i="45"/>
  <c r="C80" i="45"/>
  <c r="C81" i="45"/>
  <c r="C82" i="45"/>
  <c r="C83" i="45"/>
  <c r="C84" i="45"/>
  <c r="C85" i="45"/>
  <c r="C86" i="45"/>
  <c r="C87" i="45"/>
  <c r="C88" i="45"/>
  <c r="C89" i="45"/>
  <c r="C90" i="45"/>
  <c r="C91" i="45"/>
  <c r="C92" i="45"/>
  <c r="C93" i="45"/>
  <c r="C94" i="45"/>
  <c r="C95" i="45"/>
  <c r="C96" i="45"/>
  <c r="C97" i="45"/>
  <c r="C98" i="45"/>
  <c r="C99" i="45"/>
  <c r="C100" i="45"/>
  <c r="C101" i="45"/>
  <c r="C102" i="45"/>
  <c r="C103" i="45"/>
  <c r="C104" i="45"/>
  <c r="C105" i="45"/>
  <c r="C106" i="45"/>
  <c r="C107" i="45"/>
  <c r="C108" i="45"/>
  <c r="C109" i="45"/>
  <c r="C110" i="45"/>
  <c r="C111" i="45"/>
  <c r="C112" i="45"/>
  <c r="C113" i="45"/>
  <c r="C114" i="45"/>
  <c r="C115" i="45"/>
  <c r="C116" i="45"/>
  <c r="C117" i="45"/>
  <c r="C118" i="45"/>
  <c r="C119" i="45"/>
  <c r="C120" i="45"/>
  <c r="C121" i="45"/>
  <c r="C122" i="45"/>
  <c r="C123" i="45"/>
  <c r="C124" i="45"/>
  <c r="C125" i="45"/>
  <c r="C126" i="45"/>
  <c r="C127" i="45"/>
  <c r="C128" i="45"/>
  <c r="C129" i="45"/>
  <c r="C130" i="45"/>
  <c r="C131" i="45"/>
  <c r="C132" i="45"/>
  <c r="C133" i="45"/>
  <c r="C134" i="45"/>
  <c r="C135" i="45"/>
  <c r="C136" i="45"/>
  <c r="C137" i="45"/>
  <c r="C138" i="45"/>
  <c r="C139" i="45"/>
  <c r="C140" i="45"/>
  <c r="C141" i="45"/>
  <c r="C2" i="45"/>
  <c r="B17" i="43"/>
  <c r="J17" i="43"/>
  <c r="J16" i="43"/>
  <c r="J15" i="43"/>
  <c r="J14" i="43"/>
  <c r="J13" i="43"/>
  <c r="J4" i="43"/>
  <c r="J5" i="43"/>
  <c r="J6" i="43"/>
  <c r="J7" i="43"/>
  <c r="J8" i="43"/>
  <c r="J9" i="43"/>
  <c r="J10" i="43"/>
  <c r="J11" i="43"/>
  <c r="J12" i="43"/>
  <c r="J3" i="43"/>
  <c r="I4" i="43"/>
  <c r="I5" i="43"/>
  <c r="I6" i="43"/>
  <c r="I7" i="43"/>
  <c r="I8" i="43"/>
  <c r="I9" i="43"/>
  <c r="I10" i="43"/>
  <c r="I11" i="43"/>
  <c r="I12" i="43"/>
  <c r="I3" i="43"/>
  <c r="H4" i="43"/>
  <c r="H5" i="43"/>
  <c r="H6" i="43"/>
  <c r="H7" i="43"/>
  <c r="H8" i="43"/>
  <c r="H9" i="43"/>
  <c r="H10" i="43"/>
  <c r="H11" i="43"/>
  <c r="H12" i="43"/>
  <c r="H3" i="43"/>
  <c r="G4" i="43"/>
  <c r="G5" i="43"/>
  <c r="G6" i="43"/>
  <c r="G7" i="43"/>
  <c r="G8" i="43"/>
  <c r="G9" i="43"/>
  <c r="G10" i="43"/>
  <c r="G11" i="43"/>
  <c r="G12" i="43"/>
  <c r="G3" i="43"/>
  <c r="F4" i="43"/>
  <c r="F5" i="43"/>
  <c r="F6" i="43"/>
  <c r="F7" i="43"/>
  <c r="F8" i="43"/>
  <c r="F9" i="43"/>
  <c r="F10" i="43"/>
  <c r="F11" i="43"/>
  <c r="F12" i="43"/>
  <c r="F3" i="43"/>
  <c r="E4" i="43"/>
  <c r="E5" i="43"/>
  <c r="E6" i="43"/>
  <c r="E7" i="43"/>
  <c r="E8" i="43"/>
  <c r="E9" i="43"/>
  <c r="E10" i="43"/>
  <c r="E11" i="43"/>
  <c r="E12" i="43"/>
  <c r="E3" i="43"/>
  <c r="D4" i="43"/>
  <c r="D5" i="43"/>
  <c r="D6" i="43"/>
  <c r="D7" i="43"/>
  <c r="D8" i="43"/>
  <c r="D9" i="43"/>
  <c r="D10" i="43"/>
  <c r="D11" i="43"/>
  <c r="D12" i="43"/>
  <c r="D3" i="43"/>
  <c r="B17" i="42"/>
  <c r="J17" i="42"/>
  <c r="J16" i="42"/>
  <c r="J15" i="42"/>
  <c r="J14" i="42"/>
  <c r="J13" i="42"/>
  <c r="J4" i="42"/>
  <c r="J5" i="42"/>
  <c r="J6" i="42"/>
  <c r="J7" i="42"/>
  <c r="J8" i="42"/>
  <c r="J9" i="42"/>
  <c r="J10" i="42"/>
  <c r="J11" i="42"/>
  <c r="J12" i="42"/>
  <c r="J3" i="42"/>
  <c r="I4" i="42"/>
  <c r="I5" i="42"/>
  <c r="I6" i="42"/>
  <c r="I7" i="42"/>
  <c r="I8" i="42"/>
  <c r="I9" i="42"/>
  <c r="I10" i="42"/>
  <c r="I11" i="42"/>
  <c r="I12" i="42"/>
  <c r="I3" i="42"/>
  <c r="H4" i="42"/>
  <c r="H5" i="42"/>
  <c r="H6" i="42"/>
  <c r="H7" i="42"/>
  <c r="H8" i="42"/>
  <c r="H9" i="42"/>
  <c r="H10" i="42"/>
  <c r="H11" i="42"/>
  <c r="H12" i="42"/>
  <c r="H3" i="42"/>
  <c r="G4" i="42"/>
  <c r="G5" i="42"/>
  <c r="G6" i="42"/>
  <c r="G7" i="42"/>
  <c r="G8" i="42"/>
  <c r="G9" i="42"/>
  <c r="G10" i="42"/>
  <c r="G11" i="42"/>
  <c r="G12" i="42"/>
  <c r="G3" i="42"/>
  <c r="F4" i="42"/>
  <c r="F5" i="42"/>
  <c r="F6" i="42"/>
  <c r="F7" i="42"/>
  <c r="F8" i="42"/>
  <c r="F9" i="42"/>
  <c r="F10" i="42"/>
  <c r="F11" i="42"/>
  <c r="F12" i="42"/>
  <c r="F3" i="42"/>
  <c r="D4" i="42"/>
  <c r="D5" i="42"/>
  <c r="D6" i="42"/>
  <c r="D7" i="42"/>
  <c r="D8" i="42"/>
  <c r="D9" i="42"/>
  <c r="D10" i="42"/>
  <c r="D11" i="42"/>
  <c r="D12" i="42"/>
  <c r="D3" i="42"/>
  <c r="B25" i="41"/>
  <c r="I23" i="41"/>
  <c r="I22" i="41"/>
  <c r="I21" i="41"/>
  <c r="I20" i="41"/>
  <c r="I19" i="41"/>
  <c r="I3" i="41"/>
  <c r="I4" i="41"/>
  <c r="I5" i="41"/>
  <c r="I6" i="41"/>
  <c r="I7" i="41"/>
  <c r="I8" i="41"/>
  <c r="I9" i="41"/>
  <c r="I10" i="41"/>
  <c r="I11" i="41"/>
  <c r="I12" i="41"/>
  <c r="I13" i="41"/>
  <c r="I14" i="41"/>
  <c r="I15" i="41"/>
  <c r="I16" i="41"/>
  <c r="I17" i="41"/>
  <c r="I18" i="41"/>
  <c r="I2" i="41"/>
  <c r="H3" i="41"/>
  <c r="H4" i="41"/>
  <c r="H5" i="41"/>
  <c r="H6" i="41"/>
  <c r="H7" i="41"/>
  <c r="H8" i="41"/>
  <c r="H9" i="41"/>
  <c r="H10" i="41"/>
  <c r="H11" i="41"/>
  <c r="H12" i="41"/>
  <c r="H13" i="41"/>
  <c r="H14" i="41"/>
  <c r="H15" i="41"/>
  <c r="H16" i="41"/>
  <c r="H17" i="41"/>
  <c r="H18" i="41"/>
  <c r="H2" i="41"/>
  <c r="B22" i="41"/>
  <c r="G3" i="41"/>
  <c r="G4" i="41"/>
  <c r="G5" i="41"/>
  <c r="G6" i="41"/>
  <c r="G7" i="41"/>
  <c r="G8" i="41"/>
  <c r="G9" i="41"/>
  <c r="G10" i="41"/>
  <c r="G11" i="41"/>
  <c r="G12" i="41"/>
  <c r="G13" i="41"/>
  <c r="G14" i="41"/>
  <c r="G15" i="41"/>
  <c r="G16" i="41"/>
  <c r="G17" i="41"/>
  <c r="G18" i="41"/>
  <c r="G2" i="41"/>
  <c r="F3" i="41"/>
  <c r="F4" i="41"/>
  <c r="F5" i="41"/>
  <c r="F6" i="41"/>
  <c r="F7" i="41"/>
  <c r="F8" i="41"/>
  <c r="F9" i="41"/>
  <c r="F10" i="41"/>
  <c r="F11" i="41"/>
  <c r="F12" i="41"/>
  <c r="F13" i="41"/>
  <c r="F14" i="41"/>
  <c r="F15" i="41"/>
  <c r="F16" i="41"/>
  <c r="F17" i="41"/>
  <c r="F18" i="41"/>
  <c r="F2" i="41"/>
  <c r="E3" i="41"/>
  <c r="E4" i="41"/>
  <c r="E5" i="41"/>
  <c r="E6" i="41"/>
  <c r="E7" i="41"/>
  <c r="E8" i="41"/>
  <c r="E9" i="41"/>
  <c r="E10" i="41"/>
  <c r="E11" i="41"/>
  <c r="E12" i="41"/>
  <c r="E13" i="41"/>
  <c r="E14" i="41"/>
  <c r="E15" i="41"/>
  <c r="E16" i="41"/>
  <c r="E17" i="41"/>
  <c r="E18" i="41"/>
  <c r="E2" i="41"/>
  <c r="C3" i="41"/>
  <c r="C4" i="41"/>
  <c r="C5" i="41"/>
  <c r="C6" i="41"/>
  <c r="C7" i="41"/>
  <c r="C8" i="41"/>
  <c r="C9" i="41"/>
  <c r="C10" i="41"/>
  <c r="C11" i="41"/>
  <c r="C12" i="41"/>
  <c r="C13" i="41"/>
  <c r="C14" i="41"/>
  <c r="C15" i="41"/>
  <c r="C16" i="41"/>
  <c r="C17" i="41"/>
  <c r="C18" i="41"/>
  <c r="C2" i="41"/>
  <c r="D4" i="40"/>
  <c r="D5" i="40" s="1"/>
  <c r="D6" i="40" s="1"/>
  <c r="D7" i="40" s="1"/>
  <c r="D8" i="40" s="1"/>
  <c r="D9" i="40" s="1"/>
  <c r="D10" i="40" s="1"/>
  <c r="D11" i="40" s="1"/>
  <c r="D12" i="40" s="1"/>
  <c r="D13" i="40" s="1"/>
  <c r="D14" i="40" s="1"/>
  <c r="D15" i="40" s="1"/>
  <c r="D16" i="40" s="1"/>
  <c r="D17" i="40" s="1"/>
  <c r="D18" i="40" s="1"/>
  <c r="D19" i="40" s="1"/>
  <c r="D20" i="40" s="1"/>
  <c r="D21" i="40" s="1"/>
  <c r="D22" i="40" s="1"/>
  <c r="D23" i="40" s="1"/>
  <c r="D24" i="40" s="1"/>
  <c r="D25" i="40" s="1"/>
  <c r="D26" i="40" s="1"/>
  <c r="D27" i="40" s="1"/>
  <c r="D28" i="40" s="1"/>
  <c r="D29" i="40" s="1"/>
  <c r="D30" i="40" s="1"/>
  <c r="D31" i="40" s="1"/>
  <c r="D32" i="40" s="1"/>
  <c r="D33" i="40" s="1"/>
  <c r="D34" i="40" s="1"/>
  <c r="D35" i="40" s="1"/>
  <c r="D36" i="40" s="1"/>
  <c r="D37" i="40" s="1"/>
  <c r="D38" i="40" s="1"/>
  <c r="D39" i="40" s="1"/>
  <c r="D40" i="40" s="1"/>
  <c r="D41" i="40" s="1"/>
  <c r="D42" i="40" s="1"/>
  <c r="D43" i="40" s="1"/>
  <c r="D44" i="40" s="1"/>
  <c r="D45" i="40" s="1"/>
  <c r="D46" i="40" s="1"/>
  <c r="D47" i="40" s="1"/>
  <c r="D48" i="40" s="1"/>
  <c r="D49" i="40" s="1"/>
  <c r="D50" i="40" s="1"/>
  <c r="D51" i="40" s="1"/>
  <c r="D52" i="40" s="1"/>
  <c r="D53" i="40" s="1"/>
  <c r="D54" i="40" s="1"/>
  <c r="D55" i="40" s="1"/>
  <c r="D56" i="40" s="1"/>
  <c r="D57" i="40" s="1"/>
  <c r="D58" i="40" s="1"/>
  <c r="D59" i="40" s="1"/>
  <c r="D60" i="40" s="1"/>
  <c r="D61" i="40" s="1"/>
  <c r="D62" i="40" s="1"/>
  <c r="D63" i="40" s="1"/>
  <c r="D64" i="40" s="1"/>
  <c r="D65" i="40" s="1"/>
  <c r="D66" i="40" s="1"/>
  <c r="D67" i="40" s="1"/>
  <c r="D68" i="40" s="1"/>
  <c r="D69" i="40" s="1"/>
  <c r="D70" i="40" s="1"/>
  <c r="D71" i="40" s="1"/>
  <c r="D72" i="40" s="1"/>
  <c r="D73" i="40" s="1"/>
  <c r="D74" i="40" s="1"/>
  <c r="D75" i="40" s="1"/>
  <c r="D76" i="40" s="1"/>
  <c r="D77" i="40" s="1"/>
  <c r="D78" i="40" s="1"/>
  <c r="D79" i="40" s="1"/>
  <c r="D80" i="40" s="1"/>
  <c r="D81" i="40" s="1"/>
  <c r="D82" i="40" s="1"/>
  <c r="D83" i="40" s="1"/>
  <c r="D84" i="40" s="1"/>
  <c r="D85" i="40" s="1"/>
  <c r="D86" i="40" s="1"/>
  <c r="D87" i="40" s="1"/>
  <c r="D88" i="40" s="1"/>
  <c r="D89" i="40" s="1"/>
  <c r="D90" i="40" s="1"/>
  <c r="D91" i="40" s="1"/>
  <c r="D92" i="40" s="1"/>
  <c r="D93" i="40" s="1"/>
  <c r="D94" i="40" s="1"/>
  <c r="D95" i="40" s="1"/>
  <c r="D96" i="40" s="1"/>
  <c r="D97" i="40" s="1"/>
  <c r="D98" i="40" s="1"/>
  <c r="D99" i="40" s="1"/>
  <c r="D100" i="40" s="1"/>
  <c r="D101" i="40" s="1"/>
  <c r="D102" i="40" s="1"/>
  <c r="D103" i="40" s="1"/>
  <c r="D104" i="40" s="1"/>
  <c r="D105" i="40" s="1"/>
  <c r="D106" i="40" s="1"/>
  <c r="D107" i="40" s="1"/>
  <c r="D108" i="40" s="1"/>
  <c r="D109" i="40" s="1"/>
  <c r="D110" i="40" s="1"/>
  <c r="D111" i="40" s="1"/>
  <c r="D112" i="40" s="1"/>
  <c r="D113" i="40" s="1"/>
  <c r="D114" i="40" s="1"/>
  <c r="D115" i="40" s="1"/>
  <c r="D116" i="40" s="1"/>
  <c r="D117" i="40" s="1"/>
  <c r="D118" i="40" s="1"/>
  <c r="D119" i="40" s="1"/>
  <c r="D120" i="40" s="1"/>
  <c r="D121" i="40" s="1"/>
  <c r="D3" i="40"/>
  <c r="C3" i="40"/>
  <c r="C4" i="40"/>
  <c r="C5" i="40"/>
  <c r="C6" i="40"/>
  <c r="C7" i="40"/>
  <c r="C8" i="40"/>
  <c r="C9" i="40"/>
  <c r="C10" i="40"/>
  <c r="C11" i="40"/>
  <c r="C12" i="40"/>
  <c r="C13" i="40"/>
  <c r="C14" i="40"/>
  <c r="C15" i="40"/>
  <c r="C16" i="40"/>
  <c r="C17" i="40"/>
  <c r="C18" i="40"/>
  <c r="C19" i="40"/>
  <c r="C20" i="40"/>
  <c r="C21" i="40"/>
  <c r="C22" i="40"/>
  <c r="C23" i="40"/>
  <c r="C24" i="40"/>
  <c r="C25" i="40"/>
  <c r="C26" i="40"/>
  <c r="C27" i="40"/>
  <c r="C28" i="40"/>
  <c r="C29" i="40"/>
  <c r="C30" i="40"/>
  <c r="C31" i="40"/>
  <c r="C32" i="40"/>
  <c r="C33" i="40"/>
  <c r="C34" i="40"/>
  <c r="C35" i="40"/>
  <c r="C36" i="40"/>
  <c r="C37" i="40"/>
  <c r="C38" i="40"/>
  <c r="C39" i="40"/>
  <c r="C40" i="40"/>
  <c r="C41" i="40"/>
  <c r="C42" i="40"/>
  <c r="C43" i="40"/>
  <c r="C44" i="40"/>
  <c r="C45" i="40"/>
  <c r="C46" i="40"/>
  <c r="C47" i="40"/>
  <c r="C48" i="40"/>
  <c r="C49" i="40"/>
  <c r="C50" i="40"/>
  <c r="C51" i="40"/>
  <c r="C52" i="40"/>
  <c r="C53" i="40"/>
  <c r="C54" i="40"/>
  <c r="C55" i="40"/>
  <c r="C56" i="40"/>
  <c r="C57" i="40"/>
  <c r="C58" i="40"/>
  <c r="C59" i="40"/>
  <c r="C60" i="40"/>
  <c r="C61" i="40"/>
  <c r="C62" i="40"/>
  <c r="C63" i="40"/>
  <c r="C64" i="40"/>
  <c r="C65" i="40"/>
  <c r="C66" i="40"/>
  <c r="C67" i="40"/>
  <c r="C68" i="40"/>
  <c r="C69" i="40"/>
  <c r="C70" i="40"/>
  <c r="C71" i="40"/>
  <c r="C72" i="40"/>
  <c r="C73" i="40"/>
  <c r="C74" i="40"/>
  <c r="C75" i="40"/>
  <c r="C76" i="40"/>
  <c r="C77" i="40"/>
  <c r="C78" i="40"/>
  <c r="C79" i="40"/>
  <c r="C80" i="40"/>
  <c r="C81" i="40"/>
  <c r="C82" i="40"/>
  <c r="C83" i="40"/>
  <c r="C84" i="40"/>
  <c r="C85" i="40"/>
  <c r="C86" i="40"/>
  <c r="C87" i="40"/>
  <c r="C88" i="40"/>
  <c r="C89" i="40"/>
  <c r="C90" i="40"/>
  <c r="C91" i="40"/>
  <c r="C92" i="40"/>
  <c r="C93" i="40"/>
  <c r="C94" i="40"/>
  <c r="C95" i="40"/>
  <c r="C96" i="40"/>
  <c r="C97" i="40"/>
  <c r="C98" i="40"/>
  <c r="C99" i="40"/>
  <c r="C100" i="40"/>
  <c r="C101" i="40"/>
  <c r="C102" i="40"/>
  <c r="C103" i="40"/>
  <c r="C104" i="40"/>
  <c r="C105" i="40"/>
  <c r="C106" i="40"/>
  <c r="C107" i="40"/>
  <c r="C108" i="40"/>
  <c r="C109" i="40"/>
  <c r="C110" i="40"/>
  <c r="C111" i="40"/>
  <c r="C112" i="40"/>
  <c r="C113" i="40"/>
  <c r="C114" i="40"/>
  <c r="C115" i="40"/>
  <c r="C116" i="40"/>
  <c r="C117" i="40"/>
  <c r="C118" i="40"/>
  <c r="C119" i="40"/>
  <c r="C120" i="40"/>
  <c r="C121" i="40"/>
  <c r="C2" i="40"/>
  <c r="B17" i="39"/>
  <c r="J17" i="39"/>
  <c r="J16" i="39"/>
  <c r="J15" i="39"/>
  <c r="J14" i="39"/>
  <c r="J13" i="39"/>
  <c r="J4" i="39"/>
  <c r="J5" i="39"/>
  <c r="J6" i="39"/>
  <c r="J7" i="39"/>
  <c r="J8" i="39"/>
  <c r="J9" i="39"/>
  <c r="J10" i="39"/>
  <c r="J11" i="39"/>
  <c r="J12" i="39"/>
  <c r="J3" i="39"/>
  <c r="I4" i="39"/>
  <c r="I5" i="39"/>
  <c r="I6" i="39"/>
  <c r="I7" i="39"/>
  <c r="I8" i="39"/>
  <c r="I9" i="39"/>
  <c r="I10" i="39"/>
  <c r="I11" i="39"/>
  <c r="I12" i="39"/>
  <c r="I3" i="39"/>
  <c r="H4" i="39"/>
  <c r="H5" i="39"/>
  <c r="H6" i="39"/>
  <c r="H7" i="39"/>
  <c r="H8" i="39"/>
  <c r="H9" i="39"/>
  <c r="H10" i="39"/>
  <c r="H11" i="39"/>
  <c r="H12" i="39"/>
  <c r="H3" i="39"/>
  <c r="G4" i="39"/>
  <c r="G5" i="39"/>
  <c r="G6" i="39"/>
  <c r="G7" i="39"/>
  <c r="G8" i="39"/>
  <c r="G9" i="39"/>
  <c r="G10" i="39"/>
  <c r="G11" i="39"/>
  <c r="G12" i="39"/>
  <c r="G3" i="39"/>
  <c r="F4" i="39"/>
  <c r="F5" i="39"/>
  <c r="F6" i="39"/>
  <c r="F7" i="39"/>
  <c r="F8" i="39"/>
  <c r="F9" i="39"/>
  <c r="F10" i="39"/>
  <c r="F11" i="39"/>
  <c r="F12" i="39"/>
  <c r="F3" i="39"/>
  <c r="D4" i="39"/>
  <c r="D5" i="39"/>
  <c r="D6" i="39"/>
  <c r="D7" i="39"/>
  <c r="D8" i="39"/>
  <c r="D9" i="39"/>
  <c r="D10" i="39"/>
  <c r="D11" i="39"/>
  <c r="D12" i="39"/>
  <c r="D3" i="39"/>
  <c r="B21" i="38"/>
  <c r="J21" i="38"/>
  <c r="J20" i="38"/>
  <c r="J19" i="38"/>
  <c r="J18" i="38"/>
  <c r="J17" i="38"/>
  <c r="J4" i="38"/>
  <c r="J5" i="38"/>
  <c r="J6" i="38"/>
  <c r="J7" i="38"/>
  <c r="J8" i="38"/>
  <c r="J9" i="38"/>
  <c r="J10" i="38"/>
  <c r="J11" i="38"/>
  <c r="J12" i="38"/>
  <c r="J13" i="38"/>
  <c r="J14" i="38"/>
  <c r="J15" i="38"/>
  <c r="J16" i="38"/>
  <c r="J3" i="38"/>
  <c r="I4" i="38"/>
  <c r="I5" i="38"/>
  <c r="I6" i="38"/>
  <c r="I7" i="38"/>
  <c r="I8" i="38"/>
  <c r="I9" i="38"/>
  <c r="I10" i="38"/>
  <c r="I11" i="38"/>
  <c r="I12" i="38"/>
  <c r="I13" i="38"/>
  <c r="I14" i="38"/>
  <c r="I15" i="38"/>
  <c r="I16" i="38"/>
  <c r="I3" i="38"/>
  <c r="H4" i="38"/>
  <c r="H5" i="38"/>
  <c r="H6" i="38"/>
  <c r="H7" i="38"/>
  <c r="H8" i="38"/>
  <c r="H9" i="38"/>
  <c r="H10" i="38"/>
  <c r="H11" i="38"/>
  <c r="H12" i="38"/>
  <c r="H13" i="38"/>
  <c r="H14" i="38"/>
  <c r="H15" i="38"/>
  <c r="H16" i="38"/>
  <c r="H3" i="38"/>
  <c r="G4" i="38"/>
  <c r="G5" i="38"/>
  <c r="G6" i="38"/>
  <c r="G7" i="38"/>
  <c r="G8" i="38"/>
  <c r="G9" i="38"/>
  <c r="G10" i="38"/>
  <c r="G11" i="38"/>
  <c r="G12" i="38"/>
  <c r="G13" i="38"/>
  <c r="G14" i="38"/>
  <c r="G15" i="38"/>
  <c r="G16" i="38"/>
  <c r="G3" i="38"/>
  <c r="F4" i="38"/>
  <c r="F5" i="38"/>
  <c r="F6" i="38"/>
  <c r="F7" i="38"/>
  <c r="F8" i="38"/>
  <c r="F9" i="38"/>
  <c r="F10" i="38"/>
  <c r="F11" i="38"/>
  <c r="F12" i="38"/>
  <c r="F13" i="38"/>
  <c r="F14" i="38"/>
  <c r="F15" i="38"/>
  <c r="F16" i="38"/>
  <c r="F3" i="38"/>
  <c r="E4" i="38"/>
  <c r="E5" i="38"/>
  <c r="E6" i="38"/>
  <c r="E7" i="38"/>
  <c r="E8" i="38"/>
  <c r="E9" i="38"/>
  <c r="E10" i="38"/>
  <c r="E11" i="38"/>
  <c r="E12" i="38"/>
  <c r="E13" i="38"/>
  <c r="E14" i="38"/>
  <c r="E15" i="38"/>
  <c r="E16" i="38"/>
  <c r="E3" i="38"/>
  <c r="D4" i="38"/>
  <c r="D5" i="38"/>
  <c r="D6" i="38"/>
  <c r="D7" i="38"/>
  <c r="D8" i="38"/>
  <c r="D9" i="38"/>
  <c r="D10" i="38"/>
  <c r="D11" i="38"/>
  <c r="D12" i="38"/>
  <c r="D13" i="38"/>
  <c r="D14" i="38"/>
  <c r="D15" i="38"/>
  <c r="D16" i="38"/>
  <c r="D3" i="38"/>
  <c r="B17" i="37"/>
  <c r="J17" i="37"/>
  <c r="J16" i="37"/>
  <c r="J15" i="37"/>
  <c r="J14" i="37"/>
  <c r="J13" i="37"/>
  <c r="J4" i="37"/>
  <c r="J5" i="37"/>
  <c r="J6" i="37"/>
  <c r="J7" i="37"/>
  <c r="J8" i="37"/>
  <c r="J9" i="37"/>
  <c r="J10" i="37"/>
  <c r="J11" i="37"/>
  <c r="J12" i="37"/>
  <c r="J3" i="37"/>
  <c r="I4" i="37"/>
  <c r="I5" i="37"/>
  <c r="I6" i="37"/>
  <c r="I7" i="37"/>
  <c r="I8" i="37"/>
  <c r="I9" i="37"/>
  <c r="I10" i="37"/>
  <c r="I11" i="37"/>
  <c r="I12" i="37"/>
  <c r="I3" i="37"/>
  <c r="H4" i="37"/>
  <c r="H5" i="37"/>
  <c r="H6" i="37"/>
  <c r="H7" i="37"/>
  <c r="H8" i="37"/>
  <c r="H9" i="37"/>
  <c r="H10" i="37"/>
  <c r="H11" i="37"/>
  <c r="H12" i="37"/>
  <c r="H3" i="37"/>
  <c r="G4" i="37"/>
  <c r="G5" i="37"/>
  <c r="G6" i="37"/>
  <c r="G7" i="37"/>
  <c r="G8" i="37"/>
  <c r="G9" i="37"/>
  <c r="G10" i="37"/>
  <c r="G11" i="37"/>
  <c r="G12" i="37"/>
  <c r="G3" i="37"/>
  <c r="F4" i="37"/>
  <c r="F5" i="37"/>
  <c r="F6" i="37"/>
  <c r="F7" i="37"/>
  <c r="F8" i="37"/>
  <c r="F9" i="37"/>
  <c r="F10" i="37"/>
  <c r="F11" i="37"/>
  <c r="F12" i="37"/>
  <c r="F3" i="37"/>
  <c r="E4" i="37"/>
  <c r="E5" i="37"/>
  <c r="E6" i="37"/>
  <c r="E7" i="37"/>
  <c r="E8" i="37"/>
  <c r="E9" i="37"/>
  <c r="E10" i="37"/>
  <c r="E11" i="37"/>
  <c r="E12" i="37"/>
  <c r="E3" i="37"/>
  <c r="D4" i="37"/>
  <c r="D5" i="37"/>
  <c r="D6" i="37"/>
  <c r="D7" i="37"/>
  <c r="D8" i="37"/>
  <c r="D9" i="37"/>
  <c r="D10" i="37"/>
  <c r="D11" i="37"/>
  <c r="D12" i="37"/>
  <c r="D3" i="37"/>
  <c r="B17" i="36"/>
  <c r="J17" i="36"/>
  <c r="J16" i="36"/>
  <c r="J15" i="36"/>
  <c r="J14" i="36"/>
  <c r="J13" i="36"/>
  <c r="J4" i="36"/>
  <c r="J5" i="36"/>
  <c r="J6" i="36"/>
  <c r="J7" i="36"/>
  <c r="J8" i="36"/>
  <c r="J9" i="36"/>
  <c r="J10" i="36"/>
  <c r="J11" i="36"/>
  <c r="J12" i="36"/>
  <c r="J3" i="36"/>
  <c r="I4" i="36"/>
  <c r="I5" i="36"/>
  <c r="I6" i="36"/>
  <c r="I7" i="36"/>
  <c r="I8" i="36"/>
  <c r="I9" i="36"/>
  <c r="I10" i="36"/>
  <c r="I11" i="36"/>
  <c r="I12" i="36"/>
  <c r="I3" i="36"/>
  <c r="H4" i="36"/>
  <c r="H5" i="36"/>
  <c r="H6" i="36"/>
  <c r="H7" i="36"/>
  <c r="H8" i="36"/>
  <c r="H9" i="36"/>
  <c r="H10" i="36"/>
  <c r="H11" i="36"/>
  <c r="H12" i="36"/>
  <c r="H3" i="36"/>
  <c r="G4" i="36"/>
  <c r="G5" i="36"/>
  <c r="G6" i="36"/>
  <c r="G7" i="36"/>
  <c r="G8" i="36"/>
  <c r="G9" i="36"/>
  <c r="G10" i="36"/>
  <c r="G11" i="36"/>
  <c r="G12" i="36"/>
  <c r="G3" i="36"/>
  <c r="F4" i="36"/>
  <c r="F5" i="36"/>
  <c r="F6" i="36"/>
  <c r="F7" i="36"/>
  <c r="F8" i="36"/>
  <c r="F9" i="36"/>
  <c r="F10" i="36"/>
  <c r="F11" i="36"/>
  <c r="F12" i="36"/>
  <c r="F3" i="36"/>
  <c r="D4" i="36"/>
  <c r="D5" i="36"/>
  <c r="D6" i="36"/>
  <c r="D7" i="36"/>
  <c r="D8" i="36"/>
  <c r="D9" i="36"/>
  <c r="D10" i="36"/>
  <c r="D11" i="36"/>
  <c r="D12" i="36"/>
  <c r="D3" i="36"/>
  <c r="B22" i="35"/>
  <c r="I20" i="35"/>
  <c r="I19" i="35"/>
  <c r="I18" i="35"/>
  <c r="I17" i="35"/>
  <c r="I16" i="35"/>
  <c r="I3" i="35"/>
  <c r="I4" i="35"/>
  <c r="I5" i="35"/>
  <c r="I6" i="35"/>
  <c r="I7" i="35"/>
  <c r="I8" i="35"/>
  <c r="I9" i="35"/>
  <c r="I10" i="35"/>
  <c r="I11" i="35"/>
  <c r="I12" i="35"/>
  <c r="I13" i="35"/>
  <c r="I14" i="35"/>
  <c r="I15" i="35"/>
  <c r="I2" i="35"/>
  <c r="H3" i="35"/>
  <c r="H4" i="35"/>
  <c r="H5" i="35"/>
  <c r="H6" i="35"/>
  <c r="H7" i="35"/>
  <c r="H8" i="35"/>
  <c r="H9" i="35"/>
  <c r="H10" i="35"/>
  <c r="H11" i="35"/>
  <c r="H12" i="35"/>
  <c r="H13" i="35"/>
  <c r="H14" i="35"/>
  <c r="H15" i="35"/>
  <c r="H2" i="35"/>
  <c r="G3" i="35"/>
  <c r="G4" i="35"/>
  <c r="G5" i="35"/>
  <c r="G6" i="35"/>
  <c r="G7" i="35"/>
  <c r="G8" i="35"/>
  <c r="G9" i="35"/>
  <c r="G10" i="35"/>
  <c r="G11" i="35"/>
  <c r="G12" i="35"/>
  <c r="G13" i="35"/>
  <c r="G14" i="35"/>
  <c r="G15" i="35"/>
  <c r="G2" i="35"/>
  <c r="F3" i="35"/>
  <c r="F4" i="35"/>
  <c r="F5" i="35"/>
  <c r="F6" i="35"/>
  <c r="F7" i="35"/>
  <c r="F8" i="35"/>
  <c r="F9" i="35"/>
  <c r="F10" i="35"/>
  <c r="F11" i="35"/>
  <c r="F12" i="35"/>
  <c r="F13" i="35"/>
  <c r="F14" i="35"/>
  <c r="F15" i="35"/>
  <c r="F2" i="35"/>
  <c r="B19" i="35"/>
  <c r="E3" i="35"/>
  <c r="E4" i="35"/>
  <c r="E5" i="35"/>
  <c r="E6" i="35"/>
  <c r="E7" i="35"/>
  <c r="E8" i="35"/>
  <c r="E9" i="35"/>
  <c r="E10" i="35"/>
  <c r="E11" i="35"/>
  <c r="E12" i="35"/>
  <c r="E13" i="35"/>
  <c r="E14" i="35"/>
  <c r="E15" i="35"/>
  <c r="E2" i="35"/>
  <c r="C3" i="35"/>
  <c r="C4" i="35"/>
  <c r="C5" i="35"/>
  <c r="C6" i="35"/>
  <c r="C7" i="35"/>
  <c r="C8" i="35"/>
  <c r="C9" i="35"/>
  <c r="C10" i="35"/>
  <c r="C11" i="35"/>
  <c r="C12" i="35"/>
  <c r="C13" i="35"/>
  <c r="C14" i="35"/>
  <c r="C15" i="35"/>
  <c r="C2" i="35"/>
  <c r="D4" i="34"/>
  <c r="D5" i="34" s="1"/>
  <c r="D6" i="34" s="1"/>
  <c r="D7" i="34" s="1"/>
  <c r="D8" i="34" s="1"/>
  <c r="D9" i="34" s="1"/>
  <c r="D10" i="34" s="1"/>
  <c r="D11" i="34" s="1"/>
  <c r="D12" i="34" s="1"/>
  <c r="D13" i="34" s="1"/>
  <c r="D14" i="34" s="1"/>
  <c r="D15" i="34" s="1"/>
  <c r="D16" i="34" s="1"/>
  <c r="D17" i="34" s="1"/>
  <c r="D18" i="34" s="1"/>
  <c r="D19" i="34" s="1"/>
  <c r="D20" i="34" s="1"/>
  <c r="D21" i="34" s="1"/>
  <c r="D22" i="34" s="1"/>
  <c r="D23" i="34" s="1"/>
  <c r="D24" i="34" s="1"/>
  <c r="D25" i="34" s="1"/>
  <c r="D26" i="34" s="1"/>
  <c r="D27" i="34" s="1"/>
  <c r="D28" i="34" s="1"/>
  <c r="D29" i="34" s="1"/>
  <c r="D30" i="34" s="1"/>
  <c r="D31" i="34" s="1"/>
  <c r="D32" i="34" s="1"/>
  <c r="D33" i="34" s="1"/>
  <c r="D34" i="34" s="1"/>
  <c r="D35" i="34" s="1"/>
  <c r="D36" i="34" s="1"/>
  <c r="D37" i="34" s="1"/>
  <c r="D38" i="34" s="1"/>
  <c r="D39" i="34" s="1"/>
  <c r="D40" i="34" s="1"/>
  <c r="D41" i="34" s="1"/>
  <c r="D42" i="34" s="1"/>
  <c r="D43" i="34" s="1"/>
  <c r="D44" i="34" s="1"/>
  <c r="D45" i="34" s="1"/>
  <c r="D46" i="34" s="1"/>
  <c r="D47" i="34" s="1"/>
  <c r="D48" i="34" s="1"/>
  <c r="D49" i="34" s="1"/>
  <c r="D50" i="34" s="1"/>
  <c r="D51" i="34" s="1"/>
  <c r="D52" i="34" s="1"/>
  <c r="D53" i="34" s="1"/>
  <c r="D54" i="34" s="1"/>
  <c r="D55" i="34" s="1"/>
  <c r="D56" i="34" s="1"/>
  <c r="D57" i="34" s="1"/>
  <c r="D58" i="34" s="1"/>
  <c r="D59" i="34" s="1"/>
  <c r="D60" i="34" s="1"/>
  <c r="D61" i="34" s="1"/>
  <c r="D62" i="34" s="1"/>
  <c r="D63" i="34" s="1"/>
  <c r="D64" i="34" s="1"/>
  <c r="D65" i="34" s="1"/>
  <c r="D66" i="34" s="1"/>
  <c r="D67" i="34" s="1"/>
  <c r="D68" i="34" s="1"/>
  <c r="D69" i="34" s="1"/>
  <c r="D70" i="34" s="1"/>
  <c r="D71" i="34" s="1"/>
  <c r="D72" i="34" s="1"/>
  <c r="D73" i="34" s="1"/>
  <c r="D74" i="34" s="1"/>
  <c r="D75" i="34" s="1"/>
  <c r="D76" i="34" s="1"/>
  <c r="D77" i="34" s="1"/>
  <c r="D78" i="34" s="1"/>
  <c r="D79" i="34" s="1"/>
  <c r="D80" i="34" s="1"/>
  <c r="D81" i="34" s="1"/>
  <c r="D82" i="34" s="1"/>
  <c r="D83" i="34" s="1"/>
  <c r="D84" i="34" s="1"/>
  <c r="D85" i="34" s="1"/>
  <c r="D3" i="34"/>
  <c r="C2" i="34"/>
  <c r="C3" i="34"/>
  <c r="C4" i="34"/>
  <c r="C5" i="34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41" i="34"/>
  <c r="C42" i="34"/>
  <c r="C43" i="34"/>
  <c r="C44" i="34"/>
  <c r="C45" i="34"/>
  <c r="C46" i="34"/>
  <c r="C47" i="34"/>
  <c r="C48" i="34"/>
  <c r="C49" i="34"/>
  <c r="C50" i="34"/>
  <c r="C51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C64" i="34"/>
  <c r="C65" i="34"/>
  <c r="C66" i="34"/>
  <c r="C67" i="34"/>
  <c r="C68" i="34"/>
  <c r="C69" i="34"/>
  <c r="C70" i="34"/>
  <c r="C71" i="34"/>
  <c r="C72" i="34"/>
  <c r="C73" i="34"/>
  <c r="C74" i="34"/>
  <c r="C75" i="34"/>
  <c r="C76" i="34"/>
  <c r="C77" i="34"/>
  <c r="C78" i="34"/>
  <c r="C79" i="34"/>
  <c r="C80" i="34"/>
  <c r="C81" i="34"/>
  <c r="C82" i="34"/>
  <c r="C83" i="34"/>
  <c r="C84" i="34"/>
  <c r="C85" i="34"/>
  <c r="B20" i="33"/>
  <c r="I18" i="33"/>
  <c r="I17" i="33"/>
  <c r="I16" i="33"/>
  <c r="I15" i="33"/>
  <c r="I14" i="33"/>
  <c r="I3" i="33"/>
  <c r="I4" i="33"/>
  <c r="I5" i="33"/>
  <c r="I6" i="33"/>
  <c r="I7" i="33"/>
  <c r="I8" i="33"/>
  <c r="I9" i="33"/>
  <c r="I10" i="33"/>
  <c r="I11" i="33"/>
  <c r="I12" i="33"/>
  <c r="I13" i="33"/>
  <c r="I2" i="33"/>
  <c r="H3" i="33"/>
  <c r="H4" i="33"/>
  <c r="H5" i="33"/>
  <c r="H6" i="33"/>
  <c r="H7" i="33"/>
  <c r="H8" i="33"/>
  <c r="H9" i="33"/>
  <c r="H10" i="33"/>
  <c r="H11" i="33"/>
  <c r="H12" i="33"/>
  <c r="H13" i="33"/>
  <c r="H2" i="33"/>
  <c r="B17" i="33"/>
  <c r="E3" i="33"/>
  <c r="E4" i="33"/>
  <c r="E5" i="33"/>
  <c r="E6" i="33"/>
  <c r="E7" i="33"/>
  <c r="E8" i="33"/>
  <c r="E9" i="33"/>
  <c r="E10" i="33"/>
  <c r="E11" i="33"/>
  <c r="E12" i="33"/>
  <c r="E13" i="33"/>
  <c r="E2" i="33"/>
  <c r="C3" i="33"/>
  <c r="F3" i="33" s="1"/>
  <c r="G3" i="33" s="1"/>
  <c r="C4" i="33"/>
  <c r="F4" i="33" s="1"/>
  <c r="G4" i="33" s="1"/>
  <c r="C5" i="33"/>
  <c r="C6" i="33"/>
  <c r="C7" i="33"/>
  <c r="F7" i="33" s="1"/>
  <c r="G7" i="33" s="1"/>
  <c r="C8" i="33"/>
  <c r="F8" i="33" s="1"/>
  <c r="G8" i="33" s="1"/>
  <c r="C9" i="33"/>
  <c r="F9" i="33" s="1"/>
  <c r="G9" i="33" s="1"/>
  <c r="C10" i="33"/>
  <c r="F10" i="33" s="1"/>
  <c r="G10" i="33" s="1"/>
  <c r="C11" i="33"/>
  <c r="F11" i="33" s="1"/>
  <c r="G11" i="33" s="1"/>
  <c r="C12" i="33"/>
  <c r="F12" i="33" s="1"/>
  <c r="G12" i="33" s="1"/>
  <c r="C13" i="33"/>
  <c r="C2" i="33"/>
  <c r="B12" i="31"/>
  <c r="I11" i="31"/>
  <c r="I10" i="31"/>
  <c r="I9" i="31"/>
  <c r="I8" i="31"/>
  <c r="I7" i="31"/>
  <c r="I3" i="31"/>
  <c r="I4" i="31"/>
  <c r="I5" i="31"/>
  <c r="I6" i="31"/>
  <c r="I2" i="31"/>
  <c r="H3" i="31"/>
  <c r="H4" i="31"/>
  <c r="H5" i="31"/>
  <c r="H6" i="31"/>
  <c r="H2" i="31"/>
  <c r="B9" i="31"/>
  <c r="G3" i="31"/>
  <c r="G4" i="31"/>
  <c r="G5" i="31"/>
  <c r="G6" i="31"/>
  <c r="G2" i="31"/>
  <c r="F3" i="31"/>
  <c r="F4" i="31"/>
  <c r="F5" i="31"/>
  <c r="F6" i="31"/>
  <c r="F2" i="31"/>
  <c r="E3" i="31"/>
  <c r="E4" i="31"/>
  <c r="E5" i="31"/>
  <c r="E6" i="31"/>
  <c r="E2" i="31"/>
  <c r="C3" i="31"/>
  <c r="C4" i="31"/>
  <c r="C5" i="31"/>
  <c r="C6" i="31"/>
  <c r="C2" i="31"/>
  <c r="B21" i="29"/>
  <c r="J21" i="29"/>
  <c r="J20" i="29"/>
  <c r="J19" i="29"/>
  <c r="J18" i="29"/>
  <c r="J17" i="29"/>
  <c r="J4" i="29"/>
  <c r="J5" i="29"/>
  <c r="J6" i="29"/>
  <c r="J7" i="29"/>
  <c r="J8" i="29"/>
  <c r="J9" i="29"/>
  <c r="J10" i="29"/>
  <c r="J11" i="29"/>
  <c r="J12" i="29"/>
  <c r="J13" i="29"/>
  <c r="J14" i="29"/>
  <c r="J15" i="29"/>
  <c r="J16" i="29"/>
  <c r="J3" i="29"/>
  <c r="I4" i="29"/>
  <c r="I5" i="29"/>
  <c r="I6" i="29"/>
  <c r="I7" i="29"/>
  <c r="I8" i="29"/>
  <c r="I9" i="29"/>
  <c r="I10" i="29"/>
  <c r="I11" i="29"/>
  <c r="I12" i="29"/>
  <c r="I13" i="29"/>
  <c r="I14" i="29"/>
  <c r="I15" i="29"/>
  <c r="I16" i="29"/>
  <c r="I3" i="29"/>
  <c r="H4" i="29"/>
  <c r="H5" i="29"/>
  <c r="H6" i="29"/>
  <c r="H7" i="29"/>
  <c r="H8" i="29"/>
  <c r="H9" i="29"/>
  <c r="H10" i="29"/>
  <c r="H11" i="29"/>
  <c r="H12" i="29"/>
  <c r="H13" i="29"/>
  <c r="H14" i="29"/>
  <c r="H15" i="29"/>
  <c r="H16" i="29"/>
  <c r="H3" i="29"/>
  <c r="G4" i="29"/>
  <c r="G5" i="29"/>
  <c r="G6" i="29"/>
  <c r="G7" i="29"/>
  <c r="G8" i="29"/>
  <c r="G9" i="29"/>
  <c r="G10" i="29"/>
  <c r="G11" i="29"/>
  <c r="G12" i="29"/>
  <c r="G13" i="29"/>
  <c r="G14" i="29"/>
  <c r="G15" i="29"/>
  <c r="G16" i="29"/>
  <c r="G3" i="29"/>
  <c r="F4" i="29"/>
  <c r="F5" i="29"/>
  <c r="F6" i="29"/>
  <c r="F7" i="29"/>
  <c r="F8" i="29"/>
  <c r="F9" i="29"/>
  <c r="F10" i="29"/>
  <c r="F11" i="29"/>
  <c r="F12" i="29"/>
  <c r="F13" i="29"/>
  <c r="F14" i="29"/>
  <c r="F15" i="29"/>
  <c r="F16" i="29"/>
  <c r="F3" i="29"/>
  <c r="D4" i="29"/>
  <c r="D5" i="29"/>
  <c r="D6" i="29"/>
  <c r="D7" i="29"/>
  <c r="D8" i="29"/>
  <c r="D9" i="29"/>
  <c r="D10" i="29"/>
  <c r="D11" i="29"/>
  <c r="D12" i="29"/>
  <c r="D13" i="29"/>
  <c r="D14" i="29"/>
  <c r="D15" i="29"/>
  <c r="D16" i="29"/>
  <c r="D3" i="29"/>
  <c r="B17" i="28"/>
  <c r="J17" i="28"/>
  <c r="J16" i="28"/>
  <c r="J15" i="28"/>
  <c r="J14" i="28"/>
  <c r="J13" i="28"/>
  <c r="J4" i="28"/>
  <c r="J5" i="28"/>
  <c r="J6" i="28"/>
  <c r="J7" i="28"/>
  <c r="J8" i="28"/>
  <c r="J9" i="28"/>
  <c r="J10" i="28"/>
  <c r="J11" i="28"/>
  <c r="J12" i="28"/>
  <c r="J3" i="28"/>
  <c r="I4" i="28"/>
  <c r="I5" i="28"/>
  <c r="I6" i="28"/>
  <c r="I7" i="28"/>
  <c r="I8" i="28"/>
  <c r="I9" i="28"/>
  <c r="I10" i="28"/>
  <c r="I11" i="28"/>
  <c r="I12" i="28"/>
  <c r="I3" i="28"/>
  <c r="H4" i="28"/>
  <c r="H5" i="28"/>
  <c r="H6" i="28"/>
  <c r="H7" i="28"/>
  <c r="H8" i="28"/>
  <c r="H9" i="28"/>
  <c r="H10" i="28"/>
  <c r="H11" i="28"/>
  <c r="H12" i="28"/>
  <c r="H3" i="28"/>
  <c r="G4" i="28"/>
  <c r="G5" i="28"/>
  <c r="G6" i="28"/>
  <c r="G7" i="28"/>
  <c r="G8" i="28"/>
  <c r="G9" i="28"/>
  <c r="G10" i="28"/>
  <c r="G11" i="28"/>
  <c r="G12" i="28"/>
  <c r="G3" i="28"/>
  <c r="F4" i="28"/>
  <c r="F5" i="28"/>
  <c r="F6" i="28"/>
  <c r="F7" i="28"/>
  <c r="F8" i="28"/>
  <c r="F9" i="28"/>
  <c r="F10" i="28"/>
  <c r="F11" i="28"/>
  <c r="F12" i="28"/>
  <c r="F3" i="28"/>
  <c r="D4" i="28"/>
  <c r="D5" i="28"/>
  <c r="D6" i="28"/>
  <c r="D7" i="28"/>
  <c r="D8" i="28"/>
  <c r="D9" i="28"/>
  <c r="D10" i="28"/>
  <c r="D11" i="28"/>
  <c r="D12" i="28"/>
  <c r="D3" i="28"/>
  <c r="B17" i="27"/>
  <c r="J17" i="27"/>
  <c r="J16" i="27"/>
  <c r="J15" i="27"/>
  <c r="J14" i="27"/>
  <c r="J13" i="27"/>
  <c r="J4" i="27"/>
  <c r="J5" i="27"/>
  <c r="J6" i="27"/>
  <c r="J7" i="27"/>
  <c r="J8" i="27"/>
  <c r="J9" i="27"/>
  <c r="J10" i="27"/>
  <c r="J11" i="27"/>
  <c r="J12" i="27"/>
  <c r="J3" i="27"/>
  <c r="I4" i="27"/>
  <c r="I5" i="27"/>
  <c r="I6" i="27"/>
  <c r="I7" i="27"/>
  <c r="I8" i="27"/>
  <c r="I9" i="27"/>
  <c r="I10" i="27"/>
  <c r="I11" i="27"/>
  <c r="I12" i="27"/>
  <c r="I3" i="27"/>
  <c r="H4" i="27"/>
  <c r="H5" i="27"/>
  <c r="H6" i="27"/>
  <c r="H7" i="27"/>
  <c r="H8" i="27"/>
  <c r="H9" i="27"/>
  <c r="H10" i="27"/>
  <c r="H11" i="27"/>
  <c r="H12" i="27"/>
  <c r="H3" i="27"/>
  <c r="G4" i="27"/>
  <c r="G5" i="27"/>
  <c r="G6" i="27"/>
  <c r="G7" i="27"/>
  <c r="G8" i="27"/>
  <c r="G9" i="27"/>
  <c r="G10" i="27"/>
  <c r="G11" i="27"/>
  <c r="G12" i="27"/>
  <c r="G3" i="27"/>
  <c r="F4" i="27"/>
  <c r="F5" i="27"/>
  <c r="F6" i="27"/>
  <c r="F7" i="27"/>
  <c r="F8" i="27"/>
  <c r="F9" i="27"/>
  <c r="F10" i="27"/>
  <c r="F11" i="27"/>
  <c r="F12" i="27"/>
  <c r="F3" i="27"/>
  <c r="E4" i="27"/>
  <c r="E5" i="27"/>
  <c r="E6" i="27"/>
  <c r="E7" i="27"/>
  <c r="E8" i="27"/>
  <c r="E9" i="27"/>
  <c r="E10" i="27"/>
  <c r="E11" i="27"/>
  <c r="E12" i="27"/>
  <c r="E3" i="27"/>
  <c r="D4" i="27"/>
  <c r="D5" i="27"/>
  <c r="D6" i="27"/>
  <c r="D7" i="27"/>
  <c r="D8" i="27"/>
  <c r="D9" i="27"/>
  <c r="D10" i="27"/>
  <c r="D11" i="27"/>
  <c r="D12" i="27"/>
  <c r="D3" i="27"/>
  <c r="B17" i="26"/>
  <c r="J17" i="26"/>
  <c r="J16" i="26"/>
  <c r="J15" i="26"/>
  <c r="J14" i="26"/>
  <c r="J13" i="26"/>
  <c r="J4" i="26"/>
  <c r="J5" i="26"/>
  <c r="J6" i="26"/>
  <c r="J7" i="26"/>
  <c r="J8" i="26"/>
  <c r="J9" i="26"/>
  <c r="J10" i="26"/>
  <c r="J11" i="26"/>
  <c r="J12" i="26"/>
  <c r="J3" i="26"/>
  <c r="I4" i="26"/>
  <c r="I5" i="26"/>
  <c r="I6" i="26"/>
  <c r="I7" i="26"/>
  <c r="I8" i="26"/>
  <c r="I9" i="26"/>
  <c r="I10" i="26"/>
  <c r="I11" i="26"/>
  <c r="I12" i="26"/>
  <c r="I3" i="26"/>
  <c r="H4" i="26"/>
  <c r="H5" i="26"/>
  <c r="H6" i="26"/>
  <c r="H7" i="26"/>
  <c r="H8" i="26"/>
  <c r="H9" i="26"/>
  <c r="H10" i="26"/>
  <c r="H11" i="26"/>
  <c r="H12" i="26"/>
  <c r="H3" i="26"/>
  <c r="G4" i="26"/>
  <c r="G5" i="26"/>
  <c r="G6" i="26"/>
  <c r="G7" i="26"/>
  <c r="G8" i="26"/>
  <c r="G9" i="26"/>
  <c r="G10" i="26"/>
  <c r="G11" i="26"/>
  <c r="G12" i="26"/>
  <c r="G3" i="26"/>
  <c r="F4" i="26"/>
  <c r="F5" i="26"/>
  <c r="F6" i="26"/>
  <c r="F7" i="26"/>
  <c r="F8" i="26"/>
  <c r="F9" i="26"/>
  <c r="F10" i="26"/>
  <c r="F11" i="26"/>
  <c r="F12" i="26"/>
  <c r="F3" i="26"/>
  <c r="D4" i="26"/>
  <c r="D5" i="26"/>
  <c r="D6" i="26"/>
  <c r="D7" i="26"/>
  <c r="D8" i="26"/>
  <c r="D9" i="26"/>
  <c r="D10" i="26"/>
  <c r="D11" i="26"/>
  <c r="D12" i="26"/>
  <c r="D3" i="26"/>
  <c r="C3" i="25"/>
  <c r="E3" i="25" s="1"/>
  <c r="C4" i="25"/>
  <c r="E4" i="25" s="1"/>
  <c r="C5" i="25"/>
  <c r="E5" i="25" s="1"/>
  <c r="C6" i="25"/>
  <c r="E6" i="25" s="1"/>
  <c r="C7" i="25"/>
  <c r="E7" i="25" s="1"/>
  <c r="C8" i="25"/>
  <c r="E8" i="25" s="1"/>
  <c r="C9" i="25"/>
  <c r="E9" i="25" s="1"/>
  <c r="C10" i="25"/>
  <c r="E10" i="25" s="1"/>
  <c r="C11" i="25"/>
  <c r="E11" i="25" s="1"/>
  <c r="C12" i="25"/>
  <c r="E12" i="25" s="1"/>
  <c r="C13" i="25"/>
  <c r="E13" i="25" s="1"/>
  <c r="C14" i="25"/>
  <c r="E14" i="25" s="1"/>
  <c r="C15" i="25"/>
  <c r="E15" i="25" s="1"/>
  <c r="C16" i="25"/>
  <c r="E16" i="25" s="1"/>
  <c r="C17" i="25"/>
  <c r="E17" i="25" s="1"/>
  <c r="C18" i="25"/>
  <c r="E18" i="25" s="1"/>
  <c r="C19" i="25"/>
  <c r="E19" i="25" s="1"/>
  <c r="C20" i="25"/>
  <c r="E20" i="25" s="1"/>
  <c r="C21" i="25"/>
  <c r="E21" i="25" s="1"/>
  <c r="C22" i="25"/>
  <c r="E22" i="25" s="1"/>
  <c r="C23" i="25"/>
  <c r="E23" i="25" s="1"/>
  <c r="C24" i="25"/>
  <c r="E24" i="25" s="1"/>
  <c r="C25" i="25"/>
  <c r="E25" i="25" s="1"/>
  <c r="C26" i="25"/>
  <c r="E26" i="25" s="1"/>
  <c r="C27" i="25"/>
  <c r="E27" i="25" s="1"/>
  <c r="C28" i="25"/>
  <c r="E28" i="25" s="1"/>
  <c r="C29" i="25"/>
  <c r="E29" i="25" s="1"/>
  <c r="C30" i="25"/>
  <c r="E30" i="25" s="1"/>
  <c r="C31" i="25"/>
  <c r="E31" i="25" s="1"/>
  <c r="C32" i="25"/>
  <c r="E32" i="25" s="1"/>
  <c r="C33" i="25"/>
  <c r="E33" i="25" s="1"/>
  <c r="C34" i="25"/>
  <c r="E34" i="25" s="1"/>
  <c r="C35" i="25"/>
  <c r="E35" i="25" s="1"/>
  <c r="C36" i="25"/>
  <c r="E36" i="25" s="1"/>
  <c r="C37" i="25"/>
  <c r="E37" i="25" s="1"/>
  <c r="C38" i="25"/>
  <c r="E38" i="25" s="1"/>
  <c r="C39" i="25"/>
  <c r="E39" i="25" s="1"/>
  <c r="C40" i="25"/>
  <c r="E40" i="25" s="1"/>
  <c r="C41" i="25"/>
  <c r="E41" i="25" s="1"/>
  <c r="C42" i="25"/>
  <c r="E42" i="25" s="1"/>
  <c r="C43" i="25"/>
  <c r="E43" i="25" s="1"/>
  <c r="C44" i="25"/>
  <c r="E44" i="25" s="1"/>
  <c r="C45" i="25"/>
  <c r="E45" i="25" s="1"/>
  <c r="C46" i="25"/>
  <c r="E46" i="25" s="1"/>
  <c r="C47" i="25"/>
  <c r="E47" i="25" s="1"/>
  <c r="C48" i="25"/>
  <c r="E48" i="25" s="1"/>
  <c r="C49" i="25"/>
  <c r="E49" i="25" s="1"/>
  <c r="C50" i="25"/>
  <c r="E50" i="25" s="1"/>
  <c r="C51" i="25"/>
  <c r="E51" i="25" s="1"/>
  <c r="C52" i="25"/>
  <c r="E52" i="25" s="1"/>
  <c r="C53" i="25"/>
  <c r="E53" i="25" s="1"/>
  <c r="C54" i="25"/>
  <c r="E54" i="25" s="1"/>
  <c r="C55" i="25"/>
  <c r="E55" i="25" s="1"/>
  <c r="C56" i="25"/>
  <c r="E56" i="25" s="1"/>
  <c r="C57" i="25"/>
  <c r="E57" i="25" s="1"/>
  <c r="C58" i="25"/>
  <c r="E58" i="25" s="1"/>
  <c r="C59" i="25"/>
  <c r="E59" i="25" s="1"/>
  <c r="C60" i="25"/>
  <c r="E60" i="25" s="1"/>
  <c r="C61" i="25"/>
  <c r="E61" i="25" s="1"/>
  <c r="C62" i="25"/>
  <c r="E62" i="25" s="1"/>
  <c r="C2" i="25"/>
  <c r="E2" i="25" s="1"/>
  <c r="B22" i="24"/>
  <c r="E22" i="24"/>
  <c r="E21" i="24"/>
  <c r="E20" i="24"/>
  <c r="E19" i="24"/>
  <c r="E18" i="24"/>
  <c r="E3" i="24"/>
  <c r="E4" i="24"/>
  <c r="E5" i="24"/>
  <c r="E6" i="24"/>
  <c r="E7" i="24"/>
  <c r="E8" i="24"/>
  <c r="E9" i="24"/>
  <c r="E10" i="24"/>
  <c r="E11" i="24"/>
  <c r="E12" i="24"/>
  <c r="E13" i="24"/>
  <c r="E14" i="24"/>
  <c r="E15" i="24"/>
  <c r="E16" i="24"/>
  <c r="E17" i="24"/>
  <c r="E2" i="24"/>
  <c r="D3" i="24"/>
  <c r="D4" i="24"/>
  <c r="D5" i="24"/>
  <c r="D6" i="24"/>
  <c r="D7" i="24"/>
  <c r="D8" i="24"/>
  <c r="D9" i="24"/>
  <c r="D10" i="24"/>
  <c r="D11" i="24"/>
  <c r="D12" i="24"/>
  <c r="D13" i="24"/>
  <c r="D14" i="24"/>
  <c r="D15" i="24"/>
  <c r="D16" i="24"/>
  <c r="D17" i="24"/>
  <c r="D2" i="24"/>
  <c r="C3" i="24"/>
  <c r="C4" i="24"/>
  <c r="C5" i="24"/>
  <c r="C6" i="24"/>
  <c r="C7" i="24"/>
  <c r="C8" i="24"/>
  <c r="C9" i="24"/>
  <c r="C10" i="24"/>
  <c r="C11" i="24"/>
  <c r="C12" i="24"/>
  <c r="C13" i="24"/>
  <c r="C14" i="24"/>
  <c r="C15" i="24"/>
  <c r="C16" i="24"/>
  <c r="C17" i="24"/>
  <c r="C2" i="24"/>
  <c r="C3" i="23"/>
  <c r="E3" i="23" s="1"/>
  <c r="F3" i="23" s="1"/>
  <c r="C4" i="23"/>
  <c r="E4" i="23" s="1"/>
  <c r="F4" i="23" s="1"/>
  <c r="C5" i="23"/>
  <c r="E5" i="23" s="1"/>
  <c r="F5" i="23" s="1"/>
  <c r="C6" i="23"/>
  <c r="E6" i="23" s="1"/>
  <c r="F6" i="23" s="1"/>
  <c r="C7" i="23"/>
  <c r="E7" i="23" s="1"/>
  <c r="F7" i="23" s="1"/>
  <c r="C8" i="23"/>
  <c r="E8" i="23" s="1"/>
  <c r="F8" i="23" s="1"/>
  <c r="C9" i="23"/>
  <c r="E9" i="23" s="1"/>
  <c r="F9" i="23" s="1"/>
  <c r="C10" i="23"/>
  <c r="E10" i="23" s="1"/>
  <c r="F10" i="23" s="1"/>
  <c r="C11" i="23"/>
  <c r="E11" i="23" s="1"/>
  <c r="F11" i="23" s="1"/>
  <c r="C12" i="23"/>
  <c r="E12" i="23" s="1"/>
  <c r="F12" i="23" s="1"/>
  <c r="C13" i="23"/>
  <c r="E13" i="23" s="1"/>
  <c r="F13" i="23" s="1"/>
  <c r="C14" i="23"/>
  <c r="E14" i="23" s="1"/>
  <c r="F14" i="23" s="1"/>
  <c r="C15" i="23"/>
  <c r="E15" i="23" s="1"/>
  <c r="F15" i="23" s="1"/>
  <c r="C16" i="23"/>
  <c r="E16" i="23" s="1"/>
  <c r="F16" i="23" s="1"/>
  <c r="C17" i="23"/>
  <c r="E17" i="23" s="1"/>
  <c r="F17" i="23" s="1"/>
  <c r="C18" i="23"/>
  <c r="E18" i="23" s="1"/>
  <c r="F18" i="23" s="1"/>
  <c r="C19" i="23"/>
  <c r="E19" i="23" s="1"/>
  <c r="F19" i="23" s="1"/>
  <c r="C20" i="23"/>
  <c r="E20" i="23" s="1"/>
  <c r="F20" i="23" s="1"/>
  <c r="C21" i="23"/>
  <c r="E21" i="23" s="1"/>
  <c r="F21" i="23" s="1"/>
  <c r="C22" i="23"/>
  <c r="E22" i="23" s="1"/>
  <c r="F22" i="23" s="1"/>
  <c r="C23" i="23"/>
  <c r="E23" i="23" s="1"/>
  <c r="F23" i="23" s="1"/>
  <c r="C24" i="23"/>
  <c r="E24" i="23" s="1"/>
  <c r="F24" i="23" s="1"/>
  <c r="C25" i="23"/>
  <c r="E25" i="23" s="1"/>
  <c r="F25" i="23" s="1"/>
  <c r="C26" i="23"/>
  <c r="E26" i="23" s="1"/>
  <c r="F26" i="23" s="1"/>
  <c r="C27" i="23"/>
  <c r="E27" i="23" s="1"/>
  <c r="F27" i="23" s="1"/>
  <c r="C28" i="23"/>
  <c r="E28" i="23" s="1"/>
  <c r="F28" i="23" s="1"/>
  <c r="C29" i="23"/>
  <c r="E29" i="23" s="1"/>
  <c r="F29" i="23" s="1"/>
  <c r="C30" i="23"/>
  <c r="E30" i="23" s="1"/>
  <c r="F30" i="23" s="1"/>
  <c r="C31" i="23"/>
  <c r="E31" i="23" s="1"/>
  <c r="F31" i="23" s="1"/>
  <c r="C32" i="23"/>
  <c r="E32" i="23" s="1"/>
  <c r="F32" i="23" s="1"/>
  <c r="C33" i="23"/>
  <c r="E33" i="23" s="1"/>
  <c r="F33" i="23" s="1"/>
  <c r="C34" i="23"/>
  <c r="E34" i="23" s="1"/>
  <c r="F34" i="23" s="1"/>
  <c r="C35" i="23"/>
  <c r="E35" i="23" s="1"/>
  <c r="F35" i="23" s="1"/>
  <c r="C36" i="23"/>
  <c r="E36" i="23" s="1"/>
  <c r="F36" i="23" s="1"/>
  <c r="C37" i="23"/>
  <c r="E37" i="23" s="1"/>
  <c r="F37" i="23" s="1"/>
  <c r="C38" i="23"/>
  <c r="E38" i="23" s="1"/>
  <c r="F38" i="23" s="1"/>
  <c r="C39" i="23"/>
  <c r="E39" i="23" s="1"/>
  <c r="F39" i="23" s="1"/>
  <c r="C40" i="23"/>
  <c r="E40" i="23" s="1"/>
  <c r="F40" i="23" s="1"/>
  <c r="C41" i="23"/>
  <c r="E41" i="23" s="1"/>
  <c r="F41" i="23" s="1"/>
  <c r="C42" i="23"/>
  <c r="E42" i="23" s="1"/>
  <c r="F42" i="23" s="1"/>
  <c r="C43" i="23"/>
  <c r="E43" i="23" s="1"/>
  <c r="F43" i="23" s="1"/>
  <c r="C44" i="23"/>
  <c r="E44" i="23" s="1"/>
  <c r="F44" i="23" s="1"/>
  <c r="C45" i="23"/>
  <c r="E45" i="23" s="1"/>
  <c r="F45" i="23" s="1"/>
  <c r="C46" i="23"/>
  <c r="E46" i="23" s="1"/>
  <c r="F46" i="23" s="1"/>
  <c r="C47" i="23"/>
  <c r="E47" i="23" s="1"/>
  <c r="F47" i="23" s="1"/>
  <c r="C48" i="23"/>
  <c r="E48" i="23" s="1"/>
  <c r="F48" i="23" s="1"/>
  <c r="C49" i="23"/>
  <c r="E49" i="23" s="1"/>
  <c r="F49" i="23" s="1"/>
  <c r="C50" i="23"/>
  <c r="E50" i="23" s="1"/>
  <c r="F50" i="23" s="1"/>
  <c r="C51" i="23"/>
  <c r="E51" i="23" s="1"/>
  <c r="F51" i="23" s="1"/>
  <c r="C52" i="23"/>
  <c r="E52" i="23" s="1"/>
  <c r="F52" i="23" s="1"/>
  <c r="C53" i="23"/>
  <c r="E53" i="23" s="1"/>
  <c r="F53" i="23" s="1"/>
  <c r="C54" i="23"/>
  <c r="E54" i="23" s="1"/>
  <c r="F54" i="23" s="1"/>
  <c r="C55" i="23"/>
  <c r="E55" i="23" s="1"/>
  <c r="F55" i="23" s="1"/>
  <c r="C56" i="23"/>
  <c r="E56" i="23" s="1"/>
  <c r="F56" i="23" s="1"/>
  <c r="C57" i="23"/>
  <c r="E57" i="23" s="1"/>
  <c r="F57" i="23" s="1"/>
  <c r="C58" i="23"/>
  <c r="E58" i="23" s="1"/>
  <c r="F58" i="23" s="1"/>
  <c r="C59" i="23"/>
  <c r="E59" i="23" s="1"/>
  <c r="F59" i="23" s="1"/>
  <c r="C60" i="23"/>
  <c r="E60" i="23" s="1"/>
  <c r="F60" i="23" s="1"/>
  <c r="C61" i="23"/>
  <c r="E61" i="23" s="1"/>
  <c r="F61" i="23" s="1"/>
  <c r="C62" i="23"/>
  <c r="E62" i="23" s="1"/>
  <c r="F62" i="23" s="1"/>
  <c r="C63" i="23"/>
  <c r="E63" i="23" s="1"/>
  <c r="F63" i="23" s="1"/>
  <c r="C64" i="23"/>
  <c r="E64" i="23" s="1"/>
  <c r="F64" i="23" s="1"/>
  <c r="C65" i="23"/>
  <c r="E65" i="23" s="1"/>
  <c r="F65" i="23" s="1"/>
  <c r="C66" i="23"/>
  <c r="E66" i="23" s="1"/>
  <c r="F66" i="23" s="1"/>
  <c r="C67" i="23"/>
  <c r="E67" i="23" s="1"/>
  <c r="F67" i="23" s="1"/>
  <c r="C68" i="23"/>
  <c r="E68" i="23" s="1"/>
  <c r="F68" i="23" s="1"/>
  <c r="C69" i="23"/>
  <c r="E69" i="23" s="1"/>
  <c r="F69" i="23" s="1"/>
  <c r="C70" i="23"/>
  <c r="E70" i="23" s="1"/>
  <c r="F70" i="23" s="1"/>
  <c r="C71" i="23"/>
  <c r="E71" i="23" s="1"/>
  <c r="F71" i="23" s="1"/>
  <c r="C72" i="23"/>
  <c r="E72" i="23" s="1"/>
  <c r="F72" i="23" s="1"/>
  <c r="C73" i="23"/>
  <c r="E73" i="23" s="1"/>
  <c r="F73" i="23" s="1"/>
  <c r="C74" i="23"/>
  <c r="E74" i="23" s="1"/>
  <c r="F74" i="23" s="1"/>
  <c r="C75" i="23"/>
  <c r="E75" i="23" s="1"/>
  <c r="F75" i="23" s="1"/>
  <c r="C76" i="23"/>
  <c r="E76" i="23" s="1"/>
  <c r="F76" i="23" s="1"/>
  <c r="C77" i="23"/>
  <c r="E77" i="23" s="1"/>
  <c r="F77" i="23" s="1"/>
  <c r="C78" i="23"/>
  <c r="E78" i="23" s="1"/>
  <c r="F78" i="23" s="1"/>
  <c r="C79" i="23"/>
  <c r="E79" i="23" s="1"/>
  <c r="F79" i="23" s="1"/>
  <c r="C80" i="23"/>
  <c r="E80" i="23" s="1"/>
  <c r="F80" i="23" s="1"/>
  <c r="C81" i="23"/>
  <c r="E81" i="23" s="1"/>
  <c r="F81" i="23" s="1"/>
  <c r="C82" i="23"/>
  <c r="E82" i="23" s="1"/>
  <c r="F82" i="23" s="1"/>
  <c r="C83" i="23"/>
  <c r="E83" i="23" s="1"/>
  <c r="F83" i="23" s="1"/>
  <c r="C84" i="23"/>
  <c r="E84" i="23" s="1"/>
  <c r="F84" i="23" s="1"/>
  <c r="C85" i="23"/>
  <c r="E85" i="23" s="1"/>
  <c r="F85" i="23" s="1"/>
  <c r="C86" i="23"/>
  <c r="E86" i="23" s="1"/>
  <c r="F86" i="23" s="1"/>
  <c r="C87" i="23"/>
  <c r="E87" i="23" s="1"/>
  <c r="F87" i="23" s="1"/>
  <c r="C88" i="23"/>
  <c r="E88" i="23" s="1"/>
  <c r="F88" i="23" s="1"/>
  <c r="C89" i="23"/>
  <c r="E89" i="23" s="1"/>
  <c r="F89" i="23" s="1"/>
  <c r="C90" i="23"/>
  <c r="E90" i="23" s="1"/>
  <c r="F90" i="23" s="1"/>
  <c r="C91" i="23"/>
  <c r="E91" i="23" s="1"/>
  <c r="F91" i="23" s="1"/>
  <c r="C92" i="23"/>
  <c r="E92" i="23" s="1"/>
  <c r="F92" i="23" s="1"/>
  <c r="C93" i="23"/>
  <c r="E93" i="23" s="1"/>
  <c r="F93" i="23" s="1"/>
  <c r="C94" i="23"/>
  <c r="E94" i="23" s="1"/>
  <c r="F94" i="23" s="1"/>
  <c r="C95" i="23"/>
  <c r="E95" i="23" s="1"/>
  <c r="F95" i="23" s="1"/>
  <c r="C96" i="23"/>
  <c r="E96" i="23" s="1"/>
  <c r="F96" i="23" s="1"/>
  <c r="C97" i="23"/>
  <c r="E97" i="23" s="1"/>
  <c r="F97" i="23" s="1"/>
  <c r="C2" i="23"/>
  <c r="E2" i="23" s="1"/>
  <c r="F2" i="23" s="1"/>
  <c r="B16" i="22"/>
  <c r="E16" i="22"/>
  <c r="E15" i="22"/>
  <c r="E14" i="22"/>
  <c r="E13" i="22"/>
  <c r="E12" i="22"/>
  <c r="E3" i="22"/>
  <c r="E4" i="22"/>
  <c r="E5" i="22"/>
  <c r="E6" i="22"/>
  <c r="E7" i="22"/>
  <c r="E8" i="22"/>
  <c r="E9" i="22"/>
  <c r="E10" i="22"/>
  <c r="E11" i="22"/>
  <c r="E2" i="22"/>
  <c r="D3" i="22"/>
  <c r="D4" i="22"/>
  <c r="D5" i="22"/>
  <c r="D6" i="22"/>
  <c r="D7" i="22"/>
  <c r="D8" i="22"/>
  <c r="D9" i="22"/>
  <c r="D10" i="22"/>
  <c r="D11" i="22"/>
  <c r="D2" i="22"/>
  <c r="C3" i="22"/>
  <c r="C4" i="22"/>
  <c r="C5" i="22"/>
  <c r="C6" i="22"/>
  <c r="C7" i="22"/>
  <c r="C8" i="22"/>
  <c r="C9" i="22"/>
  <c r="C10" i="22"/>
  <c r="C11" i="22"/>
  <c r="C2" i="22"/>
  <c r="C3" i="21"/>
  <c r="C4" i="21"/>
  <c r="C5" i="21"/>
  <c r="C6" i="21"/>
  <c r="C7" i="21"/>
  <c r="C8" i="21"/>
  <c r="C9" i="21"/>
  <c r="D9" i="21" s="1"/>
  <c r="E9" i="21" s="1"/>
  <c r="C10" i="21"/>
  <c r="D10" i="21" s="1"/>
  <c r="E10" i="21" s="1"/>
  <c r="C11" i="21"/>
  <c r="C12" i="21"/>
  <c r="C13" i="21"/>
  <c r="C14" i="21"/>
  <c r="C15" i="21"/>
  <c r="C16" i="21"/>
  <c r="C17" i="21"/>
  <c r="D17" i="21" s="1"/>
  <c r="E17" i="21" s="1"/>
  <c r="C18" i="21"/>
  <c r="D18" i="21" s="1"/>
  <c r="E18" i="21" s="1"/>
  <c r="C19" i="21"/>
  <c r="C20" i="21"/>
  <c r="C21" i="21"/>
  <c r="C22" i="21"/>
  <c r="C23" i="21"/>
  <c r="C24" i="21"/>
  <c r="C25" i="21"/>
  <c r="D25" i="21" s="1"/>
  <c r="E25" i="21" s="1"/>
  <c r="C26" i="21"/>
  <c r="D26" i="21" s="1"/>
  <c r="E26" i="21" s="1"/>
  <c r="C27" i="21"/>
  <c r="C28" i="21"/>
  <c r="C29" i="21"/>
  <c r="C30" i="21"/>
  <c r="C31" i="21"/>
  <c r="C32" i="21"/>
  <c r="C33" i="21"/>
  <c r="D33" i="21" s="1"/>
  <c r="E33" i="21" s="1"/>
  <c r="C34" i="21"/>
  <c r="D34" i="21" s="1"/>
  <c r="E34" i="21" s="1"/>
  <c r="C35" i="21"/>
  <c r="C36" i="21"/>
  <c r="C37" i="21"/>
  <c r="C38" i="21"/>
  <c r="C39" i="21"/>
  <c r="C40" i="21"/>
  <c r="C41" i="21"/>
  <c r="D41" i="21" s="1"/>
  <c r="E41" i="21" s="1"/>
  <c r="C42" i="21"/>
  <c r="D42" i="21" s="1"/>
  <c r="E42" i="21" s="1"/>
  <c r="C43" i="21"/>
  <c r="C44" i="21"/>
  <c r="C45" i="21"/>
  <c r="C46" i="21"/>
  <c r="C47" i="21"/>
  <c r="C48" i="21"/>
  <c r="C49" i="21"/>
  <c r="D49" i="21" s="1"/>
  <c r="E49" i="21" s="1"/>
  <c r="C50" i="21"/>
  <c r="D50" i="21" s="1"/>
  <c r="E50" i="21" s="1"/>
  <c r="C51" i="21"/>
  <c r="C52" i="21"/>
  <c r="C53" i="21"/>
  <c r="C54" i="21"/>
  <c r="C55" i="21"/>
  <c r="C56" i="21"/>
  <c r="C57" i="21"/>
  <c r="D57" i="21" s="1"/>
  <c r="E57" i="21" s="1"/>
  <c r="C58" i="21"/>
  <c r="D58" i="21" s="1"/>
  <c r="E58" i="21" s="1"/>
  <c r="C59" i="21"/>
  <c r="C60" i="21"/>
  <c r="C61" i="21"/>
  <c r="C2" i="21"/>
  <c r="E5" i="21"/>
  <c r="E6" i="21"/>
  <c r="E13" i="21"/>
  <c r="E14" i="21"/>
  <c r="E21" i="21"/>
  <c r="E22" i="21"/>
  <c r="E29" i="21"/>
  <c r="E30" i="21"/>
  <c r="E37" i="21"/>
  <c r="E38" i="21"/>
  <c r="E45" i="21"/>
  <c r="E46" i="21"/>
  <c r="E53" i="21"/>
  <c r="E54" i="21"/>
  <c r="E61" i="21"/>
  <c r="D3" i="21"/>
  <c r="E3" i="21" s="1"/>
  <c r="D4" i="21"/>
  <c r="E4" i="21" s="1"/>
  <c r="D5" i="21"/>
  <c r="D6" i="21"/>
  <c r="D7" i="21"/>
  <c r="E7" i="21" s="1"/>
  <c r="D8" i="21"/>
  <c r="E8" i="21" s="1"/>
  <c r="D11" i="21"/>
  <c r="E11" i="21" s="1"/>
  <c r="D12" i="21"/>
  <c r="E12" i="21" s="1"/>
  <c r="D13" i="21"/>
  <c r="D14" i="21"/>
  <c r="D15" i="21"/>
  <c r="E15" i="21" s="1"/>
  <c r="D16" i="21"/>
  <c r="E16" i="21" s="1"/>
  <c r="D19" i="21"/>
  <c r="E19" i="21" s="1"/>
  <c r="D20" i="21"/>
  <c r="E20" i="21" s="1"/>
  <c r="D21" i="21"/>
  <c r="D22" i="21"/>
  <c r="D23" i="21"/>
  <c r="E23" i="21" s="1"/>
  <c r="D24" i="21"/>
  <c r="E24" i="21" s="1"/>
  <c r="D27" i="21"/>
  <c r="E27" i="21" s="1"/>
  <c r="D28" i="21"/>
  <c r="E28" i="21" s="1"/>
  <c r="D29" i="21"/>
  <c r="D30" i="21"/>
  <c r="D31" i="21"/>
  <c r="E31" i="21" s="1"/>
  <c r="D32" i="21"/>
  <c r="E32" i="21" s="1"/>
  <c r="D35" i="21"/>
  <c r="E35" i="21" s="1"/>
  <c r="D36" i="21"/>
  <c r="E36" i="21" s="1"/>
  <c r="D37" i="21"/>
  <c r="D38" i="21"/>
  <c r="D39" i="21"/>
  <c r="E39" i="21" s="1"/>
  <c r="D40" i="21"/>
  <c r="E40" i="21" s="1"/>
  <c r="D43" i="21"/>
  <c r="E43" i="21" s="1"/>
  <c r="D44" i="21"/>
  <c r="E44" i="21" s="1"/>
  <c r="D45" i="21"/>
  <c r="D46" i="21"/>
  <c r="D47" i="21"/>
  <c r="E47" i="21" s="1"/>
  <c r="D48" i="21"/>
  <c r="E48" i="21" s="1"/>
  <c r="D51" i="21"/>
  <c r="E51" i="21" s="1"/>
  <c r="D52" i="21"/>
  <c r="E52" i="21" s="1"/>
  <c r="D53" i="21"/>
  <c r="D54" i="21"/>
  <c r="D55" i="21"/>
  <c r="E55" i="21" s="1"/>
  <c r="D56" i="21"/>
  <c r="E56" i="21" s="1"/>
  <c r="D59" i="21"/>
  <c r="E59" i="21" s="1"/>
  <c r="D60" i="21"/>
  <c r="E60" i="21" s="1"/>
  <c r="D61" i="21"/>
  <c r="D2" i="21"/>
  <c r="E2" i="21" s="1"/>
  <c r="B16" i="20"/>
  <c r="E16" i="20"/>
  <c r="E15" i="20"/>
  <c r="E14" i="20"/>
  <c r="E13" i="20"/>
  <c r="E12" i="20"/>
  <c r="E3" i="20"/>
  <c r="E4" i="20"/>
  <c r="E5" i="20"/>
  <c r="E6" i="20"/>
  <c r="E7" i="20"/>
  <c r="E8" i="20"/>
  <c r="E9" i="20"/>
  <c r="E10" i="20"/>
  <c r="E11" i="20"/>
  <c r="E2" i="20"/>
  <c r="D3" i="20"/>
  <c r="D4" i="20"/>
  <c r="D5" i="20"/>
  <c r="D6" i="20"/>
  <c r="D7" i="20"/>
  <c r="D8" i="20"/>
  <c r="D9" i="20"/>
  <c r="D10" i="20"/>
  <c r="D11" i="20"/>
  <c r="D2" i="20"/>
  <c r="C3" i="20"/>
  <c r="C4" i="20"/>
  <c r="C5" i="20"/>
  <c r="C6" i="20"/>
  <c r="C7" i="20"/>
  <c r="C8" i="20"/>
  <c r="C9" i="20"/>
  <c r="C10" i="20"/>
  <c r="C11" i="20"/>
  <c r="C2" i="20"/>
  <c r="F3" i="19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2" i="19"/>
  <c r="E3" i="19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2" i="19"/>
  <c r="C3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2" i="19"/>
  <c r="I64" i="16"/>
  <c r="C3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2" i="16"/>
  <c r="E2" i="16" s="1"/>
  <c r="F2" i="16" s="1"/>
  <c r="B22" i="18"/>
  <c r="H20" i="18"/>
  <c r="H19" i="18"/>
  <c r="H18" i="18"/>
  <c r="H17" i="18"/>
  <c r="H16" i="18"/>
  <c r="H3" i="18"/>
  <c r="H4" i="18"/>
  <c r="H5" i="18"/>
  <c r="H6" i="18"/>
  <c r="H7" i="18"/>
  <c r="H8" i="18"/>
  <c r="H9" i="18"/>
  <c r="H10" i="18"/>
  <c r="H11" i="18"/>
  <c r="H12" i="18"/>
  <c r="H13" i="18"/>
  <c r="H14" i="18"/>
  <c r="H15" i="18"/>
  <c r="H2" i="18"/>
  <c r="G3" i="18"/>
  <c r="G4" i="18"/>
  <c r="G5" i="18"/>
  <c r="G6" i="18"/>
  <c r="G7" i="18"/>
  <c r="G8" i="18"/>
  <c r="G9" i="18"/>
  <c r="G10" i="18"/>
  <c r="G11" i="18"/>
  <c r="G12" i="18"/>
  <c r="G13" i="18"/>
  <c r="G14" i="18"/>
  <c r="G15" i="18"/>
  <c r="G2" i="18"/>
  <c r="F3" i="18"/>
  <c r="F4" i="18"/>
  <c r="F5" i="18"/>
  <c r="F6" i="18"/>
  <c r="F7" i="18"/>
  <c r="F8" i="18"/>
  <c r="F9" i="18"/>
  <c r="F10" i="18"/>
  <c r="F11" i="18"/>
  <c r="F12" i="18"/>
  <c r="F13" i="18"/>
  <c r="F14" i="18"/>
  <c r="F15" i="18"/>
  <c r="F2" i="18"/>
  <c r="E3" i="18"/>
  <c r="E4" i="18"/>
  <c r="E5" i="18"/>
  <c r="E6" i="18"/>
  <c r="E7" i="18"/>
  <c r="E8" i="18"/>
  <c r="E9" i="18"/>
  <c r="E10" i="18"/>
  <c r="E11" i="18"/>
  <c r="E12" i="18"/>
  <c r="E13" i="18"/>
  <c r="E14" i="18"/>
  <c r="E15" i="18"/>
  <c r="E2" i="18"/>
  <c r="B19" i="18"/>
  <c r="D3" i="18"/>
  <c r="D4" i="18"/>
  <c r="D5" i="18"/>
  <c r="D6" i="18"/>
  <c r="D7" i="18"/>
  <c r="D8" i="18"/>
  <c r="D9" i="18"/>
  <c r="D10" i="18"/>
  <c r="D11" i="18"/>
  <c r="D12" i="18"/>
  <c r="D13" i="18"/>
  <c r="D14" i="18"/>
  <c r="D15" i="18"/>
  <c r="D2" i="18"/>
  <c r="B3" i="18"/>
  <c r="B4" i="18"/>
  <c r="B5" i="18"/>
  <c r="B6" i="18"/>
  <c r="B7" i="18"/>
  <c r="B8" i="18"/>
  <c r="B9" i="18"/>
  <c r="B10" i="18"/>
  <c r="B11" i="18"/>
  <c r="B12" i="18"/>
  <c r="B13" i="18"/>
  <c r="B14" i="18"/>
  <c r="B15" i="18"/>
  <c r="B2" i="18"/>
  <c r="D4" i="17"/>
  <c r="D5" i="17"/>
  <c r="D6" i="17" s="1"/>
  <c r="D7" i="17" s="1"/>
  <c r="D8" i="17" s="1"/>
  <c r="D9" i="17" s="1"/>
  <c r="D10" i="17" s="1"/>
  <c r="D11" i="17" s="1"/>
  <c r="D12" i="17" s="1"/>
  <c r="D13" i="17" s="1"/>
  <c r="D14" i="17" s="1"/>
  <c r="D15" i="17" s="1"/>
  <c r="D16" i="17" s="1"/>
  <c r="D17" i="17" s="1"/>
  <c r="D18" i="17" s="1"/>
  <c r="D19" i="17" s="1"/>
  <c r="D20" i="17" s="1"/>
  <c r="D21" i="17" s="1"/>
  <c r="D22" i="17" s="1"/>
  <c r="D23" i="17" s="1"/>
  <c r="D24" i="17" s="1"/>
  <c r="D25" i="17" s="1"/>
  <c r="D26" i="17" s="1"/>
  <c r="D27" i="17" s="1"/>
  <c r="D28" i="17" s="1"/>
  <c r="D29" i="17" s="1"/>
  <c r="D30" i="17" s="1"/>
  <c r="D31" i="17" s="1"/>
  <c r="D32" i="17" s="1"/>
  <c r="D33" i="17" s="1"/>
  <c r="D34" i="17" s="1"/>
  <c r="D35" i="17" s="1"/>
  <c r="D36" i="17" s="1"/>
  <c r="D37" i="17" s="1"/>
  <c r="D38" i="17" s="1"/>
  <c r="D39" i="17" s="1"/>
  <c r="D40" i="17" s="1"/>
  <c r="D41" i="17" s="1"/>
  <c r="D42" i="17" s="1"/>
  <c r="D43" i="17" s="1"/>
  <c r="D44" i="17" s="1"/>
  <c r="D45" i="17" s="1"/>
  <c r="D46" i="17" s="1"/>
  <c r="D47" i="17" s="1"/>
  <c r="D48" i="17" s="1"/>
  <c r="D49" i="17" s="1"/>
  <c r="D50" i="17" s="1"/>
  <c r="D51" i="17" s="1"/>
  <c r="D52" i="17" s="1"/>
  <c r="D53" i="17" s="1"/>
  <c r="D54" i="17" s="1"/>
  <c r="D55" i="17" s="1"/>
  <c r="D56" i="17" s="1"/>
  <c r="D57" i="17" s="1"/>
  <c r="D58" i="17" s="1"/>
  <c r="D59" i="17" s="1"/>
  <c r="D60" i="17" s="1"/>
  <c r="D61" i="17" s="1"/>
  <c r="D62" i="17" s="1"/>
  <c r="D63" i="17" s="1"/>
  <c r="D64" i="17" s="1"/>
  <c r="D65" i="17" s="1"/>
  <c r="D66" i="17" s="1"/>
  <c r="D67" i="17" s="1"/>
  <c r="D68" i="17" s="1"/>
  <c r="D69" i="17" s="1"/>
  <c r="D70" i="17" s="1"/>
  <c r="D71" i="17" s="1"/>
  <c r="D72" i="17" s="1"/>
  <c r="D73" i="17" s="1"/>
  <c r="D74" i="17" s="1"/>
  <c r="D75" i="17" s="1"/>
  <c r="D76" i="17" s="1"/>
  <c r="D77" i="17" s="1"/>
  <c r="D78" i="17" s="1"/>
  <c r="D79" i="17" s="1"/>
  <c r="D80" i="17" s="1"/>
  <c r="D81" i="17" s="1"/>
  <c r="D82" i="17" s="1"/>
  <c r="D83" i="17" s="1"/>
  <c r="D84" i="17" s="1"/>
  <c r="D85" i="17" s="1"/>
  <c r="D3" i="17"/>
  <c r="C3" i="17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2" i="17"/>
  <c r="I65" i="16"/>
  <c r="H3" i="16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I62" i="16" s="1"/>
  <c r="H2" i="16"/>
  <c r="D3" i="16"/>
  <c r="E3" i="16" s="1"/>
  <c r="F3" i="16" s="1"/>
  <c r="G3" i="16" s="1"/>
  <c r="D4" i="16"/>
  <c r="D5" i="16"/>
  <c r="D6" i="16"/>
  <c r="D7" i="16"/>
  <c r="D8" i="16"/>
  <c r="D9" i="16"/>
  <c r="D10" i="16"/>
  <c r="D11" i="16"/>
  <c r="E11" i="16" s="1"/>
  <c r="F11" i="16" s="1"/>
  <c r="G11" i="16" s="1"/>
  <c r="D12" i="16"/>
  <c r="D13" i="16"/>
  <c r="D14" i="16"/>
  <c r="D15" i="16"/>
  <c r="D16" i="16"/>
  <c r="D17" i="16"/>
  <c r="D18" i="16"/>
  <c r="D19" i="16"/>
  <c r="E19" i="16" s="1"/>
  <c r="F19" i="16" s="1"/>
  <c r="G19" i="16" s="1"/>
  <c r="D20" i="16"/>
  <c r="D21" i="16"/>
  <c r="D22" i="16"/>
  <c r="D23" i="16"/>
  <c r="D24" i="16"/>
  <c r="D25" i="16"/>
  <c r="D26" i="16"/>
  <c r="D27" i="16"/>
  <c r="E27" i="16" s="1"/>
  <c r="F27" i="16" s="1"/>
  <c r="G27" i="16" s="1"/>
  <c r="D28" i="16"/>
  <c r="D29" i="16"/>
  <c r="D30" i="16"/>
  <c r="D31" i="16"/>
  <c r="D32" i="16"/>
  <c r="D33" i="16"/>
  <c r="D34" i="16"/>
  <c r="D35" i="16"/>
  <c r="E35" i="16" s="1"/>
  <c r="F35" i="16" s="1"/>
  <c r="G35" i="16" s="1"/>
  <c r="D36" i="16"/>
  <c r="D37" i="16"/>
  <c r="D38" i="16"/>
  <c r="D39" i="16"/>
  <c r="D40" i="16"/>
  <c r="D41" i="16"/>
  <c r="D42" i="16"/>
  <c r="D43" i="16"/>
  <c r="E43" i="16" s="1"/>
  <c r="F43" i="16" s="1"/>
  <c r="G43" i="16" s="1"/>
  <c r="D44" i="16"/>
  <c r="D45" i="16"/>
  <c r="D46" i="16"/>
  <c r="D47" i="16"/>
  <c r="D48" i="16"/>
  <c r="D49" i="16"/>
  <c r="D50" i="16"/>
  <c r="D51" i="16"/>
  <c r="E51" i="16" s="1"/>
  <c r="F51" i="16" s="1"/>
  <c r="G51" i="16" s="1"/>
  <c r="D52" i="16"/>
  <c r="D53" i="16"/>
  <c r="D54" i="16"/>
  <c r="D55" i="16"/>
  <c r="D56" i="16"/>
  <c r="D57" i="16"/>
  <c r="D58" i="16"/>
  <c r="D59" i="16"/>
  <c r="E59" i="16" s="1"/>
  <c r="F59" i="16" s="1"/>
  <c r="G59" i="16" s="1"/>
  <c r="D60" i="16"/>
  <c r="D2" i="16"/>
  <c r="E4" i="16"/>
  <c r="E5" i="16"/>
  <c r="F5" i="16" s="1"/>
  <c r="G5" i="16" s="1"/>
  <c r="E6" i="16"/>
  <c r="E7" i="16"/>
  <c r="F7" i="16" s="1"/>
  <c r="E8" i="16"/>
  <c r="F8" i="16" s="1"/>
  <c r="G8" i="16" s="1"/>
  <c r="E9" i="16"/>
  <c r="F9" i="16" s="1"/>
  <c r="G9" i="16" s="1"/>
  <c r="E12" i="16"/>
  <c r="F12" i="16" s="1"/>
  <c r="E13" i="16"/>
  <c r="E14" i="16"/>
  <c r="E15" i="16"/>
  <c r="F15" i="16" s="1"/>
  <c r="E16" i="16"/>
  <c r="F16" i="16" s="1"/>
  <c r="G16" i="16" s="1"/>
  <c r="E17" i="16"/>
  <c r="F17" i="16" s="1"/>
  <c r="G17" i="16" s="1"/>
  <c r="E20" i="16"/>
  <c r="E21" i="16"/>
  <c r="F21" i="16" s="1"/>
  <c r="G21" i="16" s="1"/>
  <c r="E22" i="16"/>
  <c r="E23" i="16"/>
  <c r="F23" i="16" s="1"/>
  <c r="E24" i="16"/>
  <c r="E25" i="16"/>
  <c r="F25" i="16" s="1"/>
  <c r="G25" i="16" s="1"/>
  <c r="E28" i="16"/>
  <c r="E29" i="16"/>
  <c r="E30" i="16"/>
  <c r="E31" i="16"/>
  <c r="F31" i="16" s="1"/>
  <c r="E32" i="16"/>
  <c r="E33" i="16"/>
  <c r="E36" i="16"/>
  <c r="F36" i="16" s="1"/>
  <c r="E37" i="16"/>
  <c r="F37" i="16" s="1"/>
  <c r="G37" i="16" s="1"/>
  <c r="E38" i="16"/>
  <c r="E39" i="16"/>
  <c r="F39" i="16" s="1"/>
  <c r="E40" i="16"/>
  <c r="E41" i="16"/>
  <c r="E44" i="16"/>
  <c r="F44" i="16" s="1"/>
  <c r="E45" i="16"/>
  <c r="F45" i="16" s="1"/>
  <c r="G45" i="16" s="1"/>
  <c r="E46" i="16"/>
  <c r="E47" i="16"/>
  <c r="F47" i="16" s="1"/>
  <c r="E48" i="16"/>
  <c r="F48" i="16" s="1"/>
  <c r="G48" i="16" s="1"/>
  <c r="E49" i="16"/>
  <c r="E52" i="16"/>
  <c r="F52" i="16" s="1"/>
  <c r="E53" i="16"/>
  <c r="F53" i="16" s="1"/>
  <c r="G53" i="16" s="1"/>
  <c r="E54" i="16"/>
  <c r="E55" i="16"/>
  <c r="F55" i="16" s="1"/>
  <c r="E56" i="16"/>
  <c r="E57" i="16"/>
  <c r="F57" i="16" s="1"/>
  <c r="G57" i="16" s="1"/>
  <c r="E60" i="16"/>
  <c r="F4" i="16"/>
  <c r="F6" i="16"/>
  <c r="G6" i="16" s="1"/>
  <c r="F13" i="16"/>
  <c r="G13" i="16" s="1"/>
  <c r="F14" i="16"/>
  <c r="G14" i="16" s="1"/>
  <c r="I14" i="16" s="1"/>
  <c r="F20" i="16"/>
  <c r="F22" i="16"/>
  <c r="G22" i="16" s="1"/>
  <c r="F24" i="16"/>
  <c r="G24" i="16" s="1"/>
  <c r="F28" i="16"/>
  <c r="F29" i="16"/>
  <c r="G29" i="16" s="1"/>
  <c r="F30" i="16"/>
  <c r="F32" i="16"/>
  <c r="F33" i="16"/>
  <c r="G33" i="16" s="1"/>
  <c r="F38" i="16"/>
  <c r="G38" i="16" s="1"/>
  <c r="F40" i="16"/>
  <c r="G40" i="16" s="1"/>
  <c r="F41" i="16"/>
  <c r="F46" i="16"/>
  <c r="G46" i="16" s="1"/>
  <c r="F49" i="16"/>
  <c r="G49" i="16" s="1"/>
  <c r="F54" i="16"/>
  <c r="G54" i="16" s="1"/>
  <c r="F56" i="16"/>
  <c r="G56" i="16" s="1"/>
  <c r="F60" i="16"/>
  <c r="G30" i="16"/>
  <c r="G32" i="16"/>
  <c r="G41" i="16"/>
  <c r="B17" i="15"/>
  <c r="G3" i="15"/>
  <c r="G4" i="15"/>
  <c r="G5" i="15"/>
  <c r="G6" i="15"/>
  <c r="G7" i="15"/>
  <c r="G8" i="15"/>
  <c r="G9" i="15"/>
  <c r="G10" i="15"/>
  <c r="G11" i="15"/>
  <c r="G2" i="15"/>
  <c r="B14" i="15"/>
  <c r="H13" i="15" s="1"/>
  <c r="F10" i="15"/>
  <c r="H10" i="15" s="1"/>
  <c r="E5" i="15"/>
  <c r="F5" i="15" s="1"/>
  <c r="H5" i="15" s="1"/>
  <c r="E8" i="15"/>
  <c r="F8" i="15" s="1"/>
  <c r="H8" i="15" s="1"/>
  <c r="E9" i="15"/>
  <c r="F9" i="15" s="1"/>
  <c r="H9" i="15" s="1"/>
  <c r="E10" i="15"/>
  <c r="D3" i="15"/>
  <c r="E3" i="15" s="1"/>
  <c r="F3" i="15" s="1"/>
  <c r="H3" i="15" s="1"/>
  <c r="D4" i="15"/>
  <c r="E4" i="15" s="1"/>
  <c r="F4" i="15" s="1"/>
  <c r="H4" i="15" s="1"/>
  <c r="D5" i="15"/>
  <c r="D6" i="15"/>
  <c r="E6" i="15" s="1"/>
  <c r="F6" i="15" s="1"/>
  <c r="H6" i="15" s="1"/>
  <c r="D7" i="15"/>
  <c r="E7" i="15" s="1"/>
  <c r="F7" i="15" s="1"/>
  <c r="H7" i="15" s="1"/>
  <c r="D8" i="15"/>
  <c r="D9" i="15"/>
  <c r="D10" i="15"/>
  <c r="D11" i="15"/>
  <c r="E11" i="15" s="1"/>
  <c r="F11" i="15" s="1"/>
  <c r="H11" i="15" s="1"/>
  <c r="D2" i="15"/>
  <c r="E2" i="15" s="1"/>
  <c r="F2" i="15" s="1"/>
  <c r="H2" i="15" s="1"/>
  <c r="H12" i="15" s="1"/>
  <c r="H14" i="15" s="1"/>
  <c r="H15" i="15" s="1"/>
  <c r="H16" i="15" s="1"/>
  <c r="D4" i="14"/>
  <c r="D5" i="14"/>
  <c r="D6" i="14" s="1"/>
  <c r="D7" i="14" s="1"/>
  <c r="D8" i="14" s="1"/>
  <c r="D9" i="14" s="1"/>
  <c r="D10" i="14" s="1"/>
  <c r="D11" i="14" s="1"/>
  <c r="D12" i="14" s="1"/>
  <c r="D13" i="14" s="1"/>
  <c r="D14" i="14" s="1"/>
  <c r="D15" i="14" s="1"/>
  <c r="D16" i="14" s="1"/>
  <c r="D17" i="14" s="1"/>
  <c r="D18" i="14" s="1"/>
  <c r="D19" i="14" s="1"/>
  <c r="D20" i="14" s="1"/>
  <c r="D21" i="14" s="1"/>
  <c r="D22" i="14" s="1"/>
  <c r="D23" i="14" s="1"/>
  <c r="D24" i="14" s="1"/>
  <c r="D25" i="14" s="1"/>
  <c r="D26" i="14" s="1"/>
  <c r="D27" i="14" s="1"/>
  <c r="D28" i="14" s="1"/>
  <c r="D29" i="14" s="1"/>
  <c r="D30" i="14" s="1"/>
  <c r="D31" i="14" s="1"/>
  <c r="D32" i="14" s="1"/>
  <c r="D33" i="14" s="1"/>
  <c r="D34" i="14" s="1"/>
  <c r="D35" i="14" s="1"/>
  <c r="D36" i="14" s="1"/>
  <c r="D37" i="14" s="1"/>
  <c r="D38" i="14" s="1"/>
  <c r="D39" i="14" s="1"/>
  <c r="D40" i="14" s="1"/>
  <c r="D41" i="14" s="1"/>
  <c r="D42" i="14" s="1"/>
  <c r="D43" i="14" s="1"/>
  <c r="D44" i="14" s="1"/>
  <c r="D45" i="14" s="1"/>
  <c r="D46" i="14" s="1"/>
  <c r="D47" i="14" s="1"/>
  <c r="D48" i="14" s="1"/>
  <c r="D49" i="14" s="1"/>
  <c r="D50" i="14" s="1"/>
  <c r="D51" i="14" s="1"/>
  <c r="D52" i="14" s="1"/>
  <c r="D53" i="14" s="1"/>
  <c r="D54" i="14" s="1"/>
  <c r="D55" i="14" s="1"/>
  <c r="D56" i="14" s="1"/>
  <c r="D57" i="14" s="1"/>
  <c r="D58" i="14" s="1"/>
  <c r="D59" i="14" s="1"/>
  <c r="D60" i="14" s="1"/>
  <c r="D61" i="14" s="1"/>
  <c r="D62" i="14" s="1"/>
  <c r="D63" i="14" s="1"/>
  <c r="D64" i="14" s="1"/>
  <c r="D65" i="14" s="1"/>
  <c r="D66" i="14" s="1"/>
  <c r="D67" i="14" s="1"/>
  <c r="D68" i="14" s="1"/>
  <c r="D69" i="14" s="1"/>
  <c r="D70" i="14" s="1"/>
  <c r="D71" i="14" s="1"/>
  <c r="D72" i="14" s="1"/>
  <c r="D73" i="14" s="1"/>
  <c r="D74" i="14" s="1"/>
  <c r="D75" i="14" s="1"/>
  <c r="D76" i="14" s="1"/>
  <c r="D77" i="14" s="1"/>
  <c r="D78" i="14" s="1"/>
  <c r="D79" i="14" s="1"/>
  <c r="D80" i="14" s="1"/>
  <c r="D81" i="14" s="1"/>
  <c r="D82" i="14" s="1"/>
  <c r="D83" i="14" s="1"/>
  <c r="D84" i="14" s="1"/>
  <c r="D85" i="14" s="1"/>
  <c r="D86" i="14" s="1"/>
  <c r="D87" i="14" s="1"/>
  <c r="D88" i="14" s="1"/>
  <c r="D89" i="14" s="1"/>
  <c r="D90" i="14" s="1"/>
  <c r="D91" i="14" s="1"/>
  <c r="D92" i="14" s="1"/>
  <c r="D93" i="14" s="1"/>
  <c r="D94" i="14" s="1"/>
  <c r="D95" i="14" s="1"/>
  <c r="D96" i="14" s="1"/>
  <c r="D97" i="14" s="1"/>
  <c r="D98" i="14" s="1"/>
  <c r="D99" i="14" s="1"/>
  <c r="D100" i="14" s="1"/>
  <c r="D101" i="14" s="1"/>
  <c r="D102" i="14" s="1"/>
  <c r="D103" i="14" s="1"/>
  <c r="D104" i="14" s="1"/>
  <c r="D105" i="14" s="1"/>
  <c r="D106" i="14" s="1"/>
  <c r="D107" i="14" s="1"/>
  <c r="D108" i="14" s="1"/>
  <c r="D109" i="14" s="1"/>
  <c r="D110" i="14" s="1"/>
  <c r="D111" i="14" s="1"/>
  <c r="D112" i="14" s="1"/>
  <c r="D113" i="14" s="1"/>
  <c r="D114" i="14" s="1"/>
  <c r="D115" i="14" s="1"/>
  <c r="D116" i="14" s="1"/>
  <c r="D117" i="14" s="1"/>
  <c r="D118" i="14" s="1"/>
  <c r="D119" i="14" s="1"/>
  <c r="D120" i="14" s="1"/>
  <c r="D121" i="14" s="1"/>
  <c r="D3" i="14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2" i="14"/>
  <c r="B14" i="13"/>
  <c r="H13" i="13"/>
  <c r="H12" i="13"/>
  <c r="H11" i="13"/>
  <c r="H10" i="13"/>
  <c r="H9" i="13"/>
  <c r="H3" i="13"/>
  <c r="H4" i="13"/>
  <c r="H5" i="13"/>
  <c r="H6" i="13"/>
  <c r="H7" i="13"/>
  <c r="H8" i="13"/>
  <c r="H2" i="13"/>
  <c r="G3" i="13"/>
  <c r="G4" i="13"/>
  <c r="G5" i="13"/>
  <c r="G6" i="13"/>
  <c r="G7" i="13"/>
  <c r="G8" i="13"/>
  <c r="G2" i="13"/>
  <c r="F3" i="13"/>
  <c r="F4" i="13"/>
  <c r="F5" i="13"/>
  <c r="F6" i="13"/>
  <c r="F7" i="13"/>
  <c r="F8" i="13"/>
  <c r="F2" i="13"/>
  <c r="E3" i="13"/>
  <c r="E4" i="13"/>
  <c r="E5" i="13"/>
  <c r="E6" i="13"/>
  <c r="E7" i="13"/>
  <c r="E8" i="13"/>
  <c r="E2" i="13"/>
  <c r="B11" i="13"/>
  <c r="D3" i="13"/>
  <c r="D4" i="13"/>
  <c r="D5" i="13"/>
  <c r="D6" i="13"/>
  <c r="D7" i="13"/>
  <c r="D8" i="13"/>
  <c r="D2" i="13"/>
  <c r="D49" i="12"/>
  <c r="D13" i="12"/>
  <c r="D14" i="12" s="1"/>
  <c r="D15" i="12" s="1"/>
  <c r="D16" i="12" s="1"/>
  <c r="D17" i="12" s="1"/>
  <c r="D18" i="12" s="1"/>
  <c r="D19" i="12" s="1"/>
  <c r="D4" i="12"/>
  <c r="D5" i="12" s="1"/>
  <c r="D6" i="12" s="1"/>
  <c r="D7" i="12" s="1"/>
  <c r="D8" i="12" s="1"/>
  <c r="D9" i="12" s="1"/>
  <c r="D10" i="12" s="1"/>
  <c r="D11" i="12" s="1"/>
  <c r="D12" i="12" s="1"/>
  <c r="D3" i="12"/>
  <c r="D2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2" i="12"/>
  <c r="B28" i="11"/>
  <c r="H26" i="11"/>
  <c r="H21" i="8"/>
  <c r="H29" i="6"/>
  <c r="H26" i="6"/>
  <c r="H25" i="11"/>
  <c r="H24" i="11"/>
  <c r="H23" i="11"/>
  <c r="H2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" i="11"/>
  <c r="B25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" i="11"/>
  <c r="H20" i="8"/>
  <c r="B23" i="8"/>
  <c r="B30" i="6"/>
  <c r="G3" i="8"/>
  <c r="H3" i="8" s="1"/>
  <c r="G4" i="8"/>
  <c r="H4" i="8" s="1"/>
  <c r="G5" i="8"/>
  <c r="H5" i="8" s="1"/>
  <c r="G6" i="8"/>
  <c r="H6" i="8" s="1"/>
  <c r="G7" i="8"/>
  <c r="H7" i="8" s="1"/>
  <c r="G8" i="8"/>
  <c r="H8" i="8" s="1"/>
  <c r="G9" i="8"/>
  <c r="H9" i="8" s="1"/>
  <c r="G10" i="8"/>
  <c r="H10" i="8" s="1"/>
  <c r="G11" i="8"/>
  <c r="H11" i="8" s="1"/>
  <c r="G12" i="8"/>
  <c r="H12" i="8" s="1"/>
  <c r="G13" i="8"/>
  <c r="H13" i="8" s="1"/>
  <c r="G14" i="8"/>
  <c r="H14" i="8" s="1"/>
  <c r="G15" i="8"/>
  <c r="H15" i="8" s="1"/>
  <c r="G2" i="8"/>
  <c r="H2" i="8" s="1"/>
  <c r="B20" i="8"/>
  <c r="B19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2" i="8"/>
  <c r="B2" i="8"/>
  <c r="D4" i="151" l="1"/>
  <c r="D6" i="151" s="1"/>
  <c r="D7" i="151" s="1"/>
  <c r="D8" i="151" s="1"/>
  <c r="D9" i="151" s="1"/>
  <c r="D10" i="151" s="1"/>
  <c r="D11" i="151" s="1"/>
  <c r="D12" i="151" s="1"/>
  <c r="D13" i="151" s="1"/>
  <c r="D14" i="151" s="1"/>
  <c r="D15" i="151" s="1"/>
  <c r="D16" i="151" s="1"/>
  <c r="D17" i="151" s="1"/>
  <c r="D18" i="151" s="1"/>
  <c r="D19" i="151" s="1"/>
  <c r="D20" i="151" s="1"/>
  <c r="D21" i="151" s="1"/>
  <c r="D22" i="151" s="1"/>
  <c r="D23" i="151" s="1"/>
  <c r="D24" i="151" s="1"/>
  <c r="D25" i="151" s="1"/>
  <c r="D26" i="151" s="1"/>
  <c r="D27" i="151" s="1"/>
  <c r="D28" i="151" s="1"/>
  <c r="D29" i="151" s="1"/>
  <c r="D30" i="151" s="1"/>
  <c r="D31" i="151" s="1"/>
  <c r="D32" i="151" s="1"/>
  <c r="D33" i="151" s="1"/>
  <c r="D34" i="151" s="1"/>
  <c r="D35" i="151" s="1"/>
  <c r="D36" i="151" s="1"/>
  <c r="D37" i="151" s="1"/>
  <c r="D38" i="151" s="1"/>
  <c r="D39" i="151" s="1"/>
  <c r="D40" i="151" s="1"/>
  <c r="D41" i="151" s="1"/>
  <c r="D42" i="151" s="1"/>
  <c r="D43" i="151" s="1"/>
  <c r="D44" i="151" s="1"/>
  <c r="D45" i="151" s="1"/>
  <c r="D46" i="151" s="1"/>
  <c r="D47" i="151" s="1"/>
  <c r="D48" i="151" s="1"/>
  <c r="D49" i="151" s="1"/>
  <c r="D50" i="151" s="1"/>
  <c r="D51" i="151" s="1"/>
  <c r="D52" i="151" s="1"/>
  <c r="D53" i="151" s="1"/>
  <c r="D54" i="151" s="1"/>
  <c r="D55" i="151" s="1"/>
  <c r="D56" i="151" s="1"/>
  <c r="D57" i="151" s="1"/>
  <c r="D58" i="151" s="1"/>
  <c r="D59" i="151" s="1"/>
  <c r="D60" i="151" s="1"/>
  <c r="D61" i="151" s="1"/>
  <c r="D62" i="151" s="1"/>
  <c r="D63" i="151" s="1"/>
  <c r="D64" i="151" s="1"/>
  <c r="D65" i="151" s="1"/>
  <c r="D66" i="151" s="1"/>
  <c r="D67" i="151" s="1"/>
  <c r="D68" i="151" s="1"/>
  <c r="D69" i="151" s="1"/>
  <c r="D70" i="151" s="1"/>
  <c r="D71" i="151" s="1"/>
  <c r="D72" i="151" s="1"/>
  <c r="D73" i="151" s="1"/>
  <c r="D74" i="151" s="1"/>
  <c r="D75" i="151" s="1"/>
  <c r="D76" i="151" s="1"/>
  <c r="D77" i="151" s="1"/>
  <c r="D78" i="151" s="1"/>
  <c r="D79" i="151" s="1"/>
  <c r="D80" i="151" s="1"/>
  <c r="D81" i="151" s="1"/>
  <c r="D82" i="151" s="1"/>
  <c r="D83" i="151" s="1"/>
  <c r="D84" i="151" s="1"/>
  <c r="D85" i="151" s="1"/>
  <c r="D86" i="151" s="1"/>
  <c r="D87" i="151" s="1"/>
  <c r="D88" i="151" s="1"/>
  <c r="D89" i="151" s="1"/>
  <c r="D90" i="151" s="1"/>
  <c r="D91" i="151" s="1"/>
  <c r="D92" i="151" s="1"/>
  <c r="D93" i="151" s="1"/>
  <c r="D94" i="151" s="1"/>
  <c r="D95" i="151" s="1"/>
  <c r="D96" i="151" s="1"/>
  <c r="D97" i="151" s="1"/>
  <c r="D98" i="151" s="1"/>
  <c r="D99" i="151" s="1"/>
  <c r="D100" i="151" s="1"/>
  <c r="D101" i="151" s="1"/>
  <c r="D102" i="151" s="1"/>
  <c r="D103" i="151" s="1"/>
  <c r="D104" i="151" s="1"/>
  <c r="D105" i="151" s="1"/>
  <c r="D106" i="151" s="1"/>
  <c r="D107" i="151" s="1"/>
  <c r="D108" i="151" s="1"/>
  <c r="D109" i="151" s="1"/>
  <c r="D110" i="151" s="1"/>
  <c r="D111" i="151" s="1"/>
  <c r="D112" i="151" s="1"/>
  <c r="D113" i="151" s="1"/>
  <c r="D114" i="151" s="1"/>
  <c r="D115" i="151" s="1"/>
  <c r="D116" i="151" s="1"/>
  <c r="D117" i="151" s="1"/>
  <c r="D118" i="151" s="1"/>
  <c r="D119" i="151" s="1"/>
  <c r="D120" i="151" s="1"/>
  <c r="D121" i="151" s="1"/>
  <c r="D122" i="151" s="1"/>
  <c r="D123" i="151" s="1"/>
  <c r="D124" i="151" s="1"/>
  <c r="D125" i="151" s="1"/>
  <c r="D126" i="151" s="1"/>
  <c r="D127" i="151" s="1"/>
  <c r="D128" i="151" s="1"/>
  <c r="D129" i="151" s="1"/>
  <c r="D130" i="151" s="1"/>
  <c r="D131" i="151" s="1"/>
  <c r="D132" i="151" s="1"/>
  <c r="D133" i="151" s="1"/>
  <c r="D134" i="151" s="1"/>
  <c r="D135" i="151" s="1"/>
  <c r="D136" i="151" s="1"/>
  <c r="D137" i="151" s="1"/>
  <c r="D138" i="151" s="1"/>
  <c r="D139" i="151" s="1"/>
  <c r="D140" i="151" s="1"/>
  <c r="D141" i="151" s="1"/>
  <c r="D142" i="151" s="1"/>
  <c r="D143" i="151" s="1"/>
  <c r="D144" i="151" s="1"/>
  <c r="D145" i="151" s="1"/>
  <c r="D146" i="151" s="1"/>
  <c r="D147" i="151" s="1"/>
  <c r="D148" i="151" s="1"/>
  <c r="D149" i="151" s="1"/>
  <c r="D150" i="151" s="1"/>
  <c r="D151" i="151" s="1"/>
  <c r="D152" i="151" s="1"/>
  <c r="D153" i="151" s="1"/>
  <c r="D154" i="151" s="1"/>
  <c r="D155" i="151" s="1"/>
  <c r="D156" i="151" s="1"/>
  <c r="D157" i="151" s="1"/>
  <c r="D158" i="151" s="1"/>
  <c r="D159" i="151" s="1"/>
  <c r="D160" i="151" s="1"/>
  <c r="D161" i="151" s="1"/>
  <c r="D162" i="151" s="1"/>
  <c r="D163" i="151" s="1"/>
  <c r="D164" i="151" s="1"/>
  <c r="D165" i="151" s="1"/>
  <c r="D166" i="151" s="1"/>
  <c r="D167" i="151" s="1"/>
  <c r="D168" i="151" s="1"/>
  <c r="D169" i="151" s="1"/>
  <c r="D170" i="151" s="1"/>
  <c r="D171" i="151" s="1"/>
  <c r="D172" i="151" s="1"/>
  <c r="D173" i="151" s="1"/>
  <c r="D174" i="151" s="1"/>
  <c r="D175" i="151" s="1"/>
  <c r="D176" i="151" s="1"/>
  <c r="D177" i="151" s="1"/>
  <c r="D178" i="151" s="1"/>
  <c r="D179" i="151" s="1"/>
  <c r="D180" i="151" s="1"/>
  <c r="D181" i="151" s="1"/>
  <c r="D182" i="151" s="1"/>
  <c r="D183" i="151" s="1"/>
  <c r="D184" i="151" s="1"/>
  <c r="D185" i="151" s="1"/>
  <c r="D186" i="151" s="1"/>
  <c r="D187" i="151" s="1"/>
  <c r="D188" i="151" s="1"/>
  <c r="D189" i="151" s="1"/>
  <c r="D190" i="151" s="1"/>
  <c r="D191" i="151" s="1"/>
  <c r="D192" i="151" s="1"/>
  <c r="D193" i="151" s="1"/>
  <c r="D194" i="151" s="1"/>
  <c r="D195" i="151" s="1"/>
  <c r="D196" i="151" s="1"/>
  <c r="D197" i="151" s="1"/>
  <c r="D198" i="151" s="1"/>
  <c r="D199" i="151" s="1"/>
  <c r="D200" i="151" s="1"/>
  <c r="D201" i="151" s="1"/>
  <c r="D202" i="151" s="1"/>
  <c r="D203" i="151" s="1"/>
  <c r="D204" i="151" s="1"/>
  <c r="D205" i="151" s="1"/>
  <c r="D206" i="151" s="1"/>
  <c r="D207" i="151" s="1"/>
  <c r="D208" i="151" s="1"/>
  <c r="D209" i="151" s="1"/>
  <c r="D210" i="151" s="1"/>
  <c r="D211" i="151" s="1"/>
  <c r="D212" i="151" s="1"/>
  <c r="D213" i="151" s="1"/>
  <c r="D214" i="151" s="1"/>
  <c r="D215" i="151" s="1"/>
  <c r="D216" i="151" s="1"/>
  <c r="D217" i="151" s="1"/>
  <c r="D218" i="151" s="1"/>
  <c r="D219" i="151" s="1"/>
  <c r="D220" i="151" s="1"/>
  <c r="D221" i="151" s="1"/>
  <c r="D222" i="151" s="1"/>
  <c r="D223" i="151" s="1"/>
  <c r="D224" i="151" s="1"/>
  <c r="D225" i="151" s="1"/>
  <c r="D226" i="151" s="1"/>
  <c r="D227" i="151" s="1"/>
  <c r="D228" i="151" s="1"/>
  <c r="D229" i="151" s="1"/>
  <c r="D230" i="151" s="1"/>
  <c r="D231" i="151" s="1"/>
  <c r="D232" i="151" s="1"/>
  <c r="D233" i="151" s="1"/>
  <c r="D234" i="151" s="1"/>
  <c r="D235" i="151" s="1"/>
  <c r="D236" i="151" s="1"/>
  <c r="D237" i="151" s="1"/>
  <c r="D238" i="151" s="1"/>
  <c r="D239" i="151" s="1"/>
  <c r="D240" i="151" s="1"/>
  <c r="D241" i="151" s="1"/>
  <c r="D242" i="151" s="1"/>
  <c r="D243" i="151" s="1"/>
  <c r="D244" i="151" s="1"/>
  <c r="D245" i="151" s="1"/>
  <c r="D246" i="151" s="1"/>
  <c r="D247" i="151" s="1"/>
  <c r="D248" i="151" s="1"/>
  <c r="D249" i="151" s="1"/>
  <c r="D250" i="151" s="1"/>
  <c r="D251" i="151" s="1"/>
  <c r="D252" i="151" s="1"/>
  <c r="D253" i="151" s="1"/>
  <c r="D254" i="151" s="1"/>
  <c r="D255" i="151" s="1"/>
  <c r="D256" i="151" s="1"/>
  <c r="D257" i="151" s="1"/>
  <c r="D258" i="151" s="1"/>
  <c r="D259" i="151" s="1"/>
  <c r="D260" i="151" s="1"/>
  <c r="D261" i="151" s="1"/>
  <c r="D262" i="151" s="1"/>
  <c r="D263" i="151" s="1"/>
  <c r="D264" i="151" s="1"/>
  <c r="D265" i="151" s="1"/>
  <c r="D266" i="151" s="1"/>
  <c r="D267" i="151" s="1"/>
  <c r="D268" i="151" s="1"/>
  <c r="D269" i="151" s="1"/>
  <c r="D270" i="151" s="1"/>
  <c r="D271" i="151" s="1"/>
  <c r="D272" i="151" s="1"/>
  <c r="D273" i="151" s="1"/>
  <c r="D274" i="151" s="1"/>
  <c r="D275" i="151" s="1"/>
  <c r="D276" i="151" s="1"/>
  <c r="D277" i="151" s="1"/>
  <c r="D278" i="151" s="1"/>
  <c r="D279" i="151" s="1"/>
  <c r="D280" i="151" s="1"/>
  <c r="D281" i="151" s="1"/>
  <c r="D282" i="151" s="1"/>
  <c r="D283" i="151" s="1"/>
  <c r="D284" i="151" s="1"/>
  <c r="D285" i="151" s="1"/>
  <c r="D286" i="151" s="1"/>
  <c r="D287" i="151" s="1"/>
  <c r="D288" i="151" s="1"/>
  <c r="D289" i="151" s="1"/>
  <c r="D290" i="151" s="1"/>
  <c r="D291" i="151" s="1"/>
  <c r="D292" i="151" s="1"/>
  <c r="D293" i="151" s="1"/>
  <c r="D294" i="151" s="1"/>
  <c r="D295" i="151" s="1"/>
  <c r="D296" i="151" s="1"/>
  <c r="D297" i="151" s="1"/>
  <c r="D298" i="151" s="1"/>
  <c r="D299" i="151" s="1"/>
  <c r="D300" i="151" s="1"/>
  <c r="D301" i="151" s="1"/>
  <c r="D302" i="151" s="1"/>
  <c r="I23" i="157"/>
  <c r="I15" i="157"/>
  <c r="I7" i="157"/>
  <c r="I19" i="157"/>
  <c r="I28" i="157"/>
  <c r="G22" i="157"/>
  <c r="I22" i="157" s="1"/>
  <c r="G14" i="157"/>
  <c r="I14" i="157" s="1"/>
  <c r="G6" i="157"/>
  <c r="I6" i="157" s="1"/>
  <c r="G2" i="157"/>
  <c r="I2" i="157" s="1"/>
  <c r="G11" i="157"/>
  <c r="I11" i="157" s="1"/>
  <c r="G26" i="157"/>
  <c r="I26" i="157" s="1"/>
  <c r="G18" i="157"/>
  <c r="I18" i="157" s="1"/>
  <c r="G10" i="157"/>
  <c r="I10" i="157" s="1"/>
  <c r="G25" i="157"/>
  <c r="I25" i="157" s="1"/>
  <c r="G17" i="157"/>
  <c r="I17" i="157" s="1"/>
  <c r="G9" i="157"/>
  <c r="I9" i="157" s="1"/>
  <c r="B33" i="157"/>
  <c r="G3" i="157"/>
  <c r="I3" i="157" s="1"/>
  <c r="J5" i="147"/>
  <c r="H8" i="147"/>
  <c r="J8" i="147" s="1"/>
  <c r="F7" i="147"/>
  <c r="H7" i="147" s="1"/>
  <c r="J7" i="147" s="1"/>
  <c r="J11" i="146"/>
  <c r="J6" i="146"/>
  <c r="J3" i="146"/>
  <c r="J8" i="146"/>
  <c r="H5" i="146"/>
  <c r="J5" i="146" s="1"/>
  <c r="B17" i="146"/>
  <c r="F12" i="137"/>
  <c r="F4" i="137"/>
  <c r="F11" i="137"/>
  <c r="F10" i="137"/>
  <c r="D126" i="129"/>
  <c r="D127" i="129" s="1"/>
  <c r="D128" i="129" s="1"/>
  <c r="D129" i="129" s="1"/>
  <c r="D130" i="129" s="1"/>
  <c r="D131" i="129" s="1"/>
  <c r="D132" i="129" s="1"/>
  <c r="D133" i="129" s="1"/>
  <c r="D134" i="129" s="1"/>
  <c r="D135" i="129" s="1"/>
  <c r="D136" i="129" s="1"/>
  <c r="D137" i="129" s="1"/>
  <c r="D138" i="129" s="1"/>
  <c r="D139" i="129" s="1"/>
  <c r="D140" i="129" s="1"/>
  <c r="D141" i="129" s="1"/>
  <c r="D142" i="129" s="1"/>
  <c r="D143" i="129" s="1"/>
  <c r="D144" i="129" s="1"/>
  <c r="D145" i="129" s="1"/>
  <c r="D146" i="129" s="1"/>
  <c r="D147" i="129" s="1"/>
  <c r="D148" i="129" s="1"/>
  <c r="D149" i="129" s="1"/>
  <c r="D150" i="129" s="1"/>
  <c r="D151" i="129" s="1"/>
  <c r="D152" i="129" s="1"/>
  <c r="D153" i="129" s="1"/>
  <c r="D154" i="129" s="1"/>
  <c r="D155" i="129" s="1"/>
  <c r="D156" i="129" s="1"/>
  <c r="D157" i="129" s="1"/>
  <c r="D158" i="129" s="1"/>
  <c r="D159" i="129" s="1"/>
  <c r="D160" i="129" s="1"/>
  <c r="D161" i="129" s="1"/>
  <c r="D162" i="129" s="1"/>
  <c r="D163" i="129" s="1"/>
  <c r="D4" i="96"/>
  <c r="D5" i="96"/>
  <c r="D6" i="96" s="1"/>
  <c r="D7" i="96" s="1"/>
  <c r="D8" i="96" s="1"/>
  <c r="D9" i="96" s="1"/>
  <c r="D10" i="96" s="1"/>
  <c r="D11" i="96" s="1"/>
  <c r="D12" i="96" s="1"/>
  <c r="D13" i="96" s="1"/>
  <c r="D14" i="96" s="1"/>
  <c r="D15" i="96" s="1"/>
  <c r="D16" i="96" s="1"/>
  <c r="D17" i="96" s="1"/>
  <c r="D18" i="96" s="1"/>
  <c r="D19" i="96" s="1"/>
  <c r="D20" i="96" s="1"/>
  <c r="D21" i="96" s="1"/>
  <c r="D22" i="96" s="1"/>
  <c r="D23" i="96" s="1"/>
  <c r="D24" i="96" s="1"/>
  <c r="D25" i="96" s="1"/>
  <c r="D26" i="96" s="1"/>
  <c r="D27" i="96" s="1"/>
  <c r="D28" i="96" s="1"/>
  <c r="D29" i="96" s="1"/>
  <c r="D30" i="96" s="1"/>
  <c r="D31" i="96" s="1"/>
  <c r="D32" i="96" s="1"/>
  <c r="D33" i="96" s="1"/>
  <c r="D34" i="96" s="1"/>
  <c r="D35" i="96" s="1"/>
  <c r="D36" i="96" s="1"/>
  <c r="D37" i="96" s="1"/>
  <c r="D38" i="96" s="1"/>
  <c r="D39" i="96" s="1"/>
  <c r="D40" i="96" s="1"/>
  <c r="D41" i="96" s="1"/>
  <c r="D42" i="96" s="1"/>
  <c r="D43" i="96" s="1"/>
  <c r="D44" i="96" s="1"/>
  <c r="D45" i="96" s="1"/>
  <c r="D46" i="96" s="1"/>
  <c r="D47" i="96" s="1"/>
  <c r="D48" i="96" s="1"/>
  <c r="D49" i="96" s="1"/>
  <c r="D50" i="96" s="1"/>
  <c r="D51" i="96" s="1"/>
  <c r="D52" i="96" s="1"/>
  <c r="D53" i="96" s="1"/>
  <c r="D54" i="96" s="1"/>
  <c r="D55" i="96" s="1"/>
  <c r="D56" i="96" s="1"/>
  <c r="D57" i="96" s="1"/>
  <c r="D58" i="96" s="1"/>
  <c r="D59" i="96" s="1"/>
  <c r="D60" i="96" s="1"/>
  <c r="D61" i="96" s="1"/>
  <c r="D62" i="96" s="1"/>
  <c r="D63" i="96" s="1"/>
  <c r="D64" i="96" s="1"/>
  <c r="D65" i="96" s="1"/>
  <c r="D66" i="96" s="1"/>
  <c r="D67" i="96" s="1"/>
  <c r="D68" i="96" s="1"/>
  <c r="D69" i="96" s="1"/>
  <c r="D70" i="96" s="1"/>
  <c r="D71" i="96" s="1"/>
  <c r="D72" i="96" s="1"/>
  <c r="D73" i="96" s="1"/>
  <c r="D74" i="96" s="1"/>
  <c r="D75" i="96" s="1"/>
  <c r="D76" i="96" s="1"/>
  <c r="D77" i="96" s="1"/>
  <c r="D78" i="96" s="1"/>
  <c r="D79" i="96" s="1"/>
  <c r="D80" i="96" s="1"/>
  <c r="D81" i="96" s="1"/>
  <c r="D82" i="96" s="1"/>
  <c r="D83" i="96" s="1"/>
  <c r="D84" i="96" s="1"/>
  <c r="D85" i="96" s="1"/>
  <c r="D86" i="96" s="1"/>
  <c r="D87" i="96" s="1"/>
  <c r="D88" i="96" s="1"/>
  <c r="D89" i="96" s="1"/>
  <c r="D90" i="96" s="1"/>
  <c r="D91" i="96" s="1"/>
  <c r="D92" i="96" s="1"/>
  <c r="D93" i="96" s="1"/>
  <c r="D94" i="96" s="1"/>
  <c r="D95" i="96" s="1"/>
  <c r="D96" i="96" s="1"/>
  <c r="D97" i="96" s="1"/>
  <c r="D98" i="96" s="1"/>
  <c r="D99" i="96" s="1"/>
  <c r="D100" i="96" s="1"/>
  <c r="D101" i="96" s="1"/>
  <c r="D102" i="96" s="1"/>
  <c r="D103" i="96" s="1"/>
  <c r="D104" i="96" s="1"/>
  <c r="D105" i="96" s="1"/>
  <c r="D106" i="96" s="1"/>
  <c r="D107" i="96" s="1"/>
  <c r="D108" i="96" s="1"/>
  <c r="D109" i="96" s="1"/>
  <c r="D110" i="96" s="1"/>
  <c r="D111" i="96" s="1"/>
  <c r="D112" i="96" s="1"/>
  <c r="D113" i="96" s="1"/>
  <c r="D114" i="96" s="1"/>
  <c r="D115" i="96" s="1"/>
  <c r="D116" i="96" s="1"/>
  <c r="D117" i="96" s="1"/>
  <c r="D118" i="96" s="1"/>
  <c r="D119" i="96" s="1"/>
  <c r="D120" i="96" s="1"/>
  <c r="D121" i="96" s="1"/>
  <c r="D122" i="96" s="1"/>
  <c r="D123" i="96" s="1"/>
  <c r="D6" i="92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D21" i="92" s="1"/>
  <c r="D22" i="92" s="1"/>
  <c r="D23" i="92" s="1"/>
  <c r="D24" i="92" s="1"/>
  <c r="D25" i="92" s="1"/>
  <c r="D26" i="92" s="1"/>
  <c r="D27" i="92" s="1"/>
  <c r="D28" i="92" s="1"/>
  <c r="D29" i="92" s="1"/>
  <c r="D30" i="92" s="1"/>
  <c r="D31" i="92" s="1"/>
  <c r="D32" i="92" s="1"/>
  <c r="D33" i="92" s="1"/>
  <c r="D34" i="92" s="1"/>
  <c r="D35" i="92" s="1"/>
  <c r="D36" i="92" s="1"/>
  <c r="D37" i="92" s="1"/>
  <c r="D38" i="92" s="1"/>
  <c r="D39" i="92" s="1"/>
  <c r="D40" i="92" s="1"/>
  <c r="D41" i="92" s="1"/>
  <c r="D42" i="92" s="1"/>
  <c r="D43" i="92" s="1"/>
  <c r="D44" i="92" s="1"/>
  <c r="D45" i="92" s="1"/>
  <c r="D46" i="92" s="1"/>
  <c r="D47" i="92" s="1"/>
  <c r="D48" i="92" s="1"/>
  <c r="D49" i="92" s="1"/>
  <c r="D50" i="92" s="1"/>
  <c r="D51" i="92" s="1"/>
  <c r="D52" i="92" s="1"/>
  <c r="D53" i="92" s="1"/>
  <c r="D54" i="92" s="1"/>
  <c r="D55" i="92" s="1"/>
  <c r="D56" i="92" s="1"/>
  <c r="D57" i="92" s="1"/>
  <c r="D58" i="92" s="1"/>
  <c r="D59" i="92" s="1"/>
  <c r="D60" i="92" s="1"/>
  <c r="D61" i="92" s="1"/>
  <c r="D62" i="92" s="1"/>
  <c r="D63" i="92" s="1"/>
  <c r="D64" i="92" s="1"/>
  <c r="D65" i="92" s="1"/>
  <c r="D66" i="92" s="1"/>
  <c r="D67" i="92" s="1"/>
  <c r="D68" i="92" s="1"/>
  <c r="D69" i="92" s="1"/>
  <c r="D70" i="92" s="1"/>
  <c r="D71" i="92" s="1"/>
  <c r="D72" i="92" s="1"/>
  <c r="D73" i="92" s="1"/>
  <c r="D74" i="92" s="1"/>
  <c r="D75" i="92" s="1"/>
  <c r="D76" i="92" s="1"/>
  <c r="D77" i="92" s="1"/>
  <c r="D78" i="92" s="1"/>
  <c r="D79" i="92" s="1"/>
  <c r="D80" i="92" s="1"/>
  <c r="D81" i="92" s="1"/>
  <c r="D82" i="92" s="1"/>
  <c r="D83" i="92" s="1"/>
  <c r="D84" i="92" s="1"/>
  <c r="D85" i="92" s="1"/>
  <c r="D86" i="92" s="1"/>
  <c r="D87" i="92" s="1"/>
  <c r="D88" i="92" s="1"/>
  <c r="D89" i="92" s="1"/>
  <c r="D90" i="92" s="1"/>
  <c r="D91" i="92" s="1"/>
  <c r="D92" i="92" s="1"/>
  <c r="D93" i="92" s="1"/>
  <c r="D94" i="92" s="1"/>
  <c r="D95" i="92" s="1"/>
  <c r="D96" i="92" s="1"/>
  <c r="D97" i="92" s="1"/>
  <c r="D98" i="92" s="1"/>
  <c r="D99" i="92" s="1"/>
  <c r="D100" i="92" s="1"/>
  <c r="D101" i="92" s="1"/>
  <c r="D102" i="92" s="1"/>
  <c r="D103" i="92" s="1"/>
  <c r="D104" i="92" s="1"/>
  <c r="D105" i="92" s="1"/>
  <c r="D106" i="92" s="1"/>
  <c r="D107" i="92" s="1"/>
  <c r="D108" i="92" s="1"/>
  <c r="D109" i="92" s="1"/>
  <c r="D110" i="92" s="1"/>
  <c r="D111" i="92" s="1"/>
  <c r="D112" i="92" s="1"/>
  <c r="D113" i="92" s="1"/>
  <c r="D114" i="92" s="1"/>
  <c r="D115" i="92" s="1"/>
  <c r="D116" i="92" s="1"/>
  <c r="D117" i="92" s="1"/>
  <c r="D118" i="92" s="1"/>
  <c r="D119" i="92" s="1"/>
  <c r="D120" i="92" s="1"/>
  <c r="D121" i="92" s="1"/>
  <c r="D122" i="92" s="1"/>
  <c r="D123" i="92" s="1"/>
  <c r="D124" i="92" s="1"/>
  <c r="D125" i="92" s="1"/>
  <c r="D126" i="92" s="1"/>
  <c r="D127" i="92" s="1"/>
  <c r="D128" i="92" s="1"/>
  <c r="D129" i="92" s="1"/>
  <c r="D130" i="92" s="1"/>
  <c r="D131" i="92" s="1"/>
  <c r="D132" i="92" s="1"/>
  <c r="D133" i="92" s="1"/>
  <c r="D134" i="92" s="1"/>
  <c r="D135" i="92" s="1"/>
  <c r="D136" i="92" s="1"/>
  <c r="D137" i="92" s="1"/>
  <c r="D138" i="92" s="1"/>
  <c r="D139" i="92" s="1"/>
  <c r="D140" i="92" s="1"/>
  <c r="D141" i="92" s="1"/>
  <c r="D142" i="92" s="1"/>
  <c r="D143" i="92" s="1"/>
  <c r="D144" i="92" s="1"/>
  <c r="D145" i="92" s="1"/>
  <c r="D146" i="92" s="1"/>
  <c r="D147" i="92" s="1"/>
  <c r="D148" i="92" s="1"/>
  <c r="D149" i="92" s="1"/>
  <c r="D150" i="92" s="1"/>
  <c r="D151" i="92" s="1"/>
  <c r="D152" i="92" s="1"/>
  <c r="D153" i="92" s="1"/>
  <c r="D154" i="92" s="1"/>
  <c r="D155" i="92" s="1"/>
  <c r="D156" i="92" s="1"/>
  <c r="D157" i="92" s="1"/>
  <c r="D158" i="92" s="1"/>
  <c r="D159" i="92" s="1"/>
  <c r="D160" i="92" s="1"/>
  <c r="D161" i="92" s="1"/>
  <c r="D162" i="92" s="1"/>
  <c r="D163" i="92" s="1"/>
  <c r="D164" i="92" s="1"/>
  <c r="D165" i="92" s="1"/>
  <c r="D166" i="92" s="1"/>
  <c r="D167" i="92" s="1"/>
  <c r="D168" i="92" s="1"/>
  <c r="D169" i="92" s="1"/>
  <c r="D170" i="92" s="1"/>
  <c r="D171" i="92" s="1"/>
  <c r="D172" i="92" s="1"/>
  <c r="D173" i="92" s="1"/>
  <c r="D174" i="92" s="1"/>
  <c r="D175" i="92" s="1"/>
  <c r="D176" i="92" s="1"/>
  <c r="D177" i="92" s="1"/>
  <c r="D178" i="92" s="1"/>
  <c r="D179" i="92" s="1"/>
  <c r="D180" i="92" s="1"/>
  <c r="D181" i="92" s="1"/>
  <c r="D182" i="92" s="1"/>
  <c r="D183" i="92" s="1"/>
  <c r="D184" i="92" s="1"/>
  <c r="D185" i="92" s="1"/>
  <c r="D186" i="92" s="1"/>
  <c r="D187" i="92" s="1"/>
  <c r="D188" i="92" s="1"/>
  <c r="D189" i="92" s="1"/>
  <c r="D190" i="92" s="1"/>
  <c r="D191" i="92" s="1"/>
  <c r="D192" i="92" s="1"/>
  <c r="D193" i="92" s="1"/>
  <c r="D194" i="92" s="1"/>
  <c r="D195" i="92" s="1"/>
  <c r="D196" i="92" s="1"/>
  <c r="D197" i="92" s="1"/>
  <c r="D198" i="92" s="1"/>
  <c r="D199" i="92" s="1"/>
  <c r="D200" i="92" s="1"/>
  <c r="D201" i="92" s="1"/>
  <c r="D202" i="92" s="1"/>
  <c r="D203" i="92" s="1"/>
  <c r="D204" i="92" s="1"/>
  <c r="D205" i="92" s="1"/>
  <c r="D206" i="92" s="1"/>
  <c r="D207" i="92" s="1"/>
  <c r="D208" i="92" s="1"/>
  <c r="D209" i="92" s="1"/>
  <c r="D210" i="92" s="1"/>
  <c r="D211" i="92" s="1"/>
  <c r="D212" i="92" s="1"/>
  <c r="D213" i="92" s="1"/>
  <c r="D214" i="92" s="1"/>
  <c r="D215" i="92" s="1"/>
  <c r="D216" i="92" s="1"/>
  <c r="D217" i="92" s="1"/>
  <c r="D218" i="92" s="1"/>
  <c r="D219" i="92" s="1"/>
  <c r="D220" i="92" s="1"/>
  <c r="D221" i="92" s="1"/>
  <c r="D222" i="92" s="1"/>
  <c r="D223" i="92" s="1"/>
  <c r="D224" i="92" s="1"/>
  <c r="D225" i="92" s="1"/>
  <c r="D226" i="92" s="1"/>
  <c r="D227" i="92" s="1"/>
  <c r="D228" i="92" s="1"/>
  <c r="D229" i="92" s="1"/>
  <c r="D230" i="92" s="1"/>
  <c r="D231" i="92" s="1"/>
  <c r="D232" i="92" s="1"/>
  <c r="D233" i="92" s="1"/>
  <c r="D234" i="92" s="1"/>
  <c r="D235" i="92" s="1"/>
  <c r="D236" i="92" s="1"/>
  <c r="D237" i="92" s="1"/>
  <c r="D238" i="92" s="1"/>
  <c r="D239" i="92" s="1"/>
  <c r="D240" i="92" s="1"/>
  <c r="D241" i="92" s="1"/>
  <c r="D242" i="92" s="1"/>
  <c r="D243" i="92" s="1"/>
  <c r="D244" i="92" s="1"/>
  <c r="D245" i="92" s="1"/>
  <c r="D246" i="92" s="1"/>
  <c r="D247" i="92" s="1"/>
  <c r="D248" i="92" s="1"/>
  <c r="D249" i="92" s="1"/>
  <c r="D250" i="92" s="1"/>
  <c r="D251" i="92" s="1"/>
  <c r="D252" i="92" s="1"/>
  <c r="D253" i="92" s="1"/>
  <c r="D254" i="92" s="1"/>
  <c r="D255" i="92" s="1"/>
  <c r="D256" i="92" s="1"/>
  <c r="D257" i="92" s="1"/>
  <c r="D258" i="92" s="1"/>
  <c r="D259" i="92" s="1"/>
  <c r="D260" i="92" s="1"/>
  <c r="D261" i="92" s="1"/>
  <c r="D262" i="92" s="1"/>
  <c r="D263" i="92" s="1"/>
  <c r="D264" i="92" s="1"/>
  <c r="D265" i="92" s="1"/>
  <c r="D266" i="92" s="1"/>
  <c r="D267" i="92" s="1"/>
  <c r="D268" i="92" s="1"/>
  <c r="D269" i="92" s="1"/>
  <c r="D270" i="92" s="1"/>
  <c r="D271" i="92" s="1"/>
  <c r="D272" i="92" s="1"/>
  <c r="D273" i="92" s="1"/>
  <c r="D274" i="92" s="1"/>
  <c r="D275" i="92" s="1"/>
  <c r="D276" i="92" s="1"/>
  <c r="D277" i="92" s="1"/>
  <c r="D278" i="92" s="1"/>
  <c r="D279" i="92" s="1"/>
  <c r="D280" i="92" s="1"/>
  <c r="D281" i="92" s="1"/>
  <c r="D282" i="92" s="1"/>
  <c r="D283" i="92" s="1"/>
  <c r="D284" i="92" s="1"/>
  <c r="D285" i="92" s="1"/>
  <c r="D286" i="92" s="1"/>
  <c r="D287" i="92" s="1"/>
  <c r="D288" i="92" s="1"/>
  <c r="D289" i="92" s="1"/>
  <c r="D290" i="92" s="1"/>
  <c r="D291" i="92" s="1"/>
  <c r="D292" i="92" s="1"/>
  <c r="D293" i="92" s="1"/>
  <c r="D294" i="92" s="1"/>
  <c r="D295" i="92" s="1"/>
  <c r="D296" i="92" s="1"/>
  <c r="D297" i="92" s="1"/>
  <c r="D298" i="92" s="1"/>
  <c r="D299" i="92" s="1"/>
  <c r="D300" i="92" s="1"/>
  <c r="D301" i="92" s="1"/>
  <c r="D4" i="89"/>
  <c r="D5" i="89" s="1"/>
  <c r="D6" i="89" s="1"/>
  <c r="D7" i="89" s="1"/>
  <c r="D8" i="89" s="1"/>
  <c r="D9" i="89" s="1"/>
  <c r="D10" i="89" s="1"/>
  <c r="D11" i="89" s="1"/>
  <c r="D12" i="89" s="1"/>
  <c r="D13" i="89" s="1"/>
  <c r="D14" i="89" s="1"/>
  <c r="D15" i="89" s="1"/>
  <c r="D16" i="89" s="1"/>
  <c r="D17" i="89" s="1"/>
  <c r="D18" i="89" s="1"/>
  <c r="D19" i="89" s="1"/>
  <c r="D20" i="89" s="1"/>
  <c r="D21" i="89" s="1"/>
  <c r="D22" i="89" s="1"/>
  <c r="D23" i="89" s="1"/>
  <c r="D24" i="89" s="1"/>
  <c r="D25" i="89" s="1"/>
  <c r="D26" i="89" s="1"/>
  <c r="D27" i="89" s="1"/>
  <c r="D28" i="89" s="1"/>
  <c r="D29" i="89" s="1"/>
  <c r="D30" i="89" s="1"/>
  <c r="D31" i="89" s="1"/>
  <c r="D32" i="89" s="1"/>
  <c r="D33" i="89" s="1"/>
  <c r="D34" i="89" s="1"/>
  <c r="D35" i="89" s="1"/>
  <c r="D36" i="89" s="1"/>
  <c r="D37" i="89" s="1"/>
  <c r="D38" i="89" s="1"/>
  <c r="D39" i="89" s="1"/>
  <c r="D40" i="89" s="1"/>
  <c r="D41" i="89" s="1"/>
  <c r="D42" i="89" s="1"/>
  <c r="D43" i="89" s="1"/>
  <c r="D44" i="89" s="1"/>
  <c r="D45" i="89" s="1"/>
  <c r="D46" i="89" s="1"/>
  <c r="D47" i="89" s="1"/>
  <c r="D48" i="89" s="1"/>
  <c r="D49" i="89" s="1"/>
  <c r="D50" i="89" s="1"/>
  <c r="D51" i="89" s="1"/>
  <c r="D52" i="89" s="1"/>
  <c r="D53" i="89" s="1"/>
  <c r="D54" i="89" s="1"/>
  <c r="D55" i="89" s="1"/>
  <c r="D56" i="89" s="1"/>
  <c r="D57" i="89" s="1"/>
  <c r="D58" i="89" s="1"/>
  <c r="D59" i="89" s="1"/>
  <c r="D60" i="89" s="1"/>
  <c r="D61" i="89" s="1"/>
  <c r="D62" i="89" s="1"/>
  <c r="D63" i="89" s="1"/>
  <c r="D64" i="89" s="1"/>
  <c r="D65" i="89" s="1"/>
  <c r="D66" i="89" s="1"/>
  <c r="D67" i="89" s="1"/>
  <c r="D68" i="89" s="1"/>
  <c r="D69" i="89" s="1"/>
  <c r="D70" i="89" s="1"/>
  <c r="D71" i="89" s="1"/>
  <c r="D72" i="89" s="1"/>
  <c r="D73" i="89" s="1"/>
  <c r="D74" i="89" s="1"/>
  <c r="D75" i="89" s="1"/>
  <c r="D76" i="89" s="1"/>
  <c r="D77" i="89" s="1"/>
  <c r="D78" i="89" s="1"/>
  <c r="D79" i="89" s="1"/>
  <c r="D80" i="89" s="1"/>
  <c r="D81" i="89" s="1"/>
  <c r="D82" i="89" s="1"/>
  <c r="D83" i="89" s="1"/>
  <c r="D84" i="89" s="1"/>
  <c r="D85" i="89" s="1"/>
  <c r="D86" i="89" s="1"/>
  <c r="D87" i="89" s="1"/>
  <c r="D88" i="89" s="1"/>
  <c r="D89" i="89" s="1"/>
  <c r="D90" i="89" s="1"/>
  <c r="D91" i="89" s="1"/>
  <c r="D92" i="89" s="1"/>
  <c r="D93" i="89" s="1"/>
  <c r="D94" i="89" s="1"/>
  <c r="D95" i="89" s="1"/>
  <c r="D96" i="89" s="1"/>
  <c r="D97" i="89" s="1"/>
  <c r="D98" i="89" s="1"/>
  <c r="D99" i="89" s="1"/>
  <c r="D100" i="89" s="1"/>
  <c r="D101" i="89" s="1"/>
  <c r="D102" i="89" s="1"/>
  <c r="D103" i="89" s="1"/>
  <c r="D104" i="89" s="1"/>
  <c r="D105" i="89" s="1"/>
  <c r="D106" i="89" s="1"/>
  <c r="D107" i="89" s="1"/>
  <c r="D108" i="89" s="1"/>
  <c r="D109" i="89" s="1"/>
  <c r="D110" i="89" s="1"/>
  <c r="D111" i="89" s="1"/>
  <c r="D112" i="89" s="1"/>
  <c r="D113" i="89" s="1"/>
  <c r="D114" i="89" s="1"/>
  <c r="D115" i="89" s="1"/>
  <c r="D116" i="89" s="1"/>
  <c r="D117" i="89" s="1"/>
  <c r="D118" i="89" s="1"/>
  <c r="D119" i="89" s="1"/>
  <c r="D120" i="89" s="1"/>
  <c r="D121" i="89" s="1"/>
  <c r="D122" i="89" s="1"/>
  <c r="D123" i="89" s="1"/>
  <c r="D124" i="89" s="1"/>
  <c r="D125" i="89" s="1"/>
  <c r="D126" i="89" s="1"/>
  <c r="D127" i="89" s="1"/>
  <c r="D128" i="89" s="1"/>
  <c r="D129" i="89" s="1"/>
  <c r="D130" i="89" s="1"/>
  <c r="D131" i="89" s="1"/>
  <c r="D132" i="89" s="1"/>
  <c r="D133" i="89" s="1"/>
  <c r="D134" i="89" s="1"/>
  <c r="D135" i="89" s="1"/>
  <c r="D136" i="89" s="1"/>
  <c r="D137" i="89" s="1"/>
  <c r="D138" i="89" s="1"/>
  <c r="D139" i="89" s="1"/>
  <c r="D140" i="89" s="1"/>
  <c r="D141" i="89" s="1"/>
  <c r="D142" i="89" s="1"/>
  <c r="D143" i="89" s="1"/>
  <c r="D144" i="89" s="1"/>
  <c r="D145" i="89" s="1"/>
  <c r="D146" i="89" s="1"/>
  <c r="D147" i="89" s="1"/>
  <c r="D148" i="89" s="1"/>
  <c r="D149" i="89" s="1"/>
  <c r="D150" i="89" s="1"/>
  <c r="D151" i="89" s="1"/>
  <c r="D152" i="89" s="1"/>
  <c r="D153" i="89" s="1"/>
  <c r="D154" i="89" s="1"/>
  <c r="D3" i="52"/>
  <c r="D4" i="52" s="1"/>
  <c r="D5" i="52" s="1"/>
  <c r="D6" i="52" s="1"/>
  <c r="D7" i="52" s="1"/>
  <c r="D8" i="52" s="1"/>
  <c r="D9" i="52" s="1"/>
  <c r="D10" i="52" s="1"/>
  <c r="D11" i="52" s="1"/>
  <c r="D12" i="52" s="1"/>
  <c r="D13" i="52" s="1"/>
  <c r="D14" i="52" s="1"/>
  <c r="D15" i="52" s="1"/>
  <c r="D16" i="52" s="1"/>
  <c r="D17" i="52" s="1"/>
  <c r="D18" i="52" s="1"/>
  <c r="D19" i="52" s="1"/>
  <c r="D20" i="52" s="1"/>
  <c r="D21" i="52" s="1"/>
  <c r="D22" i="52" s="1"/>
  <c r="D23" i="52" s="1"/>
  <c r="D24" i="52" s="1"/>
  <c r="D25" i="52" s="1"/>
  <c r="D26" i="52" s="1"/>
  <c r="D27" i="52" s="1"/>
  <c r="D28" i="52" s="1"/>
  <c r="D29" i="52" s="1"/>
  <c r="D30" i="52" s="1"/>
  <c r="D31" i="52" s="1"/>
  <c r="D32" i="52" s="1"/>
  <c r="D33" i="52" s="1"/>
  <c r="D34" i="52" s="1"/>
  <c r="D35" i="52" s="1"/>
  <c r="D36" i="52" s="1"/>
  <c r="D37" i="52" s="1"/>
  <c r="D38" i="52" s="1"/>
  <c r="D39" i="52" s="1"/>
  <c r="D40" i="52" s="1"/>
  <c r="D41" i="52" s="1"/>
  <c r="D42" i="52" s="1"/>
  <c r="D43" i="52" s="1"/>
  <c r="D44" i="52" s="1"/>
  <c r="D45" i="52" s="1"/>
  <c r="D46" i="52" s="1"/>
  <c r="D47" i="52" s="1"/>
  <c r="D48" i="52" s="1"/>
  <c r="D49" i="52" s="1"/>
  <c r="D50" i="52" s="1"/>
  <c r="D51" i="52" s="1"/>
  <c r="D52" i="52" s="1"/>
  <c r="D53" i="52" s="1"/>
  <c r="D54" i="52" s="1"/>
  <c r="D55" i="52" s="1"/>
  <c r="D56" i="52" s="1"/>
  <c r="D57" i="52" s="1"/>
  <c r="D58" i="52" s="1"/>
  <c r="D59" i="52" s="1"/>
  <c r="D60" i="52" s="1"/>
  <c r="D61" i="52" s="1"/>
  <c r="D62" i="52" s="1"/>
  <c r="D63" i="52" s="1"/>
  <c r="D64" i="52" s="1"/>
  <c r="D65" i="52" s="1"/>
  <c r="D66" i="52" s="1"/>
  <c r="D67" i="52" s="1"/>
  <c r="D68" i="52" s="1"/>
  <c r="D69" i="52" s="1"/>
  <c r="D70" i="52" s="1"/>
  <c r="D71" i="52" s="1"/>
  <c r="D72" i="52" s="1"/>
  <c r="D73" i="52" s="1"/>
  <c r="D74" i="52" s="1"/>
  <c r="D75" i="52" s="1"/>
  <c r="D76" i="52" s="1"/>
  <c r="D77" i="52" s="1"/>
  <c r="D78" i="52" s="1"/>
  <c r="D79" i="52" s="1"/>
  <c r="D80" i="52" s="1"/>
  <c r="D81" i="52" s="1"/>
  <c r="D82" i="52" s="1"/>
  <c r="D83" i="52" s="1"/>
  <c r="D84" i="52" s="1"/>
  <c r="D85" i="52" s="1"/>
  <c r="D86" i="52" s="1"/>
  <c r="D87" i="52" s="1"/>
  <c r="D88" i="52" s="1"/>
  <c r="D89" i="52" s="1"/>
  <c r="D90" i="52" s="1"/>
  <c r="D91" i="52" s="1"/>
  <c r="D92" i="52" s="1"/>
  <c r="D93" i="52" s="1"/>
  <c r="D94" i="52" s="1"/>
  <c r="D95" i="52" s="1"/>
  <c r="D96" i="52" s="1"/>
  <c r="D97" i="52" s="1"/>
  <c r="D98" i="52" s="1"/>
  <c r="D99" i="52" s="1"/>
  <c r="D100" i="52" s="1"/>
  <c r="D101" i="52" s="1"/>
  <c r="D102" i="52" s="1"/>
  <c r="D103" i="52" s="1"/>
  <c r="D104" i="52" s="1"/>
  <c r="D105" i="52" s="1"/>
  <c r="D106" i="52" s="1"/>
  <c r="D107" i="52" s="1"/>
  <c r="D108" i="52" s="1"/>
  <c r="D109" i="52" s="1"/>
  <c r="D110" i="52" s="1"/>
  <c r="D111" i="52" s="1"/>
  <c r="D112" i="52" s="1"/>
  <c r="D113" i="52" s="1"/>
  <c r="D114" i="52" s="1"/>
  <c r="D115" i="52" s="1"/>
  <c r="D116" i="52" s="1"/>
  <c r="D117" i="52" s="1"/>
  <c r="D118" i="52" s="1"/>
  <c r="D119" i="52" s="1"/>
  <c r="D120" i="52" s="1"/>
  <c r="D121" i="52" s="1"/>
  <c r="D10" i="82"/>
  <c r="D11" i="82" s="1"/>
  <c r="D12" i="82" s="1"/>
  <c r="D13" i="82" s="1"/>
  <c r="D14" i="82" s="1"/>
  <c r="D15" i="82" s="1"/>
  <c r="D16" i="82" s="1"/>
  <c r="D17" i="82" s="1"/>
  <c r="D18" i="82" s="1"/>
  <c r="D19" i="82" s="1"/>
  <c r="D20" i="82" s="1"/>
  <c r="D21" i="82" s="1"/>
  <c r="D22" i="82" s="1"/>
  <c r="D23" i="82" s="1"/>
  <c r="D24" i="82" s="1"/>
  <c r="D25" i="82" s="1"/>
  <c r="D26" i="82" s="1"/>
  <c r="D27" i="82" s="1"/>
  <c r="D28" i="82" s="1"/>
  <c r="D29" i="82" s="1"/>
  <c r="D30" i="82" s="1"/>
  <c r="D31" i="82" s="1"/>
  <c r="D32" i="82" s="1"/>
  <c r="D33" i="82" s="1"/>
  <c r="D34" i="82" s="1"/>
  <c r="D35" i="82" s="1"/>
  <c r="D36" i="82" s="1"/>
  <c r="D37" i="82" s="1"/>
  <c r="D38" i="82" s="1"/>
  <c r="D39" i="82" s="1"/>
  <c r="D40" i="82" s="1"/>
  <c r="D41" i="82" s="1"/>
  <c r="D42" i="82" s="1"/>
  <c r="D43" i="82" s="1"/>
  <c r="D44" i="82" s="1"/>
  <c r="D45" i="82" s="1"/>
  <c r="D46" i="82" s="1"/>
  <c r="D47" i="82" s="1"/>
  <c r="D48" i="82" s="1"/>
  <c r="D49" i="82" s="1"/>
  <c r="D50" i="82" s="1"/>
  <c r="D51" i="82" s="1"/>
  <c r="D52" i="82" s="1"/>
  <c r="D53" i="82" s="1"/>
  <c r="D54" i="82" s="1"/>
  <c r="D55" i="82" s="1"/>
  <c r="D56" i="82" s="1"/>
  <c r="D57" i="82" s="1"/>
  <c r="D58" i="82" s="1"/>
  <c r="D59" i="82" s="1"/>
  <c r="D60" i="82" s="1"/>
  <c r="D61" i="82" s="1"/>
  <c r="D62" i="82" s="1"/>
  <c r="D63" i="82" s="1"/>
  <c r="D64" i="82" s="1"/>
  <c r="D65" i="82" s="1"/>
  <c r="D66" i="82" s="1"/>
  <c r="D67" i="82" s="1"/>
  <c r="D68" i="82" s="1"/>
  <c r="D69" i="82" s="1"/>
  <c r="D70" i="82" s="1"/>
  <c r="D71" i="82" s="1"/>
  <c r="D72" i="82" s="1"/>
  <c r="D73" i="82" s="1"/>
  <c r="D74" i="82" s="1"/>
  <c r="D75" i="82" s="1"/>
  <c r="D76" i="82" s="1"/>
  <c r="D77" i="82" s="1"/>
  <c r="D78" i="82" s="1"/>
  <c r="D79" i="82" s="1"/>
  <c r="D80" i="82" s="1"/>
  <c r="D81" i="82" s="1"/>
  <c r="D82" i="82" s="1"/>
  <c r="D83" i="82" s="1"/>
  <c r="D84" i="82" s="1"/>
  <c r="D85" i="82" s="1"/>
  <c r="D86" i="82" s="1"/>
  <c r="D87" i="82" s="1"/>
  <c r="D88" i="82" s="1"/>
  <c r="D89" i="82" s="1"/>
  <c r="D90" i="82" s="1"/>
  <c r="D91" i="82" s="1"/>
  <c r="D92" i="82" s="1"/>
  <c r="D93" i="82" s="1"/>
  <c r="D94" i="82" s="1"/>
  <c r="D95" i="82" s="1"/>
  <c r="D96" i="82" s="1"/>
  <c r="D97" i="82" s="1"/>
  <c r="D98" i="82" s="1"/>
  <c r="D99" i="82" s="1"/>
  <c r="D100" i="82" s="1"/>
  <c r="D101" i="82" s="1"/>
  <c r="D102" i="82" s="1"/>
  <c r="D103" i="82" s="1"/>
  <c r="D104" i="82" s="1"/>
  <c r="D105" i="82" s="1"/>
  <c r="D106" i="82" s="1"/>
  <c r="D107" i="82" s="1"/>
  <c r="D108" i="82" s="1"/>
  <c r="D109" i="82" s="1"/>
  <c r="D110" i="82" s="1"/>
  <c r="D111" i="82" s="1"/>
  <c r="D112" i="82" s="1"/>
  <c r="D113" i="82" s="1"/>
  <c r="D114" i="82" s="1"/>
  <c r="D115" i="82" s="1"/>
  <c r="D116" i="82" s="1"/>
  <c r="D117" i="82" s="1"/>
  <c r="D118" i="82" s="1"/>
  <c r="D119" i="82" s="1"/>
  <c r="D120" i="82" s="1"/>
  <c r="D121" i="82" s="1"/>
  <c r="D122" i="82" s="1"/>
  <c r="D123" i="82" s="1"/>
  <c r="D124" i="82" s="1"/>
  <c r="D125" i="82" s="1"/>
  <c r="D126" i="82" s="1"/>
  <c r="D127" i="82" s="1"/>
  <c r="D128" i="82" s="1"/>
  <c r="D129" i="82" s="1"/>
  <c r="D130" i="82" s="1"/>
  <c r="D131" i="82" s="1"/>
  <c r="D132" i="82" s="1"/>
  <c r="D133" i="82" s="1"/>
  <c r="D134" i="82" s="1"/>
  <c r="D135" i="82" s="1"/>
  <c r="D136" i="82" s="1"/>
  <c r="D137" i="82" s="1"/>
  <c r="D138" i="82" s="1"/>
  <c r="D139" i="82" s="1"/>
  <c r="D140" i="82" s="1"/>
  <c r="D141" i="82" s="1"/>
  <c r="D142" i="82" s="1"/>
  <c r="D143" i="82" s="1"/>
  <c r="D144" i="82" s="1"/>
  <c r="D145" i="82" s="1"/>
  <c r="D146" i="82" s="1"/>
  <c r="D147" i="82" s="1"/>
  <c r="D148" i="82" s="1"/>
  <c r="D149" i="82" s="1"/>
  <c r="D150" i="82" s="1"/>
  <c r="D151" i="82" s="1"/>
  <c r="D152" i="82" s="1"/>
  <c r="D153" i="82" s="1"/>
  <c r="D154" i="82" s="1"/>
  <c r="D155" i="82" s="1"/>
  <c r="D156" i="82" s="1"/>
  <c r="D157" i="82" s="1"/>
  <c r="D158" i="82" s="1"/>
  <c r="D159" i="82" s="1"/>
  <c r="D160" i="82" s="1"/>
  <c r="D161" i="82" s="1"/>
  <c r="D162" i="82" s="1"/>
  <c r="D163" i="82" s="1"/>
  <c r="D164" i="82" s="1"/>
  <c r="D165" i="82" s="1"/>
  <c r="D166" i="82" s="1"/>
  <c r="D167" i="82" s="1"/>
  <c r="D168" i="82" s="1"/>
  <c r="D169" i="82" s="1"/>
  <c r="D170" i="82" s="1"/>
  <c r="D171" i="82" s="1"/>
  <c r="D172" i="82" s="1"/>
  <c r="D173" i="82" s="1"/>
  <c r="D174" i="82" s="1"/>
  <c r="D175" i="82" s="1"/>
  <c r="D176" i="82" s="1"/>
  <c r="D177" i="82" s="1"/>
  <c r="D178" i="82" s="1"/>
  <c r="D179" i="82" s="1"/>
  <c r="D180" i="82" s="1"/>
  <c r="D181" i="82" s="1"/>
  <c r="D182" i="82" s="1"/>
  <c r="D183" i="82" s="1"/>
  <c r="D184" i="82" s="1"/>
  <c r="D185" i="82" s="1"/>
  <c r="D186" i="82" s="1"/>
  <c r="D187" i="82" s="1"/>
  <c r="D188" i="82" s="1"/>
  <c r="D189" i="82" s="1"/>
  <c r="D190" i="82" s="1"/>
  <c r="D191" i="82" s="1"/>
  <c r="D192" i="82" s="1"/>
  <c r="D193" i="82" s="1"/>
  <c r="D194" i="82" s="1"/>
  <c r="D195" i="82" s="1"/>
  <c r="D196" i="82" s="1"/>
  <c r="D197" i="82" s="1"/>
  <c r="D198" i="82" s="1"/>
  <c r="D199" i="82" s="1"/>
  <c r="D200" i="82" s="1"/>
  <c r="D201" i="82" s="1"/>
  <c r="D202" i="82" s="1"/>
  <c r="D203" i="82" s="1"/>
  <c r="D204" i="82" s="1"/>
  <c r="D205" i="82" s="1"/>
  <c r="D206" i="82" s="1"/>
  <c r="D207" i="82" s="1"/>
  <c r="D208" i="82" s="1"/>
  <c r="D209" i="82" s="1"/>
  <c r="D210" i="82" s="1"/>
  <c r="D211" i="82" s="1"/>
  <c r="D212" i="82" s="1"/>
  <c r="D213" i="82" s="1"/>
  <c r="D214" i="82" s="1"/>
  <c r="D215" i="82" s="1"/>
  <c r="D216" i="82" s="1"/>
  <c r="D217" i="82" s="1"/>
  <c r="D218" i="82" s="1"/>
  <c r="D219" i="82" s="1"/>
  <c r="D220" i="82" s="1"/>
  <c r="D221" i="82" s="1"/>
  <c r="D222" i="82" s="1"/>
  <c r="D223" i="82" s="1"/>
  <c r="D224" i="82" s="1"/>
  <c r="D225" i="82" s="1"/>
  <c r="D226" i="82" s="1"/>
  <c r="D227" i="82" s="1"/>
  <c r="D228" i="82" s="1"/>
  <c r="D229" i="82" s="1"/>
  <c r="D230" i="82" s="1"/>
  <c r="D231" i="82" s="1"/>
  <c r="D232" i="82" s="1"/>
  <c r="D233" i="82" s="1"/>
  <c r="D234" i="82" s="1"/>
  <c r="D235" i="82" s="1"/>
  <c r="D236" i="82" s="1"/>
  <c r="D237" i="82" s="1"/>
  <c r="D238" i="82" s="1"/>
  <c r="D239" i="82" s="1"/>
  <c r="D240" i="82" s="1"/>
  <c r="D241" i="82" s="1"/>
  <c r="D242" i="82" s="1"/>
  <c r="D243" i="82" s="1"/>
  <c r="D244" i="82" s="1"/>
  <c r="D245" i="82" s="1"/>
  <c r="D246" i="82" s="1"/>
  <c r="D247" i="82" s="1"/>
  <c r="D248" i="82" s="1"/>
  <c r="D249" i="82" s="1"/>
  <c r="D250" i="82" s="1"/>
  <c r="D251" i="82" s="1"/>
  <c r="D252" i="82" s="1"/>
  <c r="D253" i="82" s="1"/>
  <c r="D254" i="82" s="1"/>
  <c r="D255" i="82" s="1"/>
  <c r="D256" i="82" s="1"/>
  <c r="D257" i="82" s="1"/>
  <c r="D258" i="82" s="1"/>
  <c r="D259" i="82" s="1"/>
  <c r="D260" i="82" s="1"/>
  <c r="D261" i="82" s="1"/>
  <c r="D262" i="82" s="1"/>
  <c r="D263" i="82" s="1"/>
  <c r="D264" i="82" s="1"/>
  <c r="D265" i="82" s="1"/>
  <c r="D266" i="82" s="1"/>
  <c r="D267" i="82" s="1"/>
  <c r="D268" i="82" s="1"/>
  <c r="D269" i="82" s="1"/>
  <c r="D270" i="82" s="1"/>
  <c r="D271" i="82" s="1"/>
  <c r="D272" i="82" s="1"/>
  <c r="D273" i="82" s="1"/>
  <c r="D274" i="82" s="1"/>
  <c r="D275" i="82" s="1"/>
  <c r="D276" i="82" s="1"/>
  <c r="D277" i="82" s="1"/>
  <c r="D278" i="82" s="1"/>
  <c r="D279" i="82" s="1"/>
  <c r="D280" i="82" s="1"/>
  <c r="D281" i="82" s="1"/>
  <c r="D282" i="82" s="1"/>
  <c r="D283" i="82" s="1"/>
  <c r="D284" i="82" s="1"/>
  <c r="D285" i="82" s="1"/>
  <c r="D286" i="82" s="1"/>
  <c r="D287" i="82" s="1"/>
  <c r="D288" i="82" s="1"/>
  <c r="D289" i="82" s="1"/>
  <c r="D290" i="82" s="1"/>
  <c r="D291" i="82" s="1"/>
  <c r="D292" i="82" s="1"/>
  <c r="D293" i="82" s="1"/>
  <c r="D294" i="82" s="1"/>
  <c r="D295" i="82" s="1"/>
  <c r="D296" i="82" s="1"/>
  <c r="D297" i="82" s="1"/>
  <c r="D298" i="82" s="1"/>
  <c r="D299" i="82" s="1"/>
  <c r="D300" i="82" s="1"/>
  <c r="D301" i="82" s="1"/>
  <c r="D4" i="77"/>
  <c r="D5" i="77" s="1"/>
  <c r="D6" i="77" s="1"/>
  <c r="D7" i="77" s="1"/>
  <c r="D8" i="77" s="1"/>
  <c r="D9" i="77" s="1"/>
  <c r="D10" i="77" s="1"/>
  <c r="D11" i="77" s="1"/>
  <c r="D12" i="77" s="1"/>
  <c r="D13" i="77" s="1"/>
  <c r="D14" i="77" s="1"/>
  <c r="D15" i="77" s="1"/>
  <c r="D16" i="77" s="1"/>
  <c r="D17" i="77" s="1"/>
  <c r="D18" i="77" s="1"/>
  <c r="D19" i="77" s="1"/>
  <c r="D20" i="77" s="1"/>
  <c r="D21" i="77" s="1"/>
  <c r="D22" i="77" s="1"/>
  <c r="D23" i="77" s="1"/>
  <c r="D24" i="77" s="1"/>
  <c r="D25" i="77" s="1"/>
  <c r="D26" i="77" s="1"/>
  <c r="D27" i="77" s="1"/>
  <c r="D28" i="77" s="1"/>
  <c r="D29" i="77" s="1"/>
  <c r="D30" i="77" s="1"/>
  <c r="D31" i="77" s="1"/>
  <c r="D32" i="77" s="1"/>
  <c r="D33" i="77" s="1"/>
  <c r="D34" i="77" s="1"/>
  <c r="D35" i="77" s="1"/>
  <c r="D36" i="77" s="1"/>
  <c r="D37" i="77" s="1"/>
  <c r="D38" i="77" s="1"/>
  <c r="D39" i="77" s="1"/>
  <c r="D40" i="77" s="1"/>
  <c r="D41" i="77" s="1"/>
  <c r="D42" i="77" s="1"/>
  <c r="D43" i="77" s="1"/>
  <c r="D44" i="77" s="1"/>
  <c r="D45" i="77" s="1"/>
  <c r="D46" i="77" s="1"/>
  <c r="D47" i="77" s="1"/>
  <c r="D48" i="77" s="1"/>
  <c r="D49" i="77" s="1"/>
  <c r="D50" i="77" s="1"/>
  <c r="D51" i="77" s="1"/>
  <c r="D52" i="77" s="1"/>
  <c r="D53" i="77" s="1"/>
  <c r="D54" i="77" s="1"/>
  <c r="D55" i="77" s="1"/>
  <c r="D56" i="77" s="1"/>
  <c r="D57" i="77" s="1"/>
  <c r="D58" i="77" s="1"/>
  <c r="D59" i="77" s="1"/>
  <c r="D60" i="77" s="1"/>
  <c r="D61" i="77" s="1"/>
  <c r="D62" i="77" s="1"/>
  <c r="D63" i="77" s="1"/>
  <c r="D64" i="77" s="1"/>
  <c r="D65" i="77" s="1"/>
  <c r="D66" i="77" s="1"/>
  <c r="D67" i="77" s="1"/>
  <c r="D68" i="77" s="1"/>
  <c r="D69" i="77" s="1"/>
  <c r="D70" i="77" s="1"/>
  <c r="D71" i="77" s="1"/>
  <c r="D72" i="77" s="1"/>
  <c r="D73" i="77" s="1"/>
  <c r="D74" i="77" s="1"/>
  <c r="D75" i="77" s="1"/>
  <c r="D76" i="77" s="1"/>
  <c r="D77" i="77" s="1"/>
  <c r="D78" i="77" s="1"/>
  <c r="D79" i="77" s="1"/>
  <c r="D80" i="77" s="1"/>
  <c r="D81" i="77" s="1"/>
  <c r="D82" i="77" s="1"/>
  <c r="D83" i="77" s="1"/>
  <c r="D84" i="77" s="1"/>
  <c r="D85" i="77" s="1"/>
  <c r="D86" i="77" s="1"/>
  <c r="D87" i="77" s="1"/>
  <c r="D88" i="77" s="1"/>
  <c r="D89" i="77" s="1"/>
  <c r="D90" i="77" s="1"/>
  <c r="D91" i="77" s="1"/>
  <c r="D92" i="77" s="1"/>
  <c r="D93" i="77" s="1"/>
  <c r="D94" i="77" s="1"/>
  <c r="D95" i="77" s="1"/>
  <c r="D96" i="77" s="1"/>
  <c r="D97" i="77" s="1"/>
  <c r="D98" i="77" s="1"/>
  <c r="D99" i="77" s="1"/>
  <c r="D100" i="77" s="1"/>
  <c r="D101" i="77" s="1"/>
  <c r="D102" i="77" s="1"/>
  <c r="D103" i="77" s="1"/>
  <c r="D104" i="77" s="1"/>
  <c r="D105" i="77" s="1"/>
  <c r="D106" i="77" s="1"/>
  <c r="D107" i="77" s="1"/>
  <c r="D108" i="77" s="1"/>
  <c r="D109" i="77" s="1"/>
  <c r="D110" i="77" s="1"/>
  <c r="D111" i="77" s="1"/>
  <c r="D112" i="77" s="1"/>
  <c r="D113" i="77" s="1"/>
  <c r="D114" i="77" s="1"/>
  <c r="D115" i="77" s="1"/>
  <c r="D116" i="77" s="1"/>
  <c r="D117" i="77" s="1"/>
  <c r="D118" i="77" s="1"/>
  <c r="D119" i="77" s="1"/>
  <c r="D120" i="77" s="1"/>
  <c r="D121" i="77" s="1"/>
  <c r="D122" i="77" s="1"/>
  <c r="D123" i="77" s="1"/>
  <c r="D124" i="77" s="1"/>
  <c r="D125" i="77" s="1"/>
  <c r="D126" i="77" s="1"/>
  <c r="D127" i="77" s="1"/>
  <c r="D128" i="77" s="1"/>
  <c r="D129" i="77" s="1"/>
  <c r="D130" i="77" s="1"/>
  <c r="D131" i="77" s="1"/>
  <c r="D132" i="77" s="1"/>
  <c r="D133" i="77" s="1"/>
  <c r="D134" i="77" s="1"/>
  <c r="D135" i="77" s="1"/>
  <c r="D136" i="77" s="1"/>
  <c r="D137" i="77" s="1"/>
  <c r="D138" i="77" s="1"/>
  <c r="D139" i="77" s="1"/>
  <c r="D140" i="77" s="1"/>
  <c r="D141" i="77" s="1"/>
  <c r="D142" i="77" s="1"/>
  <c r="D143" i="77" s="1"/>
  <c r="D144" i="77" s="1"/>
  <c r="D145" i="77" s="1"/>
  <c r="D146" i="77" s="1"/>
  <c r="D147" i="77" s="1"/>
  <c r="D148" i="77" s="1"/>
  <c r="D149" i="77" s="1"/>
  <c r="D150" i="77" s="1"/>
  <c r="D151" i="77" s="1"/>
  <c r="D152" i="77" s="1"/>
  <c r="D153" i="77" s="1"/>
  <c r="D154" i="77" s="1"/>
  <c r="D155" i="77" s="1"/>
  <c r="D156" i="77" s="1"/>
  <c r="D157" i="77" s="1"/>
  <c r="D158" i="77" s="1"/>
  <c r="D159" i="77" s="1"/>
  <c r="D160" i="77" s="1"/>
  <c r="D161" i="77" s="1"/>
  <c r="D162" i="77" s="1"/>
  <c r="D163" i="77" s="1"/>
  <c r="D164" i="77" s="1"/>
  <c r="D165" i="77" s="1"/>
  <c r="D166" i="77" s="1"/>
  <c r="D167" i="77" s="1"/>
  <c r="D168" i="77" s="1"/>
  <c r="D169" i="77" s="1"/>
  <c r="D170" i="77" s="1"/>
  <c r="D171" i="77" s="1"/>
  <c r="D172" i="77" s="1"/>
  <c r="D173" i="77" s="1"/>
  <c r="D174" i="77" s="1"/>
  <c r="D175" i="77" s="1"/>
  <c r="D176" i="77" s="1"/>
  <c r="D177" i="77" s="1"/>
  <c r="D178" i="77" s="1"/>
  <c r="D179" i="77" s="1"/>
  <c r="D180" i="77" s="1"/>
  <c r="D181" i="77" s="1"/>
  <c r="D182" i="77" s="1"/>
  <c r="D183" i="77" s="1"/>
  <c r="D184" i="77" s="1"/>
  <c r="D185" i="77" s="1"/>
  <c r="D186" i="77" s="1"/>
  <c r="D187" i="77" s="1"/>
  <c r="D188" i="77" s="1"/>
  <c r="D189" i="77" s="1"/>
  <c r="D190" i="77" s="1"/>
  <c r="D191" i="77" s="1"/>
  <c r="D192" i="77" s="1"/>
  <c r="D193" i="77" s="1"/>
  <c r="D194" i="77" s="1"/>
  <c r="D195" i="77" s="1"/>
  <c r="D196" i="77" s="1"/>
  <c r="D197" i="77" s="1"/>
  <c r="D198" i="77" s="1"/>
  <c r="D199" i="77" s="1"/>
  <c r="D200" i="77" s="1"/>
  <c r="D201" i="77" s="1"/>
  <c r="D202" i="77" s="1"/>
  <c r="D203" i="77" s="1"/>
  <c r="D204" i="77" s="1"/>
  <c r="D205" i="77" s="1"/>
  <c r="D206" i="77" s="1"/>
  <c r="D207" i="77" s="1"/>
  <c r="D208" i="77" s="1"/>
  <c r="D209" i="77" s="1"/>
  <c r="D210" i="77" s="1"/>
  <c r="D211" i="77" s="1"/>
  <c r="D212" i="77" s="1"/>
  <c r="D213" i="77" s="1"/>
  <c r="D214" i="77" s="1"/>
  <c r="D215" i="77" s="1"/>
  <c r="D216" i="77" s="1"/>
  <c r="D217" i="77" s="1"/>
  <c r="D218" i="77" s="1"/>
  <c r="D219" i="77" s="1"/>
  <c r="D220" i="77" s="1"/>
  <c r="D221" i="77" s="1"/>
  <c r="D222" i="77" s="1"/>
  <c r="D223" i="77" s="1"/>
  <c r="D224" i="77" s="1"/>
  <c r="D225" i="77" s="1"/>
  <c r="D226" i="77" s="1"/>
  <c r="D227" i="77" s="1"/>
  <c r="D228" i="77" s="1"/>
  <c r="D229" i="77" s="1"/>
  <c r="D230" i="77" s="1"/>
  <c r="D231" i="77" s="1"/>
  <c r="D232" i="77" s="1"/>
  <c r="D233" i="77" s="1"/>
  <c r="D234" i="77" s="1"/>
  <c r="D235" i="77" s="1"/>
  <c r="D236" i="77" s="1"/>
  <c r="D237" i="77" s="1"/>
  <c r="D238" i="77" s="1"/>
  <c r="D239" i="77" s="1"/>
  <c r="D240" i="77" s="1"/>
  <c r="D241" i="77" s="1"/>
  <c r="D4" i="73"/>
  <c r="D5" i="73" s="1"/>
  <c r="D6" i="73" s="1"/>
  <c r="D7" i="73" s="1"/>
  <c r="D8" i="73" s="1"/>
  <c r="D9" i="73" s="1"/>
  <c r="D10" i="73" s="1"/>
  <c r="D11" i="73" s="1"/>
  <c r="D12" i="73" s="1"/>
  <c r="D13" i="73" s="1"/>
  <c r="D14" i="73" s="1"/>
  <c r="D15" i="73" s="1"/>
  <c r="D16" i="73" s="1"/>
  <c r="D17" i="73" s="1"/>
  <c r="D18" i="73" s="1"/>
  <c r="D19" i="73" s="1"/>
  <c r="D20" i="73" s="1"/>
  <c r="D21" i="73" s="1"/>
  <c r="D22" i="73" s="1"/>
  <c r="D23" i="73" s="1"/>
  <c r="D24" i="73" s="1"/>
  <c r="D25" i="73" s="1"/>
  <c r="D26" i="73" s="1"/>
  <c r="D27" i="73" s="1"/>
  <c r="D28" i="73" s="1"/>
  <c r="D29" i="73" s="1"/>
  <c r="D30" i="73" s="1"/>
  <c r="D31" i="73" s="1"/>
  <c r="D32" i="73" s="1"/>
  <c r="D33" i="73" s="1"/>
  <c r="D34" i="73" s="1"/>
  <c r="D35" i="73" s="1"/>
  <c r="D36" i="73" s="1"/>
  <c r="D37" i="73" s="1"/>
  <c r="D38" i="73" s="1"/>
  <c r="D39" i="73" s="1"/>
  <c r="D40" i="73" s="1"/>
  <c r="D41" i="73" s="1"/>
  <c r="D42" i="73" s="1"/>
  <c r="D43" i="73" s="1"/>
  <c r="D44" i="73" s="1"/>
  <c r="D45" i="73" s="1"/>
  <c r="D46" i="73" s="1"/>
  <c r="D47" i="73" s="1"/>
  <c r="D48" i="73" s="1"/>
  <c r="D49" i="73" s="1"/>
  <c r="D50" i="73" s="1"/>
  <c r="D51" i="73" s="1"/>
  <c r="D52" i="73" s="1"/>
  <c r="D53" i="73" s="1"/>
  <c r="D54" i="73" s="1"/>
  <c r="D55" i="73" s="1"/>
  <c r="D56" i="73" s="1"/>
  <c r="D57" i="73" s="1"/>
  <c r="D58" i="73" s="1"/>
  <c r="D59" i="73" s="1"/>
  <c r="D60" i="73" s="1"/>
  <c r="D61" i="73" s="1"/>
  <c r="D62" i="73" s="1"/>
  <c r="D63" i="73" s="1"/>
  <c r="D64" i="73" s="1"/>
  <c r="D65" i="73" s="1"/>
  <c r="D66" i="73" s="1"/>
  <c r="D67" i="73" s="1"/>
  <c r="D68" i="73" s="1"/>
  <c r="D69" i="73" s="1"/>
  <c r="D70" i="73" s="1"/>
  <c r="D71" i="73" s="1"/>
  <c r="D72" i="73" s="1"/>
  <c r="D73" i="73" s="1"/>
  <c r="D74" i="73" s="1"/>
  <c r="D75" i="73" s="1"/>
  <c r="D76" i="73" s="1"/>
  <c r="D77" i="73" s="1"/>
  <c r="D78" i="73" s="1"/>
  <c r="D79" i="73" s="1"/>
  <c r="D80" i="73" s="1"/>
  <c r="D81" i="73" s="1"/>
  <c r="D82" i="73" s="1"/>
  <c r="D83" i="73" s="1"/>
  <c r="D84" i="73" s="1"/>
  <c r="D85" i="73" s="1"/>
  <c r="D86" i="73" s="1"/>
  <c r="D87" i="73" s="1"/>
  <c r="D88" i="73" s="1"/>
  <c r="D89" i="73" s="1"/>
  <c r="D90" i="73" s="1"/>
  <c r="D91" i="73" s="1"/>
  <c r="D92" i="73" s="1"/>
  <c r="D93" i="73" s="1"/>
  <c r="D94" i="73" s="1"/>
  <c r="D95" i="73" s="1"/>
  <c r="D96" i="73" s="1"/>
  <c r="D97" i="73" s="1"/>
  <c r="D98" i="73" s="1"/>
  <c r="D99" i="73" s="1"/>
  <c r="D100" i="73" s="1"/>
  <c r="D101" i="73" s="1"/>
  <c r="D102" i="73" s="1"/>
  <c r="D103" i="73" s="1"/>
  <c r="D104" i="73" s="1"/>
  <c r="D105" i="73" s="1"/>
  <c r="D106" i="73" s="1"/>
  <c r="D107" i="73" s="1"/>
  <c r="D108" i="73" s="1"/>
  <c r="D109" i="73" s="1"/>
  <c r="D110" i="73" s="1"/>
  <c r="D111" i="73" s="1"/>
  <c r="D112" i="73" s="1"/>
  <c r="D113" i="73" s="1"/>
  <c r="D114" i="73" s="1"/>
  <c r="D115" i="73" s="1"/>
  <c r="D116" i="73" s="1"/>
  <c r="D117" i="73" s="1"/>
  <c r="D118" i="73" s="1"/>
  <c r="D119" i="73" s="1"/>
  <c r="D120" i="73" s="1"/>
  <c r="D121" i="73" s="1"/>
  <c r="D122" i="73" s="1"/>
  <c r="D4" i="69"/>
  <c r="D5" i="69" s="1"/>
  <c r="D6" i="69" s="1"/>
  <c r="D7" i="69" s="1"/>
  <c r="D8" i="69" s="1"/>
  <c r="D9" i="69" s="1"/>
  <c r="D10" i="69" s="1"/>
  <c r="D11" i="69" s="1"/>
  <c r="D12" i="69" s="1"/>
  <c r="D13" i="69" s="1"/>
  <c r="D14" i="69" s="1"/>
  <c r="D15" i="69" s="1"/>
  <c r="D16" i="69" s="1"/>
  <c r="D17" i="69" s="1"/>
  <c r="D18" i="69" s="1"/>
  <c r="D19" i="69" s="1"/>
  <c r="D20" i="69" s="1"/>
  <c r="D21" i="69" s="1"/>
  <c r="D22" i="69" s="1"/>
  <c r="D23" i="69" s="1"/>
  <c r="D24" i="69" s="1"/>
  <c r="D25" i="69" s="1"/>
  <c r="D26" i="69" s="1"/>
  <c r="D27" i="69" s="1"/>
  <c r="D28" i="69" s="1"/>
  <c r="D29" i="69" s="1"/>
  <c r="D30" i="69" s="1"/>
  <c r="D31" i="69" s="1"/>
  <c r="D32" i="69" s="1"/>
  <c r="D33" i="69" s="1"/>
  <c r="D34" i="69" s="1"/>
  <c r="D35" i="69" s="1"/>
  <c r="D36" i="69" s="1"/>
  <c r="D37" i="69" s="1"/>
  <c r="D38" i="69" s="1"/>
  <c r="D39" i="69" s="1"/>
  <c r="D40" i="69" s="1"/>
  <c r="D41" i="69" s="1"/>
  <c r="D42" i="69" s="1"/>
  <c r="D43" i="69" s="1"/>
  <c r="D44" i="69" s="1"/>
  <c r="D45" i="69" s="1"/>
  <c r="D46" i="69" s="1"/>
  <c r="D47" i="69" s="1"/>
  <c r="D48" i="69" s="1"/>
  <c r="D49" i="69" s="1"/>
  <c r="D50" i="69" s="1"/>
  <c r="D51" i="69" s="1"/>
  <c r="D52" i="69" s="1"/>
  <c r="D53" i="69" s="1"/>
  <c r="D54" i="69" s="1"/>
  <c r="D55" i="69" s="1"/>
  <c r="D56" i="69" s="1"/>
  <c r="D57" i="69" s="1"/>
  <c r="D58" i="69" s="1"/>
  <c r="D59" i="69" s="1"/>
  <c r="D60" i="69" s="1"/>
  <c r="D61" i="69" s="1"/>
  <c r="D62" i="69" s="1"/>
  <c r="D63" i="69" s="1"/>
  <c r="D64" i="69" s="1"/>
  <c r="D65" i="69" s="1"/>
  <c r="D66" i="69" s="1"/>
  <c r="D67" i="69" s="1"/>
  <c r="D68" i="69" s="1"/>
  <c r="D69" i="69" s="1"/>
  <c r="D70" i="69" s="1"/>
  <c r="D71" i="69" s="1"/>
  <c r="D72" i="69" s="1"/>
  <c r="D73" i="69" s="1"/>
  <c r="D74" i="69" s="1"/>
  <c r="D75" i="69" s="1"/>
  <c r="D76" i="69" s="1"/>
  <c r="D77" i="69" s="1"/>
  <c r="D78" i="69" s="1"/>
  <c r="D79" i="69" s="1"/>
  <c r="D80" i="69" s="1"/>
  <c r="D81" i="69" s="1"/>
  <c r="D82" i="69" s="1"/>
  <c r="D83" i="69" s="1"/>
  <c r="D84" i="69" s="1"/>
  <c r="D85" i="69" s="1"/>
  <c r="D86" i="69" s="1"/>
  <c r="D87" i="69" s="1"/>
  <c r="D88" i="69" s="1"/>
  <c r="D89" i="69" s="1"/>
  <c r="D90" i="69" s="1"/>
  <c r="D91" i="69" s="1"/>
  <c r="D92" i="69" s="1"/>
  <c r="D93" i="69" s="1"/>
  <c r="D94" i="69" s="1"/>
  <c r="D95" i="69" s="1"/>
  <c r="D96" i="69" s="1"/>
  <c r="D97" i="69" s="1"/>
  <c r="D98" i="69" s="1"/>
  <c r="D99" i="69" s="1"/>
  <c r="D100" i="69" s="1"/>
  <c r="D101" i="69" s="1"/>
  <c r="D102" i="69" s="1"/>
  <c r="D103" i="69" s="1"/>
  <c r="D104" i="69" s="1"/>
  <c r="D105" i="69" s="1"/>
  <c r="D106" i="69" s="1"/>
  <c r="D107" i="69" s="1"/>
  <c r="D108" i="69" s="1"/>
  <c r="D109" i="69" s="1"/>
  <c r="D110" i="69" s="1"/>
  <c r="D111" i="69" s="1"/>
  <c r="D112" i="69" s="1"/>
  <c r="D113" i="69" s="1"/>
  <c r="D114" i="69" s="1"/>
  <c r="D115" i="69" s="1"/>
  <c r="D116" i="69" s="1"/>
  <c r="D117" i="69" s="1"/>
  <c r="D118" i="69" s="1"/>
  <c r="D119" i="69" s="1"/>
  <c r="D120" i="69" s="1"/>
  <c r="D121" i="69" s="1"/>
  <c r="D4" i="64"/>
  <c r="D5" i="64" s="1"/>
  <c r="D6" i="64" s="1"/>
  <c r="D7" i="64" s="1"/>
  <c r="D8" i="64" s="1"/>
  <c r="D9" i="64" s="1"/>
  <c r="D10" i="64" s="1"/>
  <c r="D11" i="64" s="1"/>
  <c r="D12" i="64" s="1"/>
  <c r="D13" i="64" s="1"/>
  <c r="D14" i="64" s="1"/>
  <c r="D15" i="64" s="1"/>
  <c r="D16" i="64" s="1"/>
  <c r="D17" i="64" s="1"/>
  <c r="D18" i="64" s="1"/>
  <c r="D19" i="64" s="1"/>
  <c r="D20" i="64" s="1"/>
  <c r="D21" i="64" s="1"/>
  <c r="D22" i="64" s="1"/>
  <c r="D23" i="64" s="1"/>
  <c r="D24" i="64" s="1"/>
  <c r="D25" i="64" s="1"/>
  <c r="D26" i="64" s="1"/>
  <c r="D27" i="64" s="1"/>
  <c r="D28" i="64" s="1"/>
  <c r="D29" i="64" s="1"/>
  <c r="D30" i="64" s="1"/>
  <c r="D31" i="64" s="1"/>
  <c r="D32" i="64" s="1"/>
  <c r="D33" i="64" s="1"/>
  <c r="D34" i="64" s="1"/>
  <c r="D35" i="64" s="1"/>
  <c r="D36" i="64" s="1"/>
  <c r="D37" i="64" s="1"/>
  <c r="D38" i="64" s="1"/>
  <c r="D39" i="64" s="1"/>
  <c r="D40" i="64" s="1"/>
  <c r="D41" i="64" s="1"/>
  <c r="D42" i="64" s="1"/>
  <c r="D43" i="64" s="1"/>
  <c r="D44" i="64" s="1"/>
  <c r="D45" i="64" s="1"/>
  <c r="D46" i="64" s="1"/>
  <c r="D47" i="64" s="1"/>
  <c r="D48" i="64" s="1"/>
  <c r="D49" i="64" s="1"/>
  <c r="D50" i="64" s="1"/>
  <c r="D51" i="64" s="1"/>
  <c r="D52" i="64" s="1"/>
  <c r="D53" i="64" s="1"/>
  <c r="D54" i="64" s="1"/>
  <c r="D55" i="64" s="1"/>
  <c r="D56" i="64" s="1"/>
  <c r="D57" i="64" s="1"/>
  <c r="D58" i="64" s="1"/>
  <c r="D59" i="64" s="1"/>
  <c r="D60" i="64" s="1"/>
  <c r="D61" i="64" s="1"/>
  <c r="D62" i="64" s="1"/>
  <c r="D63" i="64" s="1"/>
  <c r="D64" i="64" s="1"/>
  <c r="D65" i="64" s="1"/>
  <c r="D66" i="64" s="1"/>
  <c r="D67" i="64" s="1"/>
  <c r="D68" i="64" s="1"/>
  <c r="D69" i="64" s="1"/>
  <c r="D70" i="64" s="1"/>
  <c r="D71" i="64" s="1"/>
  <c r="D72" i="64" s="1"/>
  <c r="D73" i="64" s="1"/>
  <c r="D74" i="64" s="1"/>
  <c r="D75" i="64" s="1"/>
  <c r="D76" i="64" s="1"/>
  <c r="D77" i="64" s="1"/>
  <c r="D78" i="64" s="1"/>
  <c r="D79" i="64" s="1"/>
  <c r="D80" i="64" s="1"/>
  <c r="D81" i="64" s="1"/>
  <c r="D82" i="64" s="1"/>
  <c r="D83" i="64" s="1"/>
  <c r="D84" i="64" s="1"/>
  <c r="D85" i="64" s="1"/>
  <c r="D86" i="64" s="1"/>
  <c r="D87" i="64" s="1"/>
  <c r="D88" i="64" s="1"/>
  <c r="D89" i="64" s="1"/>
  <c r="D90" i="64" s="1"/>
  <c r="D91" i="64" s="1"/>
  <c r="D92" i="64" s="1"/>
  <c r="D93" i="64" s="1"/>
  <c r="D94" i="64" s="1"/>
  <c r="D95" i="64" s="1"/>
  <c r="D96" i="64" s="1"/>
  <c r="D97" i="64" s="1"/>
  <c r="D98" i="64" s="1"/>
  <c r="D99" i="64" s="1"/>
  <c r="D100" i="64" s="1"/>
  <c r="D101" i="64" s="1"/>
  <c r="D102" i="64" s="1"/>
  <c r="D103" i="64" s="1"/>
  <c r="D104" i="64" s="1"/>
  <c r="D105" i="64" s="1"/>
  <c r="D106" i="64" s="1"/>
  <c r="D107" i="64" s="1"/>
  <c r="D108" i="64" s="1"/>
  <c r="D109" i="64" s="1"/>
  <c r="D110" i="64" s="1"/>
  <c r="D111" i="64" s="1"/>
  <c r="D112" i="64" s="1"/>
  <c r="D113" i="64" s="1"/>
  <c r="D114" i="64" s="1"/>
  <c r="D115" i="64" s="1"/>
  <c r="D116" i="64" s="1"/>
  <c r="D117" i="64" s="1"/>
  <c r="D118" i="64" s="1"/>
  <c r="D119" i="64" s="1"/>
  <c r="D120" i="64" s="1"/>
  <c r="D121" i="64" s="1"/>
  <c r="D6" i="61"/>
  <c r="D7" i="61" s="1"/>
  <c r="D8" i="61" s="1"/>
  <c r="D9" i="61" s="1"/>
  <c r="D10" i="61" s="1"/>
  <c r="D11" i="61" s="1"/>
  <c r="D12" i="61" s="1"/>
  <c r="D13" i="61" s="1"/>
  <c r="D14" i="61" s="1"/>
  <c r="D15" i="61" s="1"/>
  <c r="D16" i="61" s="1"/>
  <c r="D17" i="61" s="1"/>
  <c r="D18" i="61" s="1"/>
  <c r="D19" i="61" s="1"/>
  <c r="D20" i="61" s="1"/>
  <c r="D21" i="61" s="1"/>
  <c r="D22" i="61" s="1"/>
  <c r="D23" i="61" s="1"/>
  <c r="D24" i="61" s="1"/>
  <c r="D25" i="61" s="1"/>
  <c r="D26" i="61" s="1"/>
  <c r="D27" i="61" s="1"/>
  <c r="D28" i="61" s="1"/>
  <c r="D29" i="61" s="1"/>
  <c r="D30" i="61" s="1"/>
  <c r="D31" i="61" s="1"/>
  <c r="D32" i="61" s="1"/>
  <c r="D33" i="61" s="1"/>
  <c r="D34" i="61" s="1"/>
  <c r="D35" i="61" s="1"/>
  <c r="D36" i="61" s="1"/>
  <c r="D37" i="61" s="1"/>
  <c r="D38" i="61" s="1"/>
  <c r="D39" i="61" s="1"/>
  <c r="D40" i="61" s="1"/>
  <c r="D41" i="61" s="1"/>
  <c r="D42" i="61" s="1"/>
  <c r="D43" i="61" s="1"/>
  <c r="D44" i="61" s="1"/>
  <c r="D45" i="61" s="1"/>
  <c r="D46" i="61" s="1"/>
  <c r="D47" i="61" s="1"/>
  <c r="D48" i="61" s="1"/>
  <c r="D49" i="61" s="1"/>
  <c r="D50" i="61" s="1"/>
  <c r="D51" i="61" s="1"/>
  <c r="D52" i="61" s="1"/>
  <c r="D53" i="61" s="1"/>
  <c r="D54" i="61" s="1"/>
  <c r="D55" i="61" s="1"/>
  <c r="D56" i="61" s="1"/>
  <c r="D57" i="61" s="1"/>
  <c r="D58" i="61" s="1"/>
  <c r="D59" i="61" s="1"/>
  <c r="D60" i="61" s="1"/>
  <c r="D61" i="61" s="1"/>
  <c r="D62" i="61" s="1"/>
  <c r="D63" i="61" s="1"/>
  <c r="D64" i="61" s="1"/>
  <c r="D65" i="61" s="1"/>
  <c r="D66" i="61" s="1"/>
  <c r="D67" i="61" s="1"/>
  <c r="D68" i="61" s="1"/>
  <c r="D69" i="61" s="1"/>
  <c r="D70" i="61" s="1"/>
  <c r="D71" i="61" s="1"/>
  <c r="D72" i="61" s="1"/>
  <c r="D73" i="61" s="1"/>
  <c r="D74" i="61" s="1"/>
  <c r="D75" i="61" s="1"/>
  <c r="D76" i="61" s="1"/>
  <c r="D77" i="61" s="1"/>
  <c r="D78" i="61" s="1"/>
  <c r="D79" i="61" s="1"/>
  <c r="D80" i="61" s="1"/>
  <c r="D81" i="61" s="1"/>
  <c r="D82" i="61" s="1"/>
  <c r="D83" i="61" s="1"/>
  <c r="D84" i="61" s="1"/>
  <c r="D85" i="61" s="1"/>
  <c r="D86" i="61" s="1"/>
  <c r="D87" i="61" s="1"/>
  <c r="D88" i="61" s="1"/>
  <c r="D89" i="61" s="1"/>
  <c r="D90" i="61" s="1"/>
  <c r="D91" i="61" s="1"/>
  <c r="D92" i="61" s="1"/>
  <c r="D93" i="61" s="1"/>
  <c r="D94" i="61" s="1"/>
  <c r="D95" i="61" s="1"/>
  <c r="D96" i="61" s="1"/>
  <c r="D97" i="61" s="1"/>
  <c r="D98" i="61" s="1"/>
  <c r="D99" i="61" s="1"/>
  <c r="D100" i="61" s="1"/>
  <c r="D101" i="61" s="1"/>
  <c r="D102" i="61" s="1"/>
  <c r="D103" i="61" s="1"/>
  <c r="D104" i="61" s="1"/>
  <c r="D105" i="61" s="1"/>
  <c r="D106" i="61" s="1"/>
  <c r="D107" i="61" s="1"/>
  <c r="D108" i="61" s="1"/>
  <c r="D109" i="61" s="1"/>
  <c r="D110" i="61" s="1"/>
  <c r="D111" i="61" s="1"/>
  <c r="D112" i="61" s="1"/>
  <c r="D113" i="61" s="1"/>
  <c r="D114" i="61" s="1"/>
  <c r="D115" i="61" s="1"/>
  <c r="D116" i="61" s="1"/>
  <c r="D117" i="61" s="1"/>
  <c r="D118" i="61" s="1"/>
  <c r="D119" i="61" s="1"/>
  <c r="D120" i="61" s="1"/>
  <c r="D121" i="61" s="1"/>
  <c r="D122" i="61" s="1"/>
  <c r="D123" i="61" s="1"/>
  <c r="D124" i="61" s="1"/>
  <c r="D125" i="61" s="1"/>
  <c r="D126" i="61" s="1"/>
  <c r="D127" i="61" s="1"/>
  <c r="D128" i="61" s="1"/>
  <c r="D129" i="61" s="1"/>
  <c r="D130" i="61" s="1"/>
  <c r="D131" i="61" s="1"/>
  <c r="D132" i="61" s="1"/>
  <c r="D133" i="61" s="1"/>
  <c r="D134" i="61" s="1"/>
  <c r="D135" i="61" s="1"/>
  <c r="D136" i="61" s="1"/>
  <c r="D137" i="61" s="1"/>
  <c r="D138" i="61" s="1"/>
  <c r="D139" i="61" s="1"/>
  <c r="D140" i="61" s="1"/>
  <c r="D141" i="61" s="1"/>
  <c r="D142" i="61" s="1"/>
  <c r="D143" i="61" s="1"/>
  <c r="D144" i="61" s="1"/>
  <c r="D145" i="61" s="1"/>
  <c r="D146" i="61" s="1"/>
  <c r="D147" i="61" s="1"/>
  <c r="D148" i="61" s="1"/>
  <c r="D149" i="61" s="1"/>
  <c r="D150" i="61" s="1"/>
  <c r="D151" i="61" s="1"/>
  <c r="D152" i="61" s="1"/>
  <c r="D153" i="61" s="1"/>
  <c r="D154" i="61" s="1"/>
  <c r="D155" i="61" s="1"/>
  <c r="D156" i="61" s="1"/>
  <c r="D157" i="61" s="1"/>
  <c r="D158" i="61" s="1"/>
  <c r="D159" i="61" s="1"/>
  <c r="D160" i="61" s="1"/>
  <c r="D161" i="61" s="1"/>
  <c r="D162" i="61" s="1"/>
  <c r="D163" i="61" s="1"/>
  <c r="D164" i="61" s="1"/>
  <c r="D165" i="61" s="1"/>
  <c r="D166" i="61" s="1"/>
  <c r="D167" i="61" s="1"/>
  <c r="D9" i="57"/>
  <c r="D10" i="57" s="1"/>
  <c r="D11" i="57" s="1"/>
  <c r="D12" i="57" s="1"/>
  <c r="D13" i="57" s="1"/>
  <c r="D14" i="57" s="1"/>
  <c r="D15" i="57" s="1"/>
  <c r="D16" i="57" s="1"/>
  <c r="D17" i="57" s="1"/>
  <c r="D18" i="57" s="1"/>
  <c r="D19" i="57" s="1"/>
  <c r="D20" i="57" s="1"/>
  <c r="D21" i="57" s="1"/>
  <c r="D22" i="57" s="1"/>
  <c r="D23" i="57" s="1"/>
  <c r="D24" i="57" s="1"/>
  <c r="D25" i="57" s="1"/>
  <c r="D26" i="57" s="1"/>
  <c r="D27" i="57" s="1"/>
  <c r="D28" i="57" s="1"/>
  <c r="D29" i="57" s="1"/>
  <c r="D30" i="57" s="1"/>
  <c r="D31" i="57" s="1"/>
  <c r="D32" i="57" s="1"/>
  <c r="D33" i="57" s="1"/>
  <c r="D34" i="57" s="1"/>
  <c r="D35" i="57" s="1"/>
  <c r="D36" i="57" s="1"/>
  <c r="D37" i="57" s="1"/>
  <c r="D38" i="57" s="1"/>
  <c r="D39" i="57" s="1"/>
  <c r="D40" i="57" s="1"/>
  <c r="D41" i="57" s="1"/>
  <c r="D42" i="57" s="1"/>
  <c r="D43" i="57" s="1"/>
  <c r="D44" i="57" s="1"/>
  <c r="D45" i="57" s="1"/>
  <c r="D46" i="57" s="1"/>
  <c r="D47" i="57" s="1"/>
  <c r="D48" i="57" s="1"/>
  <c r="D49" i="57" s="1"/>
  <c r="D50" i="57" s="1"/>
  <c r="D51" i="57" s="1"/>
  <c r="D52" i="57" s="1"/>
  <c r="D53" i="57" s="1"/>
  <c r="D54" i="57" s="1"/>
  <c r="D55" i="57" s="1"/>
  <c r="D56" i="57" s="1"/>
  <c r="D57" i="57" s="1"/>
  <c r="D58" i="57" s="1"/>
  <c r="D59" i="57" s="1"/>
  <c r="D60" i="57" s="1"/>
  <c r="D61" i="57" s="1"/>
  <c r="D62" i="57" s="1"/>
  <c r="D63" i="57" s="1"/>
  <c r="D64" i="57" s="1"/>
  <c r="D65" i="57" s="1"/>
  <c r="D66" i="57" s="1"/>
  <c r="D67" i="57" s="1"/>
  <c r="D68" i="57" s="1"/>
  <c r="D69" i="57" s="1"/>
  <c r="D70" i="57" s="1"/>
  <c r="D71" i="57" s="1"/>
  <c r="D72" i="57" s="1"/>
  <c r="D73" i="57" s="1"/>
  <c r="D74" i="57" s="1"/>
  <c r="D75" i="57" s="1"/>
  <c r="D76" i="57" s="1"/>
  <c r="D77" i="57" s="1"/>
  <c r="D78" i="57" s="1"/>
  <c r="D79" i="57" s="1"/>
  <c r="D80" i="57" s="1"/>
  <c r="D81" i="57" s="1"/>
  <c r="D82" i="57" s="1"/>
  <c r="D83" i="57" s="1"/>
  <c r="D84" i="57" s="1"/>
  <c r="D85" i="57" s="1"/>
  <c r="D86" i="57" s="1"/>
  <c r="D87" i="57" s="1"/>
  <c r="D88" i="57" s="1"/>
  <c r="D89" i="57" s="1"/>
  <c r="D90" i="57" s="1"/>
  <c r="D91" i="57" s="1"/>
  <c r="D92" i="57" s="1"/>
  <c r="D93" i="57" s="1"/>
  <c r="D94" i="57" s="1"/>
  <c r="D95" i="57" s="1"/>
  <c r="D96" i="57" s="1"/>
  <c r="D97" i="57" s="1"/>
  <c r="D98" i="57" s="1"/>
  <c r="D99" i="57" s="1"/>
  <c r="D100" i="57" s="1"/>
  <c r="D101" i="57" s="1"/>
  <c r="D102" i="57" s="1"/>
  <c r="D103" i="57" s="1"/>
  <c r="D104" i="57" s="1"/>
  <c r="D105" i="57" s="1"/>
  <c r="D106" i="57" s="1"/>
  <c r="D107" i="57" s="1"/>
  <c r="D108" i="57" s="1"/>
  <c r="D109" i="57" s="1"/>
  <c r="D110" i="57" s="1"/>
  <c r="D111" i="57" s="1"/>
  <c r="D112" i="57" s="1"/>
  <c r="D113" i="57" s="1"/>
  <c r="D114" i="57" s="1"/>
  <c r="D115" i="57" s="1"/>
  <c r="D116" i="57" s="1"/>
  <c r="D117" i="57" s="1"/>
  <c r="D118" i="57" s="1"/>
  <c r="D119" i="57" s="1"/>
  <c r="D120" i="57" s="1"/>
  <c r="D121" i="57" s="1"/>
  <c r="D122" i="57" s="1"/>
  <c r="D123" i="57" s="1"/>
  <c r="D124" i="57" s="1"/>
  <c r="D125" i="57" s="1"/>
  <c r="D126" i="57" s="1"/>
  <c r="D127" i="57" s="1"/>
  <c r="D128" i="57" s="1"/>
  <c r="D129" i="57" s="1"/>
  <c r="D130" i="57" s="1"/>
  <c r="D131" i="57" s="1"/>
  <c r="D132" i="57" s="1"/>
  <c r="D133" i="57" s="1"/>
  <c r="D134" i="57" s="1"/>
  <c r="D135" i="57" s="1"/>
  <c r="D136" i="57" s="1"/>
  <c r="D137" i="57" s="1"/>
  <c r="D138" i="57" s="1"/>
  <c r="D139" i="57" s="1"/>
  <c r="D140" i="57" s="1"/>
  <c r="D141" i="57" s="1"/>
  <c r="D142" i="57" s="1"/>
  <c r="D143" i="57" s="1"/>
  <c r="D144" i="57" s="1"/>
  <c r="D145" i="57" s="1"/>
  <c r="D146" i="57" s="1"/>
  <c r="D147" i="57" s="1"/>
  <c r="D148" i="57" s="1"/>
  <c r="D149" i="57" s="1"/>
  <c r="D150" i="57" s="1"/>
  <c r="D151" i="57" s="1"/>
  <c r="D152" i="57" s="1"/>
  <c r="D153" i="57" s="1"/>
  <c r="D154" i="57" s="1"/>
  <c r="D155" i="57" s="1"/>
  <c r="D156" i="57" s="1"/>
  <c r="D157" i="57" s="1"/>
  <c r="D158" i="57" s="1"/>
  <c r="D159" i="57" s="1"/>
  <c r="D160" i="57" s="1"/>
  <c r="D161" i="57" s="1"/>
  <c r="D162" i="57" s="1"/>
  <c r="D163" i="57" s="1"/>
  <c r="D164" i="57" s="1"/>
  <c r="D165" i="57" s="1"/>
  <c r="D166" i="57" s="1"/>
  <c r="D167" i="57" s="1"/>
  <c r="D168" i="57" s="1"/>
  <c r="D169" i="57" s="1"/>
  <c r="D170" i="57" s="1"/>
  <c r="D171" i="57" s="1"/>
  <c r="D172" i="57" s="1"/>
  <c r="D173" i="57" s="1"/>
  <c r="D174" i="57" s="1"/>
  <c r="D175" i="57" s="1"/>
  <c r="D176" i="57" s="1"/>
  <c r="D177" i="57" s="1"/>
  <c r="D178" i="57" s="1"/>
  <c r="D179" i="57" s="1"/>
  <c r="D180" i="57" s="1"/>
  <c r="D181" i="57" s="1"/>
  <c r="D182" i="57" s="1"/>
  <c r="D183" i="57" s="1"/>
  <c r="D184" i="57" s="1"/>
  <c r="D185" i="57" s="1"/>
  <c r="D186" i="57" s="1"/>
  <c r="D187" i="57" s="1"/>
  <c r="D188" i="57" s="1"/>
  <c r="D189" i="57" s="1"/>
  <c r="D190" i="57" s="1"/>
  <c r="D191" i="57" s="1"/>
  <c r="D192" i="57" s="1"/>
  <c r="D193" i="57" s="1"/>
  <c r="D194" i="57" s="1"/>
  <c r="D195" i="57" s="1"/>
  <c r="D196" i="57" s="1"/>
  <c r="D197" i="57" s="1"/>
  <c r="D198" i="57" s="1"/>
  <c r="D199" i="57" s="1"/>
  <c r="D200" i="57" s="1"/>
  <c r="D201" i="57" s="1"/>
  <c r="D202" i="57" s="1"/>
  <c r="D203" i="57" s="1"/>
  <c r="D204" i="57" s="1"/>
  <c r="D205" i="57" s="1"/>
  <c r="D206" i="57" s="1"/>
  <c r="D207" i="57" s="1"/>
  <c r="D208" i="57" s="1"/>
  <c r="D209" i="57" s="1"/>
  <c r="D210" i="57" s="1"/>
  <c r="D211" i="57" s="1"/>
  <c r="D212" i="57" s="1"/>
  <c r="D213" i="57" s="1"/>
  <c r="D214" i="57" s="1"/>
  <c r="D215" i="57" s="1"/>
  <c r="D216" i="57" s="1"/>
  <c r="D217" i="57" s="1"/>
  <c r="D218" i="57" s="1"/>
  <c r="D219" i="57" s="1"/>
  <c r="D220" i="57" s="1"/>
  <c r="D221" i="57" s="1"/>
  <c r="D222" i="57" s="1"/>
  <c r="D223" i="57" s="1"/>
  <c r="D224" i="57" s="1"/>
  <c r="D225" i="57" s="1"/>
  <c r="D226" i="57" s="1"/>
  <c r="D227" i="57" s="1"/>
  <c r="D228" i="57" s="1"/>
  <c r="D229" i="57" s="1"/>
  <c r="D230" i="57" s="1"/>
  <c r="D231" i="57" s="1"/>
  <c r="D232" i="57" s="1"/>
  <c r="D233" i="57" s="1"/>
  <c r="D234" i="57" s="1"/>
  <c r="D235" i="57" s="1"/>
  <c r="D236" i="57" s="1"/>
  <c r="D237" i="57" s="1"/>
  <c r="D238" i="57" s="1"/>
  <c r="D239" i="57" s="1"/>
  <c r="D240" i="57" s="1"/>
  <c r="D241" i="57" s="1"/>
  <c r="D4" i="55"/>
  <c r="D5" i="55" s="1"/>
  <c r="D6" i="55" s="1"/>
  <c r="D7" i="55" s="1"/>
  <c r="D8" i="55" s="1"/>
  <c r="D9" i="55" s="1"/>
  <c r="D10" i="55" s="1"/>
  <c r="D11" i="55" s="1"/>
  <c r="D12" i="55" s="1"/>
  <c r="D13" i="55" s="1"/>
  <c r="D14" i="55" s="1"/>
  <c r="D15" i="55" s="1"/>
  <c r="D16" i="55" s="1"/>
  <c r="D17" i="55" s="1"/>
  <c r="D18" i="55" s="1"/>
  <c r="D19" i="55" s="1"/>
  <c r="D20" i="55" s="1"/>
  <c r="D21" i="55" s="1"/>
  <c r="D22" i="55" s="1"/>
  <c r="D23" i="55" s="1"/>
  <c r="D24" i="55" s="1"/>
  <c r="D25" i="55" s="1"/>
  <c r="D26" i="55" s="1"/>
  <c r="D27" i="55" s="1"/>
  <c r="D28" i="55" s="1"/>
  <c r="D29" i="55" s="1"/>
  <c r="D30" i="55" s="1"/>
  <c r="D31" i="55" s="1"/>
  <c r="D32" i="55" s="1"/>
  <c r="D33" i="55" s="1"/>
  <c r="D34" i="55" s="1"/>
  <c r="D35" i="55" s="1"/>
  <c r="D36" i="55" s="1"/>
  <c r="D37" i="55" s="1"/>
  <c r="D38" i="55" s="1"/>
  <c r="D39" i="55" s="1"/>
  <c r="D40" i="55" s="1"/>
  <c r="D41" i="55" s="1"/>
  <c r="D42" i="55" s="1"/>
  <c r="D43" i="55" s="1"/>
  <c r="D44" i="55" s="1"/>
  <c r="D45" i="55" s="1"/>
  <c r="D46" i="55" s="1"/>
  <c r="D47" i="55" s="1"/>
  <c r="D48" i="55" s="1"/>
  <c r="D49" i="55" s="1"/>
  <c r="D50" i="55" s="1"/>
  <c r="D51" i="55" s="1"/>
  <c r="D52" i="55" s="1"/>
  <c r="D53" i="55" s="1"/>
  <c r="D54" i="55" s="1"/>
  <c r="D55" i="55" s="1"/>
  <c r="D56" i="55" s="1"/>
  <c r="D57" i="55" s="1"/>
  <c r="D58" i="55" s="1"/>
  <c r="D59" i="55" s="1"/>
  <c r="D60" i="55" s="1"/>
  <c r="D61" i="55" s="1"/>
  <c r="D62" i="55" s="1"/>
  <c r="D63" i="55" s="1"/>
  <c r="D64" i="55" s="1"/>
  <c r="D65" i="55" s="1"/>
  <c r="D66" i="55" s="1"/>
  <c r="D67" i="55" s="1"/>
  <c r="D68" i="55" s="1"/>
  <c r="D69" i="55" s="1"/>
  <c r="D70" i="55" s="1"/>
  <c r="D71" i="55" s="1"/>
  <c r="D72" i="55" s="1"/>
  <c r="D73" i="55" s="1"/>
  <c r="D74" i="55" s="1"/>
  <c r="D75" i="55" s="1"/>
  <c r="D76" i="55" s="1"/>
  <c r="D77" i="55" s="1"/>
  <c r="D78" i="55" s="1"/>
  <c r="D79" i="55" s="1"/>
  <c r="D80" i="55" s="1"/>
  <c r="D81" i="55" s="1"/>
  <c r="D82" i="55" s="1"/>
  <c r="D83" i="55" s="1"/>
  <c r="D84" i="55" s="1"/>
  <c r="D85" i="55" s="1"/>
  <c r="D86" i="55" s="1"/>
  <c r="D87" i="55" s="1"/>
  <c r="D88" i="55" s="1"/>
  <c r="D89" i="55" s="1"/>
  <c r="D90" i="55" s="1"/>
  <c r="D91" i="55" s="1"/>
  <c r="D92" i="55" s="1"/>
  <c r="D93" i="55" s="1"/>
  <c r="D94" i="55" s="1"/>
  <c r="D95" i="55" s="1"/>
  <c r="D96" i="55" s="1"/>
  <c r="D97" i="55" s="1"/>
  <c r="D98" i="55" s="1"/>
  <c r="D99" i="55" s="1"/>
  <c r="D100" i="55" s="1"/>
  <c r="D101" i="55" s="1"/>
  <c r="D102" i="55" s="1"/>
  <c r="D103" i="55" s="1"/>
  <c r="D104" i="55" s="1"/>
  <c r="D105" i="55" s="1"/>
  <c r="D106" i="55" s="1"/>
  <c r="D107" i="55" s="1"/>
  <c r="D108" i="55" s="1"/>
  <c r="D109" i="55" s="1"/>
  <c r="D110" i="55" s="1"/>
  <c r="D111" i="55" s="1"/>
  <c r="D112" i="55" s="1"/>
  <c r="D113" i="55" s="1"/>
  <c r="D114" i="55" s="1"/>
  <c r="D115" i="55" s="1"/>
  <c r="D116" i="55" s="1"/>
  <c r="D117" i="55" s="1"/>
  <c r="D118" i="55" s="1"/>
  <c r="D119" i="55" s="1"/>
  <c r="D120" i="55" s="1"/>
  <c r="D121" i="55" s="1"/>
  <c r="D122" i="55" s="1"/>
  <c r="D123" i="55" s="1"/>
  <c r="D124" i="55" s="1"/>
  <c r="D125" i="55" s="1"/>
  <c r="D126" i="55" s="1"/>
  <c r="D127" i="55" s="1"/>
  <c r="D128" i="55" s="1"/>
  <c r="D129" i="55" s="1"/>
  <c r="D130" i="55" s="1"/>
  <c r="D131" i="55" s="1"/>
  <c r="D132" i="55" s="1"/>
  <c r="D133" i="55" s="1"/>
  <c r="D134" i="55" s="1"/>
  <c r="D135" i="55" s="1"/>
  <c r="D136" i="55" s="1"/>
  <c r="D137" i="55" s="1"/>
  <c r="D138" i="55" s="1"/>
  <c r="D139" i="55" s="1"/>
  <c r="D140" i="55" s="1"/>
  <c r="D141" i="55" s="1"/>
  <c r="D142" i="55" s="1"/>
  <c r="D143" i="55" s="1"/>
  <c r="D144" i="55" s="1"/>
  <c r="D145" i="55" s="1"/>
  <c r="D146" i="55" s="1"/>
  <c r="D147" i="55" s="1"/>
  <c r="D148" i="55" s="1"/>
  <c r="D149" i="55" s="1"/>
  <c r="D150" i="55" s="1"/>
  <c r="D151" i="55" s="1"/>
  <c r="D152" i="55" s="1"/>
  <c r="D153" i="55" s="1"/>
  <c r="D154" i="55" s="1"/>
  <c r="D155" i="55" s="1"/>
  <c r="D156" i="55" s="1"/>
  <c r="D157" i="55" s="1"/>
  <c r="D158" i="55" s="1"/>
  <c r="D159" i="55" s="1"/>
  <c r="D160" i="55" s="1"/>
  <c r="D161" i="55" s="1"/>
  <c r="D162" i="55" s="1"/>
  <c r="D163" i="55" s="1"/>
  <c r="D164" i="55" s="1"/>
  <c r="D165" i="55" s="1"/>
  <c r="D166" i="55" s="1"/>
  <c r="D167" i="55" s="1"/>
  <c r="D168" i="55" s="1"/>
  <c r="D169" i="55" s="1"/>
  <c r="D170" i="55" s="1"/>
  <c r="D171" i="55" s="1"/>
  <c r="D172" i="55" s="1"/>
  <c r="D173" i="55" s="1"/>
  <c r="D174" i="55" s="1"/>
  <c r="D175" i="55" s="1"/>
  <c r="D176" i="55" s="1"/>
  <c r="D177" i="55" s="1"/>
  <c r="D178" i="55" s="1"/>
  <c r="D179" i="55" s="1"/>
  <c r="D180" i="55" s="1"/>
  <c r="D181" i="55" s="1"/>
  <c r="D182" i="55" s="1"/>
  <c r="D183" i="55" s="1"/>
  <c r="D184" i="55" s="1"/>
  <c r="D185" i="55" s="1"/>
  <c r="D186" i="55" s="1"/>
  <c r="D187" i="55" s="1"/>
  <c r="D188" i="55" s="1"/>
  <c r="D189" i="55" s="1"/>
  <c r="D190" i="55" s="1"/>
  <c r="D191" i="55" s="1"/>
  <c r="D192" i="55" s="1"/>
  <c r="D193" i="55" s="1"/>
  <c r="D194" i="55" s="1"/>
  <c r="D195" i="55" s="1"/>
  <c r="D196" i="55" s="1"/>
  <c r="D197" i="55" s="1"/>
  <c r="D198" i="55" s="1"/>
  <c r="D199" i="55" s="1"/>
  <c r="D200" i="55" s="1"/>
  <c r="D201" i="55" s="1"/>
  <c r="D202" i="55" s="1"/>
  <c r="D203" i="55" s="1"/>
  <c r="D204" i="55" s="1"/>
  <c r="D205" i="55" s="1"/>
  <c r="D206" i="55" s="1"/>
  <c r="D207" i="55" s="1"/>
  <c r="D208" i="55" s="1"/>
  <c r="D209" i="55" s="1"/>
  <c r="D210" i="55" s="1"/>
  <c r="D211" i="55" s="1"/>
  <c r="D212" i="55" s="1"/>
  <c r="D213" i="55" s="1"/>
  <c r="D214" i="55" s="1"/>
  <c r="D215" i="55" s="1"/>
  <c r="D216" i="55" s="1"/>
  <c r="D217" i="55" s="1"/>
  <c r="D218" i="55" s="1"/>
  <c r="D219" i="55" s="1"/>
  <c r="D220" i="55" s="1"/>
  <c r="D221" i="55" s="1"/>
  <c r="D222" i="55" s="1"/>
  <c r="D223" i="55" s="1"/>
  <c r="D224" i="55" s="1"/>
  <c r="D225" i="55" s="1"/>
  <c r="D226" i="55" s="1"/>
  <c r="D227" i="55" s="1"/>
  <c r="D228" i="55" s="1"/>
  <c r="D229" i="55" s="1"/>
  <c r="D230" i="55" s="1"/>
  <c r="D231" i="55" s="1"/>
  <c r="D232" i="55" s="1"/>
  <c r="D233" i="55" s="1"/>
  <c r="D234" i="55" s="1"/>
  <c r="D235" i="55" s="1"/>
  <c r="D236" i="55" s="1"/>
  <c r="D237" i="55" s="1"/>
  <c r="D238" i="55" s="1"/>
  <c r="D239" i="55" s="1"/>
  <c r="D240" i="55" s="1"/>
  <c r="D241" i="55" s="1"/>
  <c r="D242" i="55" s="1"/>
  <c r="D243" i="55" s="1"/>
  <c r="D244" i="55" s="1"/>
  <c r="D245" i="55" s="1"/>
  <c r="D246" i="55" s="1"/>
  <c r="D247" i="55" s="1"/>
  <c r="D248" i="55" s="1"/>
  <c r="D249" i="55" s="1"/>
  <c r="D250" i="55" s="1"/>
  <c r="D251" i="55" s="1"/>
  <c r="D252" i="55" s="1"/>
  <c r="D253" i="55" s="1"/>
  <c r="D254" i="55" s="1"/>
  <c r="D255" i="55" s="1"/>
  <c r="D256" i="55" s="1"/>
  <c r="D257" i="55" s="1"/>
  <c r="D258" i="55" s="1"/>
  <c r="D259" i="55" s="1"/>
  <c r="D260" i="55" s="1"/>
  <c r="D261" i="55" s="1"/>
  <c r="D262" i="55" s="1"/>
  <c r="D263" i="55" s="1"/>
  <c r="D264" i="55" s="1"/>
  <c r="D265" i="55" s="1"/>
  <c r="D266" i="55" s="1"/>
  <c r="D267" i="55" s="1"/>
  <c r="D268" i="55" s="1"/>
  <c r="D269" i="55" s="1"/>
  <c r="D270" i="55" s="1"/>
  <c r="D271" i="55" s="1"/>
  <c r="D272" i="55" s="1"/>
  <c r="D273" i="55" s="1"/>
  <c r="D274" i="55" s="1"/>
  <c r="D275" i="55" s="1"/>
  <c r="D276" i="55" s="1"/>
  <c r="D277" i="55" s="1"/>
  <c r="D278" i="55" s="1"/>
  <c r="D279" i="55" s="1"/>
  <c r="D280" i="55" s="1"/>
  <c r="D281" i="55" s="1"/>
  <c r="D282" i="55" s="1"/>
  <c r="D283" i="55" s="1"/>
  <c r="D284" i="55" s="1"/>
  <c r="D285" i="55" s="1"/>
  <c r="D286" i="55" s="1"/>
  <c r="D287" i="55" s="1"/>
  <c r="D288" i="55" s="1"/>
  <c r="D289" i="55" s="1"/>
  <c r="D290" i="55" s="1"/>
  <c r="D291" i="55" s="1"/>
  <c r="D292" i="55" s="1"/>
  <c r="D293" i="55" s="1"/>
  <c r="D294" i="55" s="1"/>
  <c r="D295" i="55" s="1"/>
  <c r="D296" i="55" s="1"/>
  <c r="D297" i="55" s="1"/>
  <c r="D298" i="55" s="1"/>
  <c r="D299" i="55" s="1"/>
  <c r="D300" i="55" s="1"/>
  <c r="D301" i="55" s="1"/>
  <c r="D302" i="55" s="1"/>
  <c r="D7" i="54"/>
  <c r="D8" i="54" s="1"/>
  <c r="D9" i="54" s="1"/>
  <c r="D10" i="54" s="1"/>
  <c r="D11" i="54" s="1"/>
  <c r="D12" i="54" s="1"/>
  <c r="D13" i="54" s="1"/>
  <c r="D14" i="54" s="1"/>
  <c r="D15" i="54" s="1"/>
  <c r="D16" i="54" s="1"/>
  <c r="D17" i="54" s="1"/>
  <c r="D18" i="54" s="1"/>
  <c r="D19" i="54" s="1"/>
  <c r="D20" i="54" s="1"/>
  <c r="D21" i="54" s="1"/>
  <c r="D22" i="54" s="1"/>
  <c r="D23" i="54" s="1"/>
  <c r="D24" i="54" s="1"/>
  <c r="D25" i="54" s="1"/>
  <c r="D26" i="54" s="1"/>
  <c r="D27" i="54" s="1"/>
  <c r="D28" i="54" s="1"/>
  <c r="D29" i="54" s="1"/>
  <c r="D30" i="54" s="1"/>
  <c r="D31" i="54" s="1"/>
  <c r="D32" i="54" s="1"/>
  <c r="D33" i="54" s="1"/>
  <c r="D34" i="54" s="1"/>
  <c r="D35" i="54" s="1"/>
  <c r="D36" i="54" s="1"/>
  <c r="D37" i="54" s="1"/>
  <c r="D38" i="54" s="1"/>
  <c r="D39" i="54" s="1"/>
  <c r="D40" i="54" s="1"/>
  <c r="D41" i="54" s="1"/>
  <c r="D42" i="54" s="1"/>
  <c r="D43" i="54" s="1"/>
  <c r="D44" i="54" s="1"/>
  <c r="D45" i="54" s="1"/>
  <c r="D46" i="54" s="1"/>
  <c r="D47" i="54" s="1"/>
  <c r="D48" i="54" s="1"/>
  <c r="D49" i="54" s="1"/>
  <c r="D50" i="54" s="1"/>
  <c r="D51" i="54" s="1"/>
  <c r="D52" i="54" s="1"/>
  <c r="D53" i="54" s="1"/>
  <c r="D54" i="54" s="1"/>
  <c r="D55" i="54" s="1"/>
  <c r="D56" i="54" s="1"/>
  <c r="D57" i="54" s="1"/>
  <c r="D58" i="54" s="1"/>
  <c r="D59" i="54" s="1"/>
  <c r="D60" i="54" s="1"/>
  <c r="D61" i="54" s="1"/>
  <c r="D62" i="54" s="1"/>
  <c r="D63" i="54" s="1"/>
  <c r="D64" i="54" s="1"/>
  <c r="D65" i="54" s="1"/>
  <c r="D66" i="54" s="1"/>
  <c r="D67" i="54" s="1"/>
  <c r="D68" i="54" s="1"/>
  <c r="D69" i="54" s="1"/>
  <c r="D70" i="54" s="1"/>
  <c r="D71" i="54" s="1"/>
  <c r="D72" i="54" s="1"/>
  <c r="D73" i="54" s="1"/>
  <c r="D74" i="54" s="1"/>
  <c r="D75" i="54" s="1"/>
  <c r="D76" i="54" s="1"/>
  <c r="D77" i="54" s="1"/>
  <c r="D78" i="54" s="1"/>
  <c r="D79" i="54" s="1"/>
  <c r="D80" i="54" s="1"/>
  <c r="D81" i="54" s="1"/>
  <c r="D82" i="54" s="1"/>
  <c r="D83" i="54" s="1"/>
  <c r="D84" i="54" s="1"/>
  <c r="D85" i="54" s="1"/>
  <c r="D86" i="54" s="1"/>
  <c r="D87" i="54" s="1"/>
  <c r="D88" i="54" s="1"/>
  <c r="D89" i="54" s="1"/>
  <c r="D90" i="54" s="1"/>
  <c r="D91" i="54" s="1"/>
  <c r="D92" i="54" s="1"/>
  <c r="D93" i="54" s="1"/>
  <c r="D94" i="54" s="1"/>
  <c r="D95" i="54" s="1"/>
  <c r="D96" i="54" s="1"/>
  <c r="D97" i="54" s="1"/>
  <c r="D98" i="54" s="1"/>
  <c r="D99" i="54" s="1"/>
  <c r="D100" i="54" s="1"/>
  <c r="D101" i="54" s="1"/>
  <c r="D102" i="54" s="1"/>
  <c r="D103" i="54" s="1"/>
  <c r="D104" i="54" s="1"/>
  <c r="D105" i="54" s="1"/>
  <c r="D106" i="54" s="1"/>
  <c r="D107" i="54" s="1"/>
  <c r="D108" i="54" s="1"/>
  <c r="D109" i="54" s="1"/>
  <c r="D110" i="54" s="1"/>
  <c r="D111" i="54" s="1"/>
  <c r="D112" i="54" s="1"/>
  <c r="D113" i="54" s="1"/>
  <c r="D114" i="54" s="1"/>
  <c r="D115" i="54" s="1"/>
  <c r="D116" i="54" s="1"/>
  <c r="D117" i="54" s="1"/>
  <c r="D118" i="54" s="1"/>
  <c r="F2" i="33"/>
  <c r="G2" i="33" s="1"/>
  <c r="F6" i="33"/>
  <c r="G6" i="33" s="1"/>
  <c r="F13" i="33"/>
  <c r="G13" i="33" s="1"/>
  <c r="F5" i="33"/>
  <c r="G5" i="33" s="1"/>
  <c r="I25" i="16"/>
  <c r="I33" i="16"/>
  <c r="I41" i="16"/>
  <c r="I57" i="16"/>
  <c r="I5" i="16"/>
  <c r="I49" i="16"/>
  <c r="D65" i="16"/>
  <c r="E58" i="16"/>
  <c r="F58" i="16" s="1"/>
  <c r="G58" i="16" s="1"/>
  <c r="I58" i="16" s="1"/>
  <c r="E50" i="16"/>
  <c r="F50" i="16" s="1"/>
  <c r="E42" i="16"/>
  <c r="F42" i="16" s="1"/>
  <c r="E34" i="16"/>
  <c r="F34" i="16" s="1"/>
  <c r="E26" i="16"/>
  <c r="F26" i="16" s="1"/>
  <c r="E18" i="16"/>
  <c r="F18" i="16" s="1"/>
  <c r="G18" i="16" s="1"/>
  <c r="I18" i="16" s="1"/>
  <c r="E10" i="16"/>
  <c r="F10" i="16" s="1"/>
  <c r="G10" i="16" s="1"/>
  <c r="I10" i="16" s="1"/>
  <c r="I59" i="16"/>
  <c r="I51" i="16"/>
  <c r="I43" i="16"/>
  <c r="I35" i="16"/>
  <c r="I27" i="16"/>
  <c r="I19" i="16"/>
  <c r="I11" i="16"/>
  <c r="I3" i="16"/>
  <c r="I45" i="16"/>
  <c r="I29" i="16"/>
  <c r="I13" i="16"/>
  <c r="I17" i="16"/>
  <c r="I9" i="16"/>
  <c r="I56" i="16"/>
  <c r="I48" i="16"/>
  <c r="I40" i="16"/>
  <c r="I32" i="16"/>
  <c r="I24" i="16"/>
  <c r="I16" i="16"/>
  <c r="I8" i="16"/>
  <c r="I53" i="16"/>
  <c r="I37" i="16"/>
  <c r="I21" i="16"/>
  <c r="G55" i="16"/>
  <c r="I55" i="16" s="1"/>
  <c r="G47" i="16"/>
  <c r="I47" i="16" s="1"/>
  <c r="G39" i="16"/>
  <c r="I39" i="16" s="1"/>
  <c r="G31" i="16"/>
  <c r="I31" i="16" s="1"/>
  <c r="G23" i="16"/>
  <c r="I23" i="16" s="1"/>
  <c r="G15" i="16"/>
  <c r="I15" i="16" s="1"/>
  <c r="G7" i="16"/>
  <c r="I7" i="16" s="1"/>
  <c r="G2" i="16"/>
  <c r="I2" i="16" s="1"/>
  <c r="I30" i="16"/>
  <c r="I54" i="16"/>
  <c r="I46" i="16"/>
  <c r="I38" i="16"/>
  <c r="I22" i="16"/>
  <c r="I6" i="16"/>
  <c r="G60" i="16"/>
  <c r="I60" i="16" s="1"/>
  <c r="G52" i="16"/>
  <c r="I52" i="16" s="1"/>
  <c r="G44" i="16"/>
  <c r="I44" i="16" s="1"/>
  <c r="G36" i="16"/>
  <c r="I36" i="16" s="1"/>
  <c r="G28" i="16"/>
  <c r="I28" i="16" s="1"/>
  <c r="G20" i="16"/>
  <c r="I20" i="16" s="1"/>
  <c r="G12" i="16"/>
  <c r="I12" i="16" s="1"/>
  <c r="G4" i="16"/>
  <c r="I4" i="16" s="1"/>
  <c r="G50" i="16"/>
  <c r="I50" i="16" s="1"/>
  <c r="G42" i="16"/>
  <c r="I42" i="16" s="1"/>
  <c r="G34" i="16"/>
  <c r="I34" i="16" s="1"/>
  <c r="G26" i="16"/>
  <c r="I26" i="16" s="1"/>
  <c r="D20" i="12"/>
  <c r="D21" i="12" s="1"/>
  <c r="D22" i="12" s="1"/>
  <c r="D23" i="12" s="1"/>
  <c r="D24" i="12" s="1"/>
  <c r="D25" i="12" s="1"/>
  <c r="D26" i="12" s="1"/>
  <c r="D27" i="12" s="1"/>
  <c r="D28" i="12" s="1"/>
  <c r="D29" i="12" s="1"/>
  <c r="D30" i="12" s="1"/>
  <c r="D31" i="12" s="1"/>
  <c r="D32" i="12" s="1"/>
  <c r="D33" i="12" s="1"/>
  <c r="D34" i="12" s="1"/>
  <c r="D35" i="12" s="1"/>
  <c r="D36" i="12" s="1"/>
  <c r="D37" i="12" s="1"/>
  <c r="D38" i="12" s="1"/>
  <c r="D39" i="12" s="1"/>
  <c r="D40" i="12" s="1"/>
  <c r="D41" i="12" s="1"/>
  <c r="D42" i="12" s="1"/>
  <c r="D43" i="12" s="1"/>
  <c r="D44" i="12" s="1"/>
  <c r="D45" i="12" s="1"/>
  <c r="D46" i="12" s="1"/>
  <c r="D47" i="12" s="1"/>
  <c r="D48" i="12" s="1"/>
  <c r="D50" i="12" s="1"/>
  <c r="D51" i="12" s="1"/>
  <c r="D52" i="12" s="1"/>
  <c r="D53" i="12" s="1"/>
  <c r="D54" i="12" s="1"/>
  <c r="D55" i="12" s="1"/>
  <c r="D56" i="12" s="1"/>
  <c r="D57" i="12" s="1"/>
  <c r="D58" i="12" s="1"/>
  <c r="D59" i="12" s="1"/>
  <c r="D60" i="12" s="1"/>
  <c r="D61" i="12" s="1"/>
  <c r="D62" i="12" s="1"/>
  <c r="D63" i="12" s="1"/>
  <c r="D64" i="12" s="1"/>
  <c r="D65" i="12" s="1"/>
  <c r="D66" i="12" s="1"/>
  <c r="D67" i="12" s="1"/>
  <c r="D68" i="12" s="1"/>
  <c r="D69" i="12" s="1"/>
  <c r="D70" i="12" s="1"/>
  <c r="D71" i="12" s="1"/>
  <c r="D72" i="12" s="1"/>
  <c r="D73" i="12" s="1"/>
  <c r="D74" i="12" s="1"/>
  <c r="D75" i="12" s="1"/>
  <c r="D76" i="12" s="1"/>
  <c r="D77" i="12" s="1"/>
  <c r="D78" i="12" s="1"/>
  <c r="D79" i="12" s="1"/>
  <c r="D80" i="12" s="1"/>
  <c r="D81" i="12" s="1"/>
  <c r="D82" i="12" s="1"/>
  <c r="D83" i="12" s="1"/>
  <c r="D84" i="12" s="1"/>
  <c r="D85" i="12" s="1"/>
  <c r="D86" i="12" s="1"/>
  <c r="H16" i="8"/>
  <c r="H17" i="8"/>
  <c r="H18" i="8"/>
  <c r="G3" i="6"/>
  <c r="H3" i="6" s="1"/>
  <c r="G4" i="6"/>
  <c r="G5" i="6"/>
  <c r="G6" i="6"/>
  <c r="H6" i="6" s="1"/>
  <c r="G7" i="6"/>
  <c r="H7" i="6" s="1"/>
  <c r="G8" i="6"/>
  <c r="H8" i="6" s="1"/>
  <c r="G9" i="6"/>
  <c r="G10" i="6"/>
  <c r="H10" i="6" s="1"/>
  <c r="G11" i="6"/>
  <c r="G12" i="6"/>
  <c r="G13" i="6"/>
  <c r="G14" i="6"/>
  <c r="G15" i="6"/>
  <c r="H15" i="6" s="1"/>
  <c r="G16" i="6"/>
  <c r="H16" i="6" s="1"/>
  <c r="G17" i="6"/>
  <c r="G18" i="6"/>
  <c r="H18" i="6" s="1"/>
  <c r="G19" i="6"/>
  <c r="H19" i="6" s="1"/>
  <c r="G20" i="6"/>
  <c r="G21" i="6"/>
  <c r="G22" i="6"/>
  <c r="H22" i="6" s="1"/>
  <c r="G23" i="6"/>
  <c r="H23" i="6" s="1"/>
  <c r="G24" i="6"/>
  <c r="H24" i="6" s="1"/>
  <c r="G2" i="6"/>
  <c r="H4" i="6"/>
  <c r="H5" i="6"/>
  <c r="H9" i="6"/>
  <c r="H11" i="6"/>
  <c r="H12" i="6"/>
  <c r="H13" i="6"/>
  <c r="H14" i="6"/>
  <c r="H17" i="6"/>
  <c r="H20" i="6"/>
  <c r="H21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" i="6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" i="3"/>
  <c r="A1" i="3"/>
  <c r="I27" i="157" l="1"/>
  <c r="I29" i="157" s="1"/>
  <c r="I30" i="157" s="1"/>
  <c r="I31" i="157" s="1"/>
  <c r="J13" i="146"/>
  <c r="J15" i="146" s="1"/>
  <c r="J16" i="146" s="1"/>
  <c r="J17" i="146" s="1"/>
  <c r="I61" i="16"/>
  <c r="I63" i="16" s="1"/>
  <c r="H19" i="8"/>
  <c r="H27" i="6"/>
  <c r="H28" i="6" s="1"/>
  <c r="H25" i="6"/>
</calcChain>
</file>

<file path=xl/sharedStrings.xml><?xml version="1.0" encoding="utf-8"?>
<sst xmlns="http://schemas.openxmlformats.org/spreadsheetml/2006/main" count="2314" uniqueCount="157">
  <si>
    <t>Data de pagamento</t>
  </si>
  <si>
    <t>Taxa nominal</t>
  </si>
  <si>
    <t>Período</t>
  </si>
  <si>
    <t>Fator de desconto</t>
  </si>
  <si>
    <t>SOMA</t>
  </si>
  <si>
    <t>PRINCIPAL</t>
  </si>
  <si>
    <t>NUMERADOR</t>
  </si>
  <si>
    <t>Periodo</t>
  </si>
  <si>
    <t>Inflação acumulada</t>
  </si>
  <si>
    <t>Atualização do principal</t>
  </si>
  <si>
    <t>Principal</t>
  </si>
  <si>
    <t>Cupom C</t>
  </si>
  <si>
    <t>nC</t>
  </si>
  <si>
    <t>Taxa de desconto</t>
  </si>
  <si>
    <t>nC*Taxa de desconto</t>
  </si>
  <si>
    <t>taxa indicativa</t>
  </si>
  <si>
    <t>numerador</t>
  </si>
  <si>
    <t>Duration</t>
  </si>
  <si>
    <t>Modified duration</t>
  </si>
  <si>
    <t>Rating</t>
  </si>
  <si>
    <t>Ba2-</t>
  </si>
  <si>
    <t>Mês/ano</t>
  </si>
  <si>
    <t>1+i</t>
  </si>
  <si>
    <t>0,44</t>
  </si>
  <si>
    <t>0,29</t>
  </si>
  <si>
    <t>0,32</t>
  </si>
  <si>
    <t>0,09</t>
  </si>
  <si>
    <t>0,22</t>
  </si>
  <si>
    <t>0,40</t>
  </si>
  <si>
    <t>1,26</t>
  </si>
  <si>
    <t>0,33</t>
  </si>
  <si>
    <t>-0,09</t>
  </si>
  <si>
    <t>0,48</t>
  </si>
  <si>
    <t>0,45</t>
  </si>
  <si>
    <t>-0,21</t>
  </si>
  <si>
    <t>0,15</t>
  </si>
  <si>
    <t>0,43</t>
  </si>
  <si>
    <t>0,75</t>
  </si>
  <si>
    <t>0,57</t>
  </si>
  <si>
    <t>0,13</t>
  </si>
  <si>
    <t>0,01</t>
  </si>
  <si>
    <t>0,19</t>
  </si>
  <si>
    <t>0,11</t>
  </si>
  <si>
    <t>-0,04</t>
  </si>
  <si>
    <t>0,10</t>
  </si>
  <si>
    <t>0,51</t>
  </si>
  <si>
    <t>1,15</t>
  </si>
  <si>
    <t>0,21</t>
  </si>
  <si>
    <t>0,25</t>
  </si>
  <si>
    <t>0,07</t>
  </si>
  <si>
    <t>-0,31</t>
  </si>
  <si>
    <t>-0,38</t>
  </si>
  <si>
    <t>0,26</t>
  </si>
  <si>
    <t>0,36</t>
  </si>
  <si>
    <t>0,24</t>
  </si>
  <si>
    <t>0,64</t>
  </si>
  <si>
    <t>0,86</t>
  </si>
  <si>
    <t>0,89</t>
  </si>
  <si>
    <t>1,35</t>
  </si>
  <si>
    <t>0,93</t>
  </si>
  <si>
    <t>0,31</t>
  </si>
  <si>
    <t>0,83</t>
  </si>
  <si>
    <t>0,53</t>
  </si>
  <si>
    <t>0,96</t>
  </si>
  <si>
    <t>0,87</t>
  </si>
  <si>
    <t>1,16</t>
  </si>
  <si>
    <t>1,25</t>
  </si>
  <si>
    <t>0,95</t>
  </si>
  <si>
    <t>0,73</t>
  </si>
  <si>
    <t>0,54</t>
  </si>
  <si>
    <t>1,01</t>
  </si>
  <si>
    <t>1,62</t>
  </si>
  <si>
    <t>1,06</t>
  </si>
  <si>
    <t>0,47</t>
  </si>
  <si>
    <t>0,67</t>
  </si>
  <si>
    <t>-0,68</t>
  </si>
  <si>
    <t>-0,36</t>
  </si>
  <si>
    <t>-0,29</t>
  </si>
  <si>
    <t>Inflação acumulada (%)</t>
  </si>
  <si>
    <t>Taxa nominal anual (%)</t>
  </si>
  <si>
    <t>Taxa nominal semestral (%)</t>
  </si>
  <si>
    <t>Valor de face (R$)</t>
  </si>
  <si>
    <t>Atualização do valor de face (R$)</t>
  </si>
  <si>
    <t>Cupom (R$)</t>
  </si>
  <si>
    <t>Amortização 1 - principal (R$)</t>
  </si>
  <si>
    <t>Amortização 2 - principal (R$)</t>
  </si>
  <si>
    <t>Taxa anual indicativa (%)</t>
  </si>
  <si>
    <t>PRINCIPAL 1</t>
  </si>
  <si>
    <t>PRINCIPAL 2</t>
  </si>
  <si>
    <t>Duração de Macaulay</t>
  </si>
  <si>
    <t>Preço atual (R$)</t>
  </si>
  <si>
    <t>Retorno até o momento</t>
  </si>
  <si>
    <t>Inflação</t>
  </si>
  <si>
    <t>Taxa acumulada</t>
  </si>
  <si>
    <t>0,42</t>
  </si>
  <si>
    <t>0,28</t>
  </si>
  <si>
    <t>Período (n)</t>
  </si>
  <si>
    <t>Atualização do principal (R$)</t>
  </si>
  <si>
    <t>Valor nominal de emissão (R$)</t>
  </si>
  <si>
    <t>Cupom pago (C -R$)</t>
  </si>
  <si>
    <t>Amorização do principal (R$)</t>
  </si>
  <si>
    <t>Taxa indicativa (%)</t>
  </si>
  <si>
    <t>nC*Fator de desconto</t>
  </si>
  <si>
    <t>Retorno atual</t>
  </si>
  <si>
    <t>mês/ano</t>
  </si>
  <si>
    <t>variação mensal (%)</t>
  </si>
  <si>
    <t>Valor nominal na emissão (R$)</t>
  </si>
  <si>
    <t>Cupom pago (C - R$)</t>
  </si>
  <si>
    <t>Retorno atual (%)</t>
  </si>
  <si>
    <t>BBB-</t>
  </si>
  <si>
    <t>Periodo (n)</t>
  </si>
  <si>
    <t>Principal atualizado (R$)</t>
  </si>
  <si>
    <t>Principal atualizado na maturidade (R$)</t>
  </si>
  <si>
    <t>Taxa anual representativa (%)</t>
  </si>
  <si>
    <t>Ba2 / - / -</t>
  </si>
  <si>
    <t>DI</t>
  </si>
  <si>
    <t>Spread</t>
  </si>
  <si>
    <t>Taxa de cupom</t>
  </si>
  <si>
    <t>Taxa mensal indicativa (%)</t>
  </si>
  <si>
    <t>Rendimento atual</t>
  </si>
  <si>
    <t>Ba2 </t>
  </si>
  <si>
    <t>Taxa DI anual (%)</t>
  </si>
  <si>
    <t>Taxa DI aplicada (%)</t>
  </si>
  <si>
    <t>Taxa semestral nominal (%)</t>
  </si>
  <si>
    <t>Taxa anual nominal (%)</t>
  </si>
  <si>
    <t xml:space="preserve">Fator de desconto </t>
  </si>
  <si>
    <t>Rendimento atual (%)</t>
  </si>
  <si>
    <t>Taxa DI diária (%)</t>
  </si>
  <si>
    <t>Spread (%)</t>
  </si>
  <si>
    <t>Total para pagamento de cupom</t>
  </si>
  <si>
    <t>Cupom pago</t>
  </si>
  <si>
    <t xml:space="preserve">Valor nominal de emissão </t>
  </si>
  <si>
    <t>Taxa indicativa</t>
  </si>
  <si>
    <t>BB-</t>
  </si>
  <si>
    <t>Taxa cupom</t>
  </si>
  <si>
    <t>Cupom</t>
  </si>
  <si>
    <t>DI dia</t>
  </si>
  <si>
    <t>Valor emissão</t>
  </si>
  <si>
    <t>Taxa DI anual</t>
  </si>
  <si>
    <t>Taxa DI dia</t>
  </si>
  <si>
    <t>Taxa DI mensal</t>
  </si>
  <si>
    <t>Taxa DI no período (%)</t>
  </si>
  <si>
    <t>Taxa de cupom (%)</t>
  </si>
  <si>
    <t>Duração da Macaulay</t>
  </si>
  <si>
    <t>Taxa anual (%)</t>
  </si>
  <si>
    <t xml:space="preserve">Rendimento atual </t>
  </si>
  <si>
    <t>Inflaçãi acumulada</t>
  </si>
  <si>
    <t>Infla</t>
  </si>
  <si>
    <t>MÊS/ANO</t>
  </si>
  <si>
    <t>Acumulada</t>
  </si>
  <si>
    <t>Inflacao</t>
  </si>
  <si>
    <t>acumulada</t>
  </si>
  <si>
    <t>i+1</t>
  </si>
  <si>
    <t>Mes/ano</t>
  </si>
  <si>
    <t>BB+</t>
  </si>
  <si>
    <t>taxa DI</t>
  </si>
  <si>
    <t>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</si>
</sst>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82" formatCode="0.00000000000E+00"/>
    <numFmt numFmtId="192" formatCode="0.000"/>
    <numFmt numFmtId="193" formatCode="0.0000"/>
    <numFmt numFmtId="194" formatCode="0.00000"/>
    <numFmt numFmtId="195" formatCode="0.000000"/>
    <numFmt numFmtId="196" formatCode="0.0000000"/>
    <numFmt numFmtId="197" formatCode="0.00000000"/>
    <numFmt numFmtId="202" formatCode="#,##0.000000"/>
    <numFmt numFmtId="203" formatCode="0.00000000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484A4D"/>
      <name val="Lato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F0F1F2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22" fillId="0" borderId="0"/>
  </cellStyleXfs>
  <cellXfs count="23">
    <xf numFmtId="0" fontId="0" fillId="0" borderId="0" xfId="0"/>
    <xf numFmtId="14" fontId="0" fillId="0" borderId="0" xfId="0" applyNumberFormat="1"/>
    <xf numFmtId="14" fontId="20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17" fontId="0" fillId="0" borderId="0" xfId="0" applyNumberFormat="1"/>
    <xf numFmtId="0" fontId="0" fillId="0" borderId="0" xfId="0" applyNumberFormat="1"/>
    <xf numFmtId="4" fontId="0" fillId="0" borderId="0" xfId="0" applyNumberFormat="1"/>
    <xf numFmtId="0" fontId="21" fillId="0" borderId="0" xfId="0" applyFont="1"/>
    <xf numFmtId="2" fontId="0" fillId="0" borderId="0" xfId="0" applyNumberFormat="1"/>
    <xf numFmtId="182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4" fontId="21" fillId="0" borderId="0" xfId="0" applyNumberFormat="1" applyFont="1"/>
    <xf numFmtId="3" fontId="23" fillId="0" borderId="0" xfId="43" applyNumberFormat="1" applyFont="1" applyBorder="1" applyAlignment="1">
      <alignment vertical="center"/>
    </xf>
    <xf numFmtId="14" fontId="23" fillId="0" borderId="0" xfId="43" applyNumberFormat="1" applyFont="1" applyBorder="1" applyAlignment="1">
      <alignment vertical="center"/>
    </xf>
    <xf numFmtId="2" fontId="23" fillId="0" borderId="0" xfId="43" applyNumberFormat="1" applyFont="1" applyFill="1" applyBorder="1" applyAlignment="1">
      <alignment vertical="center"/>
    </xf>
    <xf numFmtId="202" fontId="0" fillId="0" borderId="0" xfId="0" applyNumberFormat="1"/>
    <xf numFmtId="0" fontId="21" fillId="33" borderId="11" xfId="0" applyFont="1" applyFill="1" applyBorder="1" applyAlignment="1">
      <alignment horizontal="left" vertical="center" wrapText="1"/>
    </xf>
    <xf numFmtId="203" fontId="0" fillId="0" borderId="0" xfId="0" applyNumberFormat="1"/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DBC18C61-575C-4718-839C-ACAE975D8096}"/>
    <cellStyle name="Normal 3" xfId="43" xr:uid="{5880A38E-9D93-4CA8-AA25-A535AEACE13E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9">
    <dxf>
      <numFmt numFmtId="22" formatCode="mmm/yy"/>
    </dxf>
    <dxf>
      <numFmt numFmtId="22" formatCode="mmm/yy"/>
    </dxf>
    <dxf>
      <numFmt numFmtId="22" formatCode="mmm/yy"/>
    </dxf>
    <dxf>
      <numFmt numFmtId="22" formatCode="mmm/yy"/>
    </dxf>
    <dxf>
      <numFmt numFmtId="22" formatCode="mmm/yy"/>
    </dxf>
    <dxf>
      <numFmt numFmtId="22" formatCode="mmm/yy"/>
    </dxf>
    <dxf>
      <numFmt numFmtId="22" formatCode="mmm/yy"/>
    </dxf>
    <dxf>
      <numFmt numFmtId="22" formatCode="mmm/yy"/>
    </dxf>
    <dxf>
      <numFmt numFmtId="22" formatCode="mmm/yy"/>
    </dxf>
    <dxf>
      <numFmt numFmtId="22" formatCode="mmm/yy"/>
    </dxf>
    <dxf>
      <numFmt numFmtId="22" formatCode="mmm/yy"/>
    </dxf>
    <dxf>
      <numFmt numFmtId="22" formatCode="mmm/yy"/>
    </dxf>
    <dxf>
      <numFmt numFmtId="22" formatCode="mmm/yy"/>
    </dxf>
    <dxf>
      <numFmt numFmtId="22" formatCode="mmm/yy"/>
    </dxf>
    <dxf>
      <numFmt numFmtId="22" formatCode="mmm/yy"/>
    </dxf>
    <dxf>
      <numFmt numFmtId="22" formatCode="mmm/yy"/>
    </dxf>
    <dxf>
      <numFmt numFmtId="22" formatCode="mmm/yy"/>
    </dxf>
    <dxf>
      <numFmt numFmtId="22" formatCode="mmm/yy"/>
    </dxf>
    <dxf>
      <numFmt numFmtId="22" formatCode="mmm/yy"/>
    </dxf>
    <dxf>
      <numFmt numFmtId="22" formatCode="mmm/yy"/>
    </dxf>
    <dxf>
      <numFmt numFmtId="22" formatCode="mmm/yy"/>
    </dxf>
    <dxf>
      <numFmt numFmtId="22" formatCode="mmm/yy"/>
    </dxf>
    <dxf>
      <numFmt numFmtId="22" formatCode="mmm/yy"/>
    </dxf>
    <dxf>
      <numFmt numFmtId="22" formatCode="mmm/yy"/>
    </dxf>
    <dxf>
      <numFmt numFmtId="22" formatCode="mmm/yy"/>
    </dxf>
    <dxf>
      <numFmt numFmtId="22" formatCode="mmm/yy"/>
    </dxf>
    <dxf>
      <numFmt numFmtId="22" formatCode="mmm/yy"/>
    </dxf>
    <dxf>
      <numFmt numFmtId="22" formatCode="mmm/yy"/>
    </dxf>
    <dxf>
      <numFmt numFmtId="22" formatCode="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tyles" Target="style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79D2C80-9696-4315-AC04-5CCCA643D06C}" name="Tabela29" displayName="Tabela29" ref="A1:D302" totalsRowShown="0">
  <autoFilter ref="A1:D302" xr:uid="{079D2C80-9696-4315-AC04-5CCCA643D06C}">
    <filterColumn colId="0">
      <filters>
        <dateGroupItem year="2045" month="6" dateTimeGrouping="month"/>
        <dateGroupItem year="2045" month="12" dateTimeGrouping="month"/>
        <dateGroupItem year="2044" month="6" dateTimeGrouping="month"/>
        <dateGroupItem year="2044" month="12" dateTimeGrouping="month"/>
        <dateGroupItem year="2043" month="6" dateTimeGrouping="month"/>
        <dateGroupItem year="2043" month="12" dateTimeGrouping="month"/>
        <dateGroupItem year="2042" month="6" dateTimeGrouping="month"/>
        <dateGroupItem year="2042" month="12" dateTimeGrouping="month"/>
        <dateGroupItem year="2041" month="6" dateTimeGrouping="month"/>
        <dateGroupItem year="2041" month="12" dateTimeGrouping="month"/>
        <dateGroupItem year="2040" month="6" dateTimeGrouping="month"/>
        <dateGroupItem year="2040" month="12" dateTimeGrouping="month"/>
        <dateGroupItem year="2039" month="6" dateTimeGrouping="month"/>
        <dateGroupItem year="2039" month="12" dateTimeGrouping="month"/>
        <dateGroupItem year="2038" month="6" dateTimeGrouping="month"/>
        <dateGroupItem year="2038" month="12" dateTimeGrouping="month"/>
        <dateGroupItem year="2037" month="6" dateTimeGrouping="month"/>
        <dateGroupItem year="2037" month="12" dateTimeGrouping="month"/>
        <dateGroupItem year="2036" month="6" dateTimeGrouping="month"/>
        <dateGroupItem year="2036" month="12" dateTimeGrouping="month"/>
        <dateGroupItem year="2035" month="6" dateTimeGrouping="month"/>
        <dateGroupItem year="2035" month="12" dateTimeGrouping="month"/>
        <dateGroupItem year="2034" month="6" dateTimeGrouping="month"/>
        <dateGroupItem year="2034" month="12" dateTimeGrouping="month"/>
        <dateGroupItem year="2033" month="6" dateTimeGrouping="month"/>
        <dateGroupItem year="2033" month="12" dateTimeGrouping="month"/>
        <dateGroupItem year="2032" month="6" dateTimeGrouping="month"/>
        <dateGroupItem year="2032" month="12" dateTimeGrouping="month"/>
        <dateGroupItem year="2031" month="6" dateTimeGrouping="month"/>
        <dateGroupItem year="2031" month="12" dateTimeGrouping="month"/>
        <dateGroupItem year="2030" month="6" dateTimeGrouping="month"/>
        <dateGroupItem year="2030" month="12" dateTimeGrouping="month"/>
        <dateGroupItem year="2029" month="6" dateTimeGrouping="month"/>
        <dateGroupItem year="2029" month="12" dateTimeGrouping="month"/>
        <dateGroupItem year="2028" month="6" dateTimeGrouping="month"/>
        <dateGroupItem year="2028" month="12" dateTimeGrouping="month"/>
        <dateGroupItem year="2027" month="6" dateTimeGrouping="month"/>
        <dateGroupItem year="2027" month="12" dateTimeGrouping="month"/>
        <dateGroupItem year="2026" month="6" dateTimeGrouping="month"/>
        <dateGroupItem year="2026" month="12" dateTimeGrouping="month"/>
        <dateGroupItem year="2025" month="6" dateTimeGrouping="month"/>
        <dateGroupItem year="2025" month="12" dateTimeGrouping="month"/>
        <dateGroupItem year="2024" month="6" dateTimeGrouping="month"/>
        <dateGroupItem year="2024" month="12" dateTimeGrouping="month"/>
        <dateGroupItem year="2023" month="6" dateTimeGrouping="month"/>
        <dateGroupItem year="2023" month="12" dateTimeGrouping="month"/>
        <dateGroupItem year="2022" month="6" dateTimeGrouping="month"/>
        <dateGroupItem year="2022" month="12" dateTimeGrouping="month"/>
        <dateGroupItem year="2021" month="6" dateTimeGrouping="month"/>
        <dateGroupItem year="2021" month="12" dateTimeGrouping="month"/>
      </filters>
    </filterColumn>
  </autoFilter>
  <tableColumns count="4">
    <tableColumn id="1" xr3:uid="{57ED45BC-A750-4605-8C3F-85704263D238}" name="Mês/ano" dataDxfId="0"/>
    <tableColumn id="2" xr3:uid="{D75C4ED3-FAE5-459B-B3FB-E7DA38980937}" name="Inflacao"/>
    <tableColumn id="3" xr3:uid="{8CB3CD34-8A0D-49DD-90A6-D9673E5CDFBE}" name="1+i">
      <calculatedColumnFormula>1+B2/100</calculatedColumnFormula>
    </tableColumn>
    <tableColumn id="4" xr3:uid="{802452C9-29B9-416B-9656-3382CE3E059F}" name="Acumulada">
      <calculatedColumnFormula>C2*D1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CAA5A48-5877-4443-ACAD-D778F05321BA}" name="Tabela28" displayName="Tabela28" ref="A1:D122" totalsRowShown="0">
  <autoFilter ref="A1:D122" xr:uid="{8CAA5A48-5877-4443-ACAD-D778F05321BA}">
    <filterColumn colId="0">
      <filters>
        <dateGroupItem year="2031" month="3" dateTimeGrouping="month"/>
        <dateGroupItem year="2030" month="3" dateTimeGrouping="month"/>
        <dateGroupItem year="2030" month="9" dateTimeGrouping="month"/>
        <dateGroupItem year="2029" month="3" dateTimeGrouping="month"/>
        <dateGroupItem year="2029" month="9" dateTimeGrouping="month"/>
        <dateGroupItem year="2028" month="3" dateTimeGrouping="month"/>
        <dateGroupItem year="2028" month="9" dateTimeGrouping="month"/>
        <dateGroupItem year="2027" month="3" dateTimeGrouping="month"/>
        <dateGroupItem year="2027" month="9" dateTimeGrouping="month"/>
        <dateGroupItem year="2026" month="3" dateTimeGrouping="month"/>
        <dateGroupItem year="2026" month="9" dateTimeGrouping="month"/>
        <dateGroupItem year="2025" month="3" dateTimeGrouping="month"/>
        <dateGroupItem year="2025" month="9" dateTimeGrouping="month"/>
        <dateGroupItem year="2024" month="3" dateTimeGrouping="month"/>
        <dateGroupItem year="2024" month="9" dateTimeGrouping="month"/>
        <dateGroupItem year="2023" month="3" dateTimeGrouping="month"/>
        <dateGroupItem year="2023" month="9" dateTimeGrouping="month"/>
        <dateGroupItem year="2022" month="3" dateTimeGrouping="month"/>
        <dateGroupItem year="2022" month="9" dateTimeGrouping="month"/>
        <dateGroupItem year="2021" month="3" dateTimeGrouping="month"/>
        <dateGroupItem year="2021" month="9" dateTimeGrouping="month"/>
      </filters>
    </filterColumn>
  </autoFilter>
  <tableColumns count="4">
    <tableColumn id="1" xr3:uid="{FC045535-EAC3-4D19-9486-0F7E05949D7D}" name="Mês/ano" dataDxfId="1"/>
    <tableColumn id="2" xr3:uid="{08B61F33-D22A-4FE2-9A17-6D4935581C9F}" name="Inflacao"/>
    <tableColumn id="3" xr3:uid="{770CDF85-1D08-4617-9E5A-8E8601BD1BC4}" name="1+i"/>
    <tableColumn id="4" xr3:uid="{A9E74EBF-B344-4DCF-AD46-60CF1E8390BE}" name="Acumulada">
      <calculatedColumnFormula>C2*D1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BBE837A2-C336-455A-8A3F-7EA0966B0A73}" name="Tabela27" displayName="Tabela27" ref="A1:D85" totalsRowShown="0">
  <autoFilter ref="A1:D85" xr:uid="{BBE837A2-C336-455A-8A3F-7EA0966B0A73}">
    <filterColumn colId="0">
      <filters>
        <dateGroupItem year="2028" month="2" dateTimeGrouping="month"/>
        <dateGroupItem year="2027" month="2" dateTimeGrouping="month"/>
        <dateGroupItem year="2027" month="8" dateTimeGrouping="month"/>
        <dateGroupItem year="2026" month="2" dateTimeGrouping="month"/>
        <dateGroupItem year="2026" month="8" dateTimeGrouping="month"/>
        <dateGroupItem year="2025" month="2" dateTimeGrouping="month"/>
        <dateGroupItem year="2025" month="8" dateTimeGrouping="month"/>
        <dateGroupItem year="2024" month="2" dateTimeGrouping="month"/>
        <dateGroupItem year="2024" month="8" dateTimeGrouping="month"/>
        <dateGroupItem year="2023" month="2" dateTimeGrouping="month"/>
        <dateGroupItem year="2023" month="8" dateTimeGrouping="month"/>
        <dateGroupItem year="2022" month="2" dateTimeGrouping="month"/>
        <dateGroupItem year="2022" month="8" dateTimeGrouping="month"/>
        <dateGroupItem year="2021" month="8" dateTimeGrouping="month"/>
      </filters>
    </filterColumn>
  </autoFilter>
  <tableColumns count="4">
    <tableColumn id="1" xr3:uid="{C515BD7B-D115-4F6B-A622-7E29FDB59B5C}" name="Mês/ano" dataDxfId="2"/>
    <tableColumn id="2" xr3:uid="{C54D1C2A-7704-479D-880B-A9AAFDD5F8C4}" name="Inflacao"/>
    <tableColumn id="3" xr3:uid="{A4A00873-2B18-46AD-AAB5-79F095570186}" name="1+i"/>
    <tableColumn id="4" xr3:uid="{FCA4E96C-7DEB-4438-AFB8-343EC5FC65B5}" name="Acumulada">
      <calculatedColumnFormula>C2*D1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5091A30B-280D-4D5D-AACE-363A193463FB}" name="Tabela26" displayName="Tabela26" ref="A1:D163" totalsRowShown="0">
  <autoFilter ref="A1:D163" xr:uid="{5091A30B-280D-4D5D-AACE-363A193463FB}"/>
  <tableColumns count="4">
    <tableColumn id="1" xr3:uid="{8ED095E5-0E94-4FF8-BE20-95BB3BC2F028}" name="Mês/ano" dataDxfId="3"/>
    <tableColumn id="2" xr3:uid="{3B5FB3A1-4865-4467-9666-E3B35EC8BF55}" name="Inflacao"/>
    <tableColumn id="3" xr3:uid="{1D1D95CA-764E-4309-8D65-B466AF8752E1}" name="1+i">
      <calculatedColumnFormula>1+B2/100</calculatedColumnFormula>
    </tableColumn>
    <tableColumn id="4" xr3:uid="{7EFAF06E-BFF2-417D-AA20-CBD8B59AA7CD}" name="Acumulada">
      <calculatedColumnFormula>C2*D1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A7B680D-82A0-4796-9F9F-F02FC5314D92}" name="Tabela25" displayName="Tabela25" ref="A1:D122" totalsRowShown="0">
  <autoFilter ref="A1:D122" xr:uid="{9A7B680D-82A0-4796-9F9F-F02FC5314D92}"/>
  <tableColumns count="4">
    <tableColumn id="1" xr3:uid="{A09ACBDB-4C9D-4C68-B0F8-B59426F487ED}" name="Mês/ano" dataDxfId="4"/>
    <tableColumn id="2" xr3:uid="{3DF209CB-8B6C-48BD-9F4B-824B2FFB2223}" name="Inflacao"/>
    <tableColumn id="3" xr3:uid="{E7A48BCD-A41B-49C7-A200-B85A25B68937}" name="1+i"/>
    <tableColumn id="4" xr3:uid="{EB692E9F-47A2-4207-91D5-0AF4148BFE21}" name="Acumulada">
      <calculatedColumnFormula>C2*D1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85331D1-1937-4B5E-B94C-E4FA67ED41D2}" name="Tabela23" displayName="Tabela23" ref="A1:D120" totalsRowShown="0">
  <autoFilter ref="A1:D120" xr:uid="{A85331D1-1937-4B5E-B94C-E4FA67ED41D2}">
    <filterColumn colId="0">
      <filters>
        <dateGroupItem year="2031" month="4" dateTimeGrouping="month"/>
        <dateGroupItem year="2030" month="4" dateTimeGrouping="month"/>
        <dateGroupItem year="2030" month="10" dateTimeGrouping="month"/>
        <dateGroupItem year="2029" month="4" dateTimeGrouping="month"/>
        <dateGroupItem year="2029" month="10" dateTimeGrouping="month"/>
        <dateGroupItem year="2028" month="4" dateTimeGrouping="month"/>
        <dateGroupItem year="2028" month="10" dateTimeGrouping="month"/>
        <dateGroupItem year="2027" month="4" dateTimeGrouping="month"/>
        <dateGroupItem year="2027" month="10" dateTimeGrouping="month"/>
        <dateGroupItem year="2026" month="4" dateTimeGrouping="month"/>
        <dateGroupItem year="2026" month="10" dateTimeGrouping="month"/>
        <dateGroupItem year="2025" month="4" dateTimeGrouping="month"/>
        <dateGroupItem year="2025" month="10" dateTimeGrouping="month"/>
        <dateGroupItem year="2024" month="4" dateTimeGrouping="month"/>
        <dateGroupItem year="2024" month="10" dateTimeGrouping="month"/>
        <dateGroupItem year="2023" month="4" dateTimeGrouping="month"/>
        <dateGroupItem year="2023" month="10" dateTimeGrouping="month"/>
        <dateGroupItem year="2022" month="4" dateTimeGrouping="month"/>
        <dateGroupItem year="2022" month="10" dateTimeGrouping="month"/>
        <dateGroupItem year="2021" month="10" dateTimeGrouping="month"/>
      </filters>
    </filterColumn>
  </autoFilter>
  <tableColumns count="4">
    <tableColumn id="1" xr3:uid="{47DCA17C-840B-43ED-A3B5-B78605A71A11}" name="Mês/ano" dataDxfId="6"/>
    <tableColumn id="2" xr3:uid="{48BD24F5-7BDA-419A-81EC-E07308FDAC07}" name="Inflacao"/>
    <tableColumn id="3" xr3:uid="{1B5EDED4-3907-46AF-9638-9DD6AEC659E8}" name="1+i"/>
    <tableColumn id="4" xr3:uid="{3D889318-25A5-4D8D-9474-6A58E53F0559}" name="Acumulada">
      <calculatedColumnFormula>C2*D1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107360D-B417-4CBB-AA2A-AC67A0C84954}" name="Tabela22" displayName="Tabela22" ref="A1:D182" totalsRowShown="0">
  <autoFilter ref="A1:D182" xr:uid="{3107360D-B417-4CBB-AA2A-AC67A0C84954}"/>
  <tableColumns count="4">
    <tableColumn id="1" xr3:uid="{F8E539EC-7054-4589-936C-852E01D34280}" name="Mês/ano" dataDxfId="7"/>
    <tableColumn id="2" xr3:uid="{E2850D03-E4C3-4262-87CB-8832E7C81632}" name="Inflacao"/>
    <tableColumn id="3" xr3:uid="{B8E27578-7F40-4FFD-AF99-6A3298BF3FFD}" name="1+i"/>
    <tableColumn id="4" xr3:uid="{1A482A67-4ED7-4716-A719-89BEB635C84C}" name="Acumulada">
      <calculatedColumnFormula>C2*D1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9B58CDBC-D949-426A-824C-428BD44249E5}" name="Tabela21" displayName="Tabela21" ref="A1:D121" totalsRowShown="0">
  <autoFilter ref="A1:D121" xr:uid="{9B58CDBC-D949-426A-824C-428BD44249E5}"/>
  <tableColumns count="4">
    <tableColumn id="1" xr3:uid="{9DA2848C-8B9E-4D9C-84AA-CB4ED4B23D5E}" name="Mês/ano" dataDxfId="8"/>
    <tableColumn id="2" xr3:uid="{3EC71D3E-5A7C-46A9-A6D3-2C98AA0712DF}" name="Inflacao"/>
    <tableColumn id="3" xr3:uid="{97C54382-4C5F-4C2C-8199-BC9FF9FD4558}" name="1+i"/>
    <tableColumn id="4" xr3:uid="{04DF8FF0-BBCA-460E-9920-4D3517AD9C52}" name="Acumulada">
      <calculatedColumnFormula>C2*D1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25D15D6-F0BA-4B67-A4E5-537AFE16B935}" name="Tabela24" displayName="Tabela24" ref="A1:B122" totalsRowShown="0">
  <autoFilter ref="A1:B122" xr:uid="{725D15D6-F0BA-4B67-A4E5-537AFE16B935}">
    <filterColumn colId="0">
      <filters>
        <dateGroupItem year="2031" month="4" dateTimeGrouping="month"/>
        <dateGroupItem year="2030" month="4" dateTimeGrouping="month"/>
        <dateGroupItem year="2030" month="10" dateTimeGrouping="month"/>
        <dateGroupItem year="2029" month="4" dateTimeGrouping="month"/>
        <dateGroupItem year="2029" month="10" dateTimeGrouping="month"/>
        <dateGroupItem year="2028" month="4" dateTimeGrouping="month"/>
        <dateGroupItem year="2028" month="10" dateTimeGrouping="month"/>
        <dateGroupItem year="2027" month="4" dateTimeGrouping="month"/>
        <dateGroupItem year="2027" month="10" dateTimeGrouping="month"/>
        <dateGroupItem year="2026" month="4" dateTimeGrouping="month"/>
        <dateGroupItem year="2026" month="10" dateTimeGrouping="month"/>
        <dateGroupItem year="2025" month="4" dateTimeGrouping="month"/>
        <dateGroupItem year="2025" month="10" dateTimeGrouping="month"/>
        <dateGroupItem year="2024" month="4" dateTimeGrouping="month"/>
        <dateGroupItem year="2024" month="10" dateTimeGrouping="month"/>
        <dateGroupItem year="2023" month="4" dateTimeGrouping="month"/>
        <dateGroupItem year="2023" month="10" dateTimeGrouping="month"/>
        <dateGroupItem year="2022" month="4" dateTimeGrouping="month"/>
        <dateGroupItem year="2022" month="10" dateTimeGrouping="month"/>
        <dateGroupItem year="2021" month="4" dateTimeGrouping="month"/>
        <dateGroupItem year="2021" month="10" dateTimeGrouping="month"/>
      </filters>
    </filterColumn>
  </autoFilter>
  <tableColumns count="2">
    <tableColumn id="1" xr3:uid="{E49CD7F3-2FBE-4783-AD03-DEB314C3FDF3}" name="mês/ano" dataDxfId="5"/>
    <tableColumn id="2" xr3:uid="{05550E4A-3A36-4936-88CB-9D48908B4F57}" name="taxa DI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0A6D2AF-335E-45F5-BD79-F267EBF86338}" name="Tabela20" displayName="Tabela20" ref="A1:D193" totalsRowShown="0">
  <autoFilter ref="A1:D193" xr:uid="{A0A6D2AF-335E-45F5-BD79-F267EBF86338}">
    <filterColumn colId="0">
      <filters>
        <dateGroupItem year="2036" month="4" dateTimeGrouping="month"/>
        <dateGroupItem year="2036" month="10" dateTimeGrouping="month"/>
        <dateGroupItem year="2035" month="4" dateTimeGrouping="month"/>
        <dateGroupItem year="2035" month="10" dateTimeGrouping="month"/>
        <dateGroupItem year="2034" month="4" dateTimeGrouping="month"/>
        <dateGroupItem year="2034" month="10" dateTimeGrouping="month"/>
        <dateGroupItem year="2033" month="4" dateTimeGrouping="month"/>
        <dateGroupItem year="2033" month="10" dateTimeGrouping="month"/>
        <dateGroupItem year="2032" month="4" dateTimeGrouping="month"/>
        <dateGroupItem year="2032" month="10" dateTimeGrouping="month"/>
        <dateGroupItem year="2031" month="4" dateTimeGrouping="month"/>
        <dateGroupItem year="2031" month="10" dateTimeGrouping="month"/>
        <dateGroupItem year="2030" month="4" dateTimeGrouping="month"/>
        <dateGroupItem year="2030" month="10" dateTimeGrouping="month"/>
        <dateGroupItem year="2029" month="4" dateTimeGrouping="month"/>
        <dateGroupItem year="2029" month="10" dateTimeGrouping="month"/>
        <dateGroupItem year="2028" month="4" dateTimeGrouping="month"/>
        <dateGroupItem year="2028" month="10" dateTimeGrouping="month"/>
        <dateGroupItem year="2027" month="4" dateTimeGrouping="month"/>
        <dateGroupItem year="2027" month="10" dateTimeGrouping="month"/>
        <dateGroupItem year="2026" month="4" dateTimeGrouping="month"/>
        <dateGroupItem year="2026" month="10" dateTimeGrouping="month"/>
        <dateGroupItem year="2025" month="4" dateTimeGrouping="month"/>
        <dateGroupItem year="2025" month="10" dateTimeGrouping="month"/>
        <dateGroupItem year="2024" month="4" dateTimeGrouping="month"/>
        <dateGroupItem year="2024" month="10" dateTimeGrouping="month"/>
        <dateGroupItem year="2023" month="4" dateTimeGrouping="month"/>
        <dateGroupItem year="2023" month="10" dateTimeGrouping="month"/>
        <dateGroupItem year="2022" month="4" dateTimeGrouping="month"/>
        <dateGroupItem year="2022" month="10" dateTimeGrouping="month"/>
        <dateGroupItem year="2021" month="4" dateTimeGrouping="month"/>
        <dateGroupItem year="2021" month="10" dateTimeGrouping="month"/>
      </filters>
    </filterColumn>
  </autoFilter>
  <tableColumns count="4">
    <tableColumn id="1" xr3:uid="{C12C5267-F038-425B-B5CA-8FB1DFA953BB}" name="Mês/ano" dataDxfId="9"/>
    <tableColumn id="2" xr3:uid="{0A6A7BC4-C692-4FA5-B024-FA4540F6837C}" name="Inflacao"/>
    <tableColumn id="3" xr3:uid="{2F14124E-0F7F-4D3D-B42B-9A427BAF2321}" name="1+i"/>
    <tableColumn id="4" xr3:uid="{C718485B-9B83-4931-A29A-C4F89BB6F90D}" name="Acumulada">
      <calculatedColumnFormula>C2*D1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7FD2F98-5640-45AF-9279-0DC002A52252}" name="Tabela19" displayName="Tabela19" ref="A1:D217" totalsRowShown="0">
  <autoFilter ref="A1:D217" xr:uid="{C7FD2F98-5640-45AF-9279-0DC002A52252}"/>
  <tableColumns count="4">
    <tableColumn id="1" xr3:uid="{7D661DDD-A492-417B-8717-B98A36D29FCF}" name="Mês/ano" dataDxfId="10"/>
    <tableColumn id="2" xr3:uid="{09952BD6-D811-4A39-87DB-73564B38C00F}" name="Inflacao"/>
    <tableColumn id="3" xr3:uid="{E277D322-D3D5-4125-9F00-D3E4A5FD28D3}" name="1+i"/>
    <tableColumn id="4" xr3:uid="{E12E1F57-210E-4311-A498-52D50507982C}" name="Acumulada">
      <calculatedColumnFormula>C2*D1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AC702F9-16EF-4CEE-AA0C-93CB5DB67B97}" name="Tabela17" displayName="Tabela17" ref="A1:D122" totalsRowShown="0">
  <autoFilter ref="A1:D122" xr:uid="{CAC702F9-16EF-4CEE-AA0C-93CB5DB67B97}"/>
  <tableColumns count="4">
    <tableColumn id="1" xr3:uid="{8B1156BA-7AF3-470D-9034-4A05F9BB58D3}" name="Mês/ano" dataDxfId="12"/>
    <tableColumn id="2" xr3:uid="{6DADDADB-A8D2-436E-B892-86E140B345FD}" name="Inflacao"/>
    <tableColumn id="3" xr3:uid="{2613B03F-C7E4-4BE4-9659-CA9BAE13A986}" name="1+i"/>
    <tableColumn id="4" xr3:uid="{99681FE3-9B78-465E-B26E-5B6D9CC4ED35}" name="Acumulada">
      <calculatedColumnFormula>C2*D1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882C868-D32D-4DE3-9C0A-4ABE95DBDB42}" name="Tabela18" displayName="Tabela18" ref="A1:D62" totalsRowShown="0">
  <autoFilter ref="A1:D62" xr:uid="{7882C868-D32D-4DE3-9C0A-4ABE95DBDB42}">
    <filterColumn colId="0">
      <filters>
        <dateGroupItem year="2025" month="7" dateTimeGrouping="month"/>
        <dateGroupItem year="2024" month="7" dateTimeGrouping="month"/>
        <dateGroupItem year="2023" month="7" dateTimeGrouping="month"/>
        <dateGroupItem year="2022" month="7" dateTimeGrouping="month"/>
        <dateGroupItem year="2021" month="7" dateTimeGrouping="month"/>
        <dateGroupItem year="2020" month="7" dateTimeGrouping="month"/>
      </filters>
    </filterColumn>
  </autoFilter>
  <tableColumns count="4">
    <tableColumn id="1" xr3:uid="{0AD6F84D-5808-4171-A257-54AFC3D6AED1}" name="Mês/ano" dataDxfId="11"/>
    <tableColumn id="2" xr3:uid="{14D649D0-E3A9-46CE-8537-AD74BF2D45DB}" name="Inflacao"/>
    <tableColumn id="3" xr3:uid="{0F9E51E9-C799-4FDF-8DBA-4040144AC256}" name="1+i">
      <calculatedColumnFormula>1+B2/100</calculatedColumnFormula>
    </tableColumn>
    <tableColumn id="4" xr3:uid="{CE6F0B3C-8BB6-4FAD-9230-5C904887D0F2}" name="Acumulada">
      <calculatedColumnFormula>C2*D1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048F30E-F14F-42D3-BD5C-39D25643946F}" name="Tabela15" displayName="Tabela15" ref="A1:D301" totalsRowShown="0">
  <autoFilter ref="A1:D301" xr:uid="{B048F30E-F14F-42D3-BD5C-39D25643946F}"/>
  <tableColumns count="4">
    <tableColumn id="1" xr3:uid="{C713B5B1-55C7-4D9D-ACD3-7660785119C8}" name="Mês/ano" dataDxfId="14"/>
    <tableColumn id="2" xr3:uid="{917880B2-49E5-46B4-8996-B2CECB1BBE70}" name="Inflacao"/>
    <tableColumn id="3" xr3:uid="{02973C5D-E67A-44C7-8395-D4DD4E6FD428}" name="1+i">
      <calculatedColumnFormula>1+B2/100</calculatedColumnFormula>
    </tableColumn>
    <tableColumn id="4" xr3:uid="{4930E2D6-0621-4977-9FE5-0AF43C67738D}" name="Acumulada">
      <calculatedColumnFormula>C2*D1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678955C-54E2-4BD4-AB51-6C452878DB24}" name="Tabela16" displayName="Tabela16" ref="A1:D123" totalsRowShown="0">
  <autoFilter ref="A1:D123" xr:uid="{3678955C-54E2-4BD4-AB51-6C452878DB24}">
    <filterColumn colId="0">
      <filters>
        <dateGroupItem year="2029" month="10" dateTimeGrouping="month"/>
        <dateGroupItem year="2028" month="10" dateTimeGrouping="month"/>
        <dateGroupItem year="2027" month="10" dateTimeGrouping="month"/>
        <dateGroupItem year="2026" month="10" dateTimeGrouping="month"/>
        <dateGroupItem year="2025" month="10" dateTimeGrouping="month"/>
        <dateGroupItem year="2024" month="10" dateTimeGrouping="month"/>
        <dateGroupItem year="2023" month="10" dateTimeGrouping="month"/>
        <dateGroupItem year="2022" month="10" dateTimeGrouping="month"/>
        <dateGroupItem year="2021" month="10" dateTimeGrouping="month"/>
        <dateGroupItem year="2020" month="10" dateTimeGrouping="month"/>
      </filters>
    </filterColumn>
  </autoFilter>
  <tableColumns count="4">
    <tableColumn id="1" xr3:uid="{C3F3313F-137E-482F-A7DC-740D03EC6C98}" name="Mês/ano" dataDxfId="13"/>
    <tableColumn id="2" xr3:uid="{91AD1A9A-1441-43DD-A04F-04D7E6409E2B}" name="Inflacao"/>
    <tableColumn id="3" xr3:uid="{D5FE1154-1107-432B-8717-9ABE26C78F9B}" name="1+i">
      <calculatedColumnFormula>1+B2/100</calculatedColumnFormula>
    </tableColumn>
    <tableColumn id="4" xr3:uid="{AA6863E8-E65D-4F1B-92C6-CA1C07A2FFF0}" name="Acumulada">
      <calculatedColumnFormula>C2*D1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6CADCB0-9DF5-4E5F-986B-50226A9E92C6}" name="Tabela14" displayName="Tabela14" ref="A1:D154" totalsRowShown="0">
  <autoFilter ref="A1:D154" xr:uid="{46CADCB0-9DF5-4E5F-986B-50226A9E92C6}"/>
  <tableColumns count="4">
    <tableColumn id="1" xr3:uid="{5298F5AB-EC4C-4AD0-8CAA-57FBC0CBEC5D}" name="Mês/ano" dataDxfId="15"/>
    <tableColumn id="2" xr3:uid="{0CF57EFD-1ED8-496C-838D-0765D4F72ADC}" name="Inflacao"/>
    <tableColumn id="3" xr3:uid="{85E25349-C9D5-4EA7-B980-CA1B03113758}" name="1+i">
      <calculatedColumnFormula>1+B2/100</calculatedColumnFormula>
    </tableColumn>
    <tableColumn id="4" xr3:uid="{CD12AAC8-2168-4A26-9C91-1DB2CD0FFD75}" name="Acumulada">
      <calculatedColumnFormula>C2*D1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E244E9D-0C0A-4C38-8BFB-62DF183A05A2}" name="Tabela12" displayName="Tabela12" ref="A1:D301" totalsRowShown="0">
  <autoFilter ref="A1:D301" xr:uid="{CE244E9D-0C0A-4C38-8BFB-62DF183A05A2}"/>
  <tableColumns count="4">
    <tableColumn id="1" xr3:uid="{72D0D8CD-C9F1-4C01-8F8D-B8052FA2D23C}" name="Mês/ano" dataDxfId="17"/>
    <tableColumn id="2" xr3:uid="{CE15B614-13D5-47ED-84A1-7F1E95733A5E}" name="Inflacao"/>
    <tableColumn id="3" xr3:uid="{AB73E0AC-9EFF-48BC-8F98-F85690C17809}" name="1+i">
      <calculatedColumnFormula>1+B2/100</calculatedColumnFormula>
    </tableColumn>
    <tableColumn id="4" xr3:uid="{A094A3BD-C277-42E1-ABD6-B7F0A66D8259}" name="Acumulada">
      <calculatedColumnFormula>C2*D1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87AAF82-3173-4571-8203-264461313077}" name="Tabela11" displayName="Tabela11" ref="A1:D241" totalsRowShown="0">
  <autoFilter ref="A1:D241" xr:uid="{487AAF82-3173-4571-8203-264461313077}">
    <filterColumn colId="0">
      <filters>
        <dateGroupItem year="2039" month="1" dateTimeGrouping="month"/>
        <dateGroupItem year="2039" month="7" dateTimeGrouping="month"/>
        <dateGroupItem year="2038" month="1" dateTimeGrouping="month"/>
        <dateGroupItem year="2038" month="7" dateTimeGrouping="month"/>
        <dateGroupItem year="2037" month="1" dateTimeGrouping="month"/>
        <dateGroupItem year="2037" month="7" dateTimeGrouping="month"/>
        <dateGroupItem year="2036" month="1" dateTimeGrouping="month"/>
        <dateGroupItem year="2036" month="7" dateTimeGrouping="month"/>
        <dateGroupItem year="2035" month="1" dateTimeGrouping="month"/>
        <dateGroupItem year="2035" month="7" dateTimeGrouping="month"/>
        <dateGroupItem year="2034" month="1" dateTimeGrouping="month"/>
        <dateGroupItem year="2034" month="7" dateTimeGrouping="month"/>
        <dateGroupItem year="2033" month="1" dateTimeGrouping="month"/>
        <dateGroupItem year="2033" month="7" dateTimeGrouping="month"/>
        <dateGroupItem year="2032" month="1" dateTimeGrouping="month"/>
        <dateGroupItem year="2032" month="7" dateTimeGrouping="month"/>
        <dateGroupItem year="2031" month="1" dateTimeGrouping="month"/>
        <dateGroupItem year="2031" month="7" dateTimeGrouping="month"/>
        <dateGroupItem year="2030" month="1" dateTimeGrouping="month"/>
        <dateGroupItem year="2030" month="7" dateTimeGrouping="month"/>
        <dateGroupItem year="2029" month="1" dateTimeGrouping="month"/>
        <dateGroupItem year="2029" month="7" dateTimeGrouping="month"/>
        <dateGroupItem year="2028" month="1" dateTimeGrouping="month"/>
        <dateGroupItem year="2028" month="7" dateTimeGrouping="month"/>
        <dateGroupItem year="2027" month="1" dateTimeGrouping="month"/>
        <dateGroupItem year="2027" month="7" dateTimeGrouping="month"/>
        <dateGroupItem year="2026" month="1" dateTimeGrouping="month"/>
        <dateGroupItem year="2026" month="7" dateTimeGrouping="month"/>
        <dateGroupItem year="2025" month="1" dateTimeGrouping="month"/>
        <dateGroupItem year="2025" month="7" dateTimeGrouping="month"/>
        <dateGroupItem year="2024" month="1" dateTimeGrouping="month"/>
        <dateGroupItem year="2024" month="7" dateTimeGrouping="month"/>
        <dateGroupItem year="2023" month="1" dateTimeGrouping="month"/>
        <dateGroupItem year="2023" month="7" dateTimeGrouping="month"/>
        <dateGroupItem year="2022" month="1" dateTimeGrouping="month"/>
        <dateGroupItem year="2022" month="7" dateTimeGrouping="month"/>
        <dateGroupItem year="2021" month="1" dateTimeGrouping="month"/>
        <dateGroupItem year="2021" month="7" dateTimeGrouping="month"/>
        <dateGroupItem year="2020" month="1" dateTimeGrouping="month"/>
        <dateGroupItem year="2020" month="7" dateTimeGrouping="month"/>
      </filters>
    </filterColumn>
  </autoFilter>
  <tableColumns count="4">
    <tableColumn id="1" xr3:uid="{641EAA3F-38AA-4D65-9747-EC2AFA748399}" name="Mês/ano" dataDxfId="18"/>
    <tableColumn id="2" xr3:uid="{FAD0DA7C-6A75-47FF-92BE-57B89676D0D5}" name="Inflacao"/>
    <tableColumn id="3" xr3:uid="{E3DE3DB9-60BD-4B93-8459-DBCF1CA87B77}" name="1+i">
      <calculatedColumnFormula>1+B2/100</calculatedColumnFormula>
    </tableColumn>
    <tableColumn id="4" xr3:uid="{D98BBF94-A81B-4524-8C4E-9E115BB1AD6A}" name="Acumulada">
      <calculatedColumnFormula>C2*D1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3C23333-7919-41E1-AA30-3219C02C41B0}" name="Tabela10" displayName="Tabela10" ref="A1:D122" totalsRowShown="0">
  <autoFilter ref="A1:D122" xr:uid="{A3C23333-7919-41E1-AA30-3219C02C41B0}"/>
  <tableColumns count="4">
    <tableColumn id="1" xr3:uid="{AB18FE9F-DCAE-4389-AD87-9EAB7A181724}" name="Mês/ano" dataDxfId="19"/>
    <tableColumn id="2" xr3:uid="{A71CF7C9-EB0E-4217-9547-85C633631D8F}" name="Inflacao"/>
    <tableColumn id="3" xr3:uid="{6E56CE9D-97C9-4C52-81C1-3F7ABA455E9D}" name="1+i">
      <calculatedColumnFormula>1+B2/100</calculatedColumnFormula>
    </tableColumn>
    <tableColumn id="4" xr3:uid="{D3A8EB7F-96B2-4542-803C-4206CAFFBDD4}" name="Acumulada">
      <calculatedColumnFormula>C2*D1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C78B091-92E1-41B4-A9C9-72C33713C3C3}" name="Tabela9" displayName="Tabela9" ref="A1:D121" totalsRowShown="0">
  <autoFilter ref="A1:D121" xr:uid="{8C78B091-92E1-41B4-A9C9-72C33713C3C3}"/>
  <tableColumns count="4">
    <tableColumn id="1" xr3:uid="{BE694F0E-4B19-4CF3-95F1-AB1913101235}" name="Mês/ano" dataDxfId="20"/>
    <tableColumn id="2" xr3:uid="{F403A596-B5FF-43D5-A93E-CDAB1AB9611C}" name="Inflacao"/>
    <tableColumn id="3" xr3:uid="{F729E9AB-ADB1-4FDD-8638-0DE788723EE7}" name="1+i">
      <calculatedColumnFormula>1+B2/100</calculatedColumnFormula>
    </tableColumn>
    <tableColumn id="4" xr3:uid="{4D951014-6DF0-4204-80FC-DCAD8D7315A8}" name="Acumulada">
      <calculatedColumnFormula>C2*D1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2CD3AD8-112E-40F8-8CDB-B003FD61C5D4}" name="Tabela8" displayName="Tabela8" ref="A1:D85" totalsRowShown="0">
  <autoFilter ref="A1:D85" xr:uid="{B2CD3AD8-112E-40F8-8CDB-B003FD61C5D4}"/>
  <tableColumns count="4">
    <tableColumn id="1" xr3:uid="{AB7C6C75-3A91-4F8A-9416-F76438978A67}" name="Mês/ano" dataDxfId="21"/>
    <tableColumn id="2" xr3:uid="{D6DA4AE5-1225-4E1E-818B-CA360A33AC59}" name="Inflacao"/>
    <tableColumn id="3" xr3:uid="{00F634FA-AE6A-4C0F-A7C1-BE64EBB55C58}" name="1+i">
      <calculatedColumnFormula>1+B2/100</calculatedColumnFormula>
    </tableColumn>
    <tableColumn id="4" xr3:uid="{69EE3B65-1106-452C-8329-965C42016704}" name="Acumulada">
      <calculatedColumnFormula>C2*D1</calculatedColumnFormula>
    </tableColumn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60FDCF7-47CC-4E30-B0E4-2BBD1215AF07}" name="Tabela5" displayName="Tabela5" ref="A1:D121" totalsRowShown="0">
  <autoFilter ref="A1:D121" xr:uid="{560FDCF7-47CC-4E30-B0E4-2BBD1215AF07}"/>
  <tableColumns count="4">
    <tableColumn id="1" xr3:uid="{17C94854-0729-4E5E-AA56-6603E3C7985E}" name="Mes/ano" dataDxfId="24"/>
    <tableColumn id="2" xr3:uid="{8F971136-DF79-4B17-8700-1143BC30DCCA}" name="Inflacao"/>
    <tableColumn id="3" xr3:uid="{383671AE-E706-48AB-86F6-E6A2F1A7C55A}" name="1+i">
      <calculatedColumnFormula>1+B2/100</calculatedColumnFormula>
    </tableColumn>
    <tableColumn id="4" xr3:uid="{227F42C1-0E58-4F39-B11D-FA9AA0236C30}" name="Acumulada">
      <calculatedColumnFormula>C2*D1</calculatedColumnFormula>
    </tableColumn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894E69-5281-4CDA-994D-AA81EC9EC026}" name="Tabela4" displayName="Tabela4" ref="A1:D167" totalsRowShown="0">
  <autoFilter ref="A1:D167" xr:uid="{C4894E69-5281-4CDA-994D-AA81EC9EC026}">
    <filterColumn colId="0">
      <filters>
        <dateGroupItem year="2033" month="4" dateTimeGrouping="month"/>
        <dateGroupItem year="2032" month="4" dateTimeGrouping="month"/>
        <dateGroupItem year="2032" month="10" dateTimeGrouping="month"/>
        <dateGroupItem year="2031" month="4" dateTimeGrouping="month"/>
        <dateGroupItem year="2031" month="10" dateTimeGrouping="month"/>
        <dateGroupItem year="2030" month="4" dateTimeGrouping="month"/>
        <dateGroupItem year="2030" month="10" dateTimeGrouping="month"/>
        <dateGroupItem year="2029" month="4" dateTimeGrouping="month"/>
        <dateGroupItem year="2029" month="10" dateTimeGrouping="month"/>
        <dateGroupItem year="2028" month="4" dateTimeGrouping="month"/>
        <dateGroupItem year="2028" month="10" dateTimeGrouping="month"/>
        <dateGroupItem year="2027" month="4" dateTimeGrouping="month"/>
        <dateGroupItem year="2027" month="10" dateTimeGrouping="month"/>
        <dateGroupItem year="2026" month="4" dateTimeGrouping="month"/>
        <dateGroupItem year="2026" month="10" dateTimeGrouping="month"/>
        <dateGroupItem year="2025" month="4" dateTimeGrouping="month"/>
        <dateGroupItem year="2025" month="10" dateTimeGrouping="month"/>
        <dateGroupItem year="2024" month="4" dateTimeGrouping="month"/>
        <dateGroupItem year="2024" month="10" dateTimeGrouping="month"/>
        <dateGroupItem year="2023" month="4" dateTimeGrouping="month"/>
        <dateGroupItem year="2023" month="10" dateTimeGrouping="month"/>
        <dateGroupItem year="2022" month="4" dateTimeGrouping="month"/>
        <dateGroupItem year="2022" month="10" dateTimeGrouping="month"/>
        <dateGroupItem year="2021" month="4" dateTimeGrouping="month"/>
        <dateGroupItem year="2021" month="10" dateTimeGrouping="month"/>
        <dateGroupItem year="2020" month="4" dateTimeGrouping="month"/>
        <dateGroupItem year="2020" month="10" dateTimeGrouping="month"/>
        <dateGroupItem year="2019" month="10" dateTimeGrouping="month"/>
      </filters>
    </filterColumn>
  </autoFilter>
  <tableColumns count="4">
    <tableColumn id="1" xr3:uid="{30D9EC0B-9CCA-4669-AE81-5DE3B5282594}" name="Mes/ano" dataDxfId="25"/>
    <tableColumn id="2" xr3:uid="{17AA08EC-8107-45B2-ADB3-AD01D0A8EDC2}" name="Inflacao"/>
    <tableColumn id="3" xr3:uid="{635FBDD9-B007-48C6-8B73-F96A49C77B23}" name="1+i">
      <calculatedColumnFormula>1+B2/100</calculatedColumnFormula>
    </tableColumn>
    <tableColumn id="4" xr3:uid="{B0B96600-FE5C-4DF5-936A-0F3F1E80C6B8}" name="Acumulada">
      <calculatedColumnFormula>C2*D1</calculatedColumnFormula>
    </tableColumn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514491-2DDA-465C-9E23-ED2549739B24}" name="Tabela3" displayName="Tabela3" ref="A1:D195" totalsRowShown="0">
  <autoFilter ref="A1:D195" xr:uid="{E8514491-2DDA-465C-9E23-ED2549739B24}">
    <filterColumn colId="0">
      <filters>
        <dateGroupItem year="2035" month="6" dateTimeGrouping="month"/>
        <dateGroupItem year="2034" month="6" dateTimeGrouping="month"/>
        <dateGroupItem year="2033" month="6" dateTimeGrouping="month"/>
        <dateGroupItem year="2032" month="6" dateTimeGrouping="month"/>
        <dateGroupItem year="2031" month="6" dateTimeGrouping="month"/>
        <dateGroupItem year="2030" month="6" dateTimeGrouping="month"/>
        <dateGroupItem year="2029" month="6" dateTimeGrouping="month"/>
        <dateGroupItem year="2028" month="6" dateTimeGrouping="month"/>
        <dateGroupItem year="2027" month="6" dateTimeGrouping="month"/>
        <dateGroupItem year="2026" month="6" dateTimeGrouping="month"/>
        <dateGroupItem year="2025" month="6" dateTimeGrouping="month"/>
        <dateGroupItem year="2024" month="6" dateTimeGrouping="month"/>
        <dateGroupItem year="2023" month="6" dateTimeGrouping="month"/>
        <dateGroupItem year="2022" month="6" dateTimeGrouping="month"/>
        <dateGroupItem year="2021" month="6" dateTimeGrouping="month"/>
        <dateGroupItem year="2020" month="6" dateTimeGrouping="month"/>
        <dateGroupItem year="2019" month="6" dateTimeGrouping="month"/>
      </filters>
    </filterColumn>
  </autoFilter>
  <tableColumns count="4">
    <tableColumn id="1" xr3:uid="{E77490B7-4D75-401A-AB26-9EB3B4F41350}" name="Mes/ano" dataDxfId="26"/>
    <tableColumn id="2" xr3:uid="{5A473E45-17DD-4258-9BCB-01F0FDE656A0}" name="Inflacao"/>
    <tableColumn id="3" xr3:uid="{759B2536-2A65-4350-A5A6-4FADFFE90F4B}" name="1+i">
      <calculatedColumnFormula>1+B2/100</calculatedColumnFormula>
    </tableColumn>
    <tableColumn id="4" xr3:uid="{CF285280-7E9D-42B8-B036-627D8D3D030E}" name="Acumulada">
      <calculatedColumnFormula>C2*D1</calculatedColumnFormula>
    </tableColumn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B1D8DD-49C2-470C-8652-B2DE8B7E383F}" name="Tabela2" displayName="Tabela2" ref="A1:D241" totalsRowShown="0">
  <autoFilter ref="A1:D241" xr:uid="{C6B1D8DD-49C2-470C-8652-B2DE8B7E383F}">
    <filterColumn colId="0">
      <filters>
        <dateGroupItem year="2039" month="4" dateTimeGrouping="month"/>
        <dateGroupItem year="2038" month="4" dateTimeGrouping="month"/>
        <dateGroupItem year="2038" month="10" dateTimeGrouping="month"/>
        <dateGroupItem year="2037" month="4" dateTimeGrouping="month"/>
        <dateGroupItem year="2037" month="10" dateTimeGrouping="month"/>
        <dateGroupItem year="2036" month="4" dateTimeGrouping="month"/>
        <dateGroupItem year="2036" month="10" dateTimeGrouping="month"/>
        <dateGroupItem year="2035" month="4" dateTimeGrouping="month"/>
        <dateGroupItem year="2035" month="10" dateTimeGrouping="month"/>
        <dateGroupItem year="2034" month="4" dateTimeGrouping="month"/>
        <dateGroupItem year="2034" month="10" dateTimeGrouping="month"/>
        <dateGroupItem year="2033" month="4" dateTimeGrouping="month"/>
        <dateGroupItem year="2033" month="10" dateTimeGrouping="month"/>
        <dateGroupItem year="2032" month="4" dateTimeGrouping="month"/>
        <dateGroupItem year="2032" month="10" dateTimeGrouping="month"/>
        <dateGroupItem year="2031" month="4" dateTimeGrouping="month"/>
        <dateGroupItem year="2031" month="10" dateTimeGrouping="month"/>
        <dateGroupItem year="2030" month="4" dateTimeGrouping="month"/>
        <dateGroupItem year="2030" month="10" dateTimeGrouping="month"/>
        <dateGroupItem year="2029" month="4" dateTimeGrouping="month"/>
        <dateGroupItem year="2029" month="10" dateTimeGrouping="month"/>
        <dateGroupItem year="2028" month="4" dateTimeGrouping="month"/>
        <dateGroupItem year="2028" month="10" dateTimeGrouping="month"/>
        <dateGroupItem year="2027" month="4" dateTimeGrouping="month"/>
        <dateGroupItem year="2027" month="10" dateTimeGrouping="month"/>
        <dateGroupItem year="2026" month="4" dateTimeGrouping="month"/>
        <dateGroupItem year="2026" month="10" dateTimeGrouping="month"/>
        <dateGroupItem year="2025" month="4" dateTimeGrouping="month"/>
        <dateGroupItem year="2025" month="10" dateTimeGrouping="month"/>
        <dateGroupItem year="2024" month="4" dateTimeGrouping="month"/>
        <dateGroupItem year="2024" month="10" dateTimeGrouping="month"/>
        <dateGroupItem year="2023" month="4" dateTimeGrouping="month"/>
        <dateGroupItem year="2023" month="10" dateTimeGrouping="month"/>
        <dateGroupItem year="2022" month="4" dateTimeGrouping="month"/>
        <dateGroupItem year="2022" month="10" dateTimeGrouping="month"/>
        <dateGroupItem year="2021" month="4" dateTimeGrouping="month"/>
        <dateGroupItem year="2021" month="10" dateTimeGrouping="month"/>
        <dateGroupItem year="2020" month="4" dateTimeGrouping="month"/>
        <dateGroupItem year="2020" month="10" dateTimeGrouping="month"/>
        <dateGroupItem year="2019" month="10" dateTimeGrouping="month"/>
      </filters>
    </filterColumn>
  </autoFilter>
  <tableColumns count="4">
    <tableColumn id="1" xr3:uid="{10D49004-4D97-490C-BC0A-BE41E22BE929}" name="Mês/ano" dataDxfId="27"/>
    <tableColumn id="2" xr3:uid="{99E5E484-4810-4CCB-AFD3-E4AB912B8334}" name="Inflacao"/>
    <tableColumn id="3" xr3:uid="{F656D515-9999-473F-8353-347A5894275F}" name="i+1">
      <calculatedColumnFormula>1+B2/100</calculatedColumnFormula>
    </tableColumn>
    <tableColumn id="4" xr3:uid="{836CD287-DC99-4C17-A3D1-95DACE5D9402}" name="Acumulada">
      <calculatedColumnFormula>C2*D1</calculatedColumnFormula>
    </tableColumn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27FB04-A054-4042-8339-90ACAE49591D}" name="Tabela1" displayName="Tabela1" ref="A1:D302" totalsRowShown="0">
  <autoFilter ref="A1:D302" xr:uid="{6727FB04-A054-4042-8339-90ACAE49591D}">
    <filterColumn colId="0">
      <filters>
        <dateGroupItem year="2044" month="5" dateTimeGrouping="month"/>
        <dateGroupItem year="2043" month="5" dateTimeGrouping="month"/>
        <dateGroupItem year="2043" month="11" dateTimeGrouping="month"/>
        <dateGroupItem year="2042" month="5" dateTimeGrouping="month"/>
        <dateGroupItem year="2042" month="11" dateTimeGrouping="month"/>
        <dateGroupItem year="2041" month="5" dateTimeGrouping="month"/>
        <dateGroupItem year="2041" month="11" dateTimeGrouping="month"/>
        <dateGroupItem year="2040" month="5" dateTimeGrouping="month"/>
        <dateGroupItem year="2040" month="11" dateTimeGrouping="month"/>
        <dateGroupItem year="2039" month="5" dateTimeGrouping="month"/>
        <dateGroupItem year="2039" month="11" dateTimeGrouping="month"/>
        <dateGroupItem year="2038" month="5" dateTimeGrouping="month"/>
        <dateGroupItem year="2038" month="11" dateTimeGrouping="month"/>
        <dateGroupItem year="2037" month="5" dateTimeGrouping="month"/>
        <dateGroupItem year="2037" month="11" dateTimeGrouping="month"/>
        <dateGroupItem year="2036" month="5" dateTimeGrouping="month"/>
        <dateGroupItem year="2036" month="11" dateTimeGrouping="month"/>
        <dateGroupItem year="2035" month="5" dateTimeGrouping="month"/>
        <dateGroupItem year="2035" month="11" dateTimeGrouping="month"/>
        <dateGroupItem year="2034" month="5" dateTimeGrouping="month"/>
        <dateGroupItem year="2034" month="11" dateTimeGrouping="month"/>
        <dateGroupItem year="2033" month="5" dateTimeGrouping="month"/>
        <dateGroupItem year="2033" month="11" dateTimeGrouping="month"/>
        <dateGroupItem year="2032" month="5" dateTimeGrouping="month"/>
        <dateGroupItem year="2032" month="11" dateTimeGrouping="month"/>
        <dateGroupItem year="2031" month="5" dateTimeGrouping="month"/>
        <dateGroupItem year="2031" month="11" dateTimeGrouping="month"/>
        <dateGroupItem year="2030" month="5" dateTimeGrouping="month"/>
        <dateGroupItem year="2030" month="11" dateTimeGrouping="month"/>
        <dateGroupItem year="2029" month="5" dateTimeGrouping="month"/>
        <dateGroupItem year="2029" month="11" dateTimeGrouping="month"/>
        <dateGroupItem year="2028" month="5" dateTimeGrouping="month"/>
        <dateGroupItem year="2028" month="11" dateTimeGrouping="month"/>
        <dateGroupItem year="2027" month="5" dateTimeGrouping="month"/>
        <dateGroupItem year="2027" month="11" dateTimeGrouping="month"/>
        <dateGroupItem year="2026" month="5" dateTimeGrouping="month"/>
        <dateGroupItem year="2026" month="11" dateTimeGrouping="month"/>
        <dateGroupItem year="2025" month="5" dateTimeGrouping="month"/>
        <dateGroupItem year="2025" month="11" dateTimeGrouping="month"/>
        <dateGroupItem year="2024" month="5" dateTimeGrouping="month"/>
        <dateGroupItem year="2024" month="11" dateTimeGrouping="month"/>
        <dateGroupItem year="2023" month="5" dateTimeGrouping="month"/>
        <dateGroupItem year="2023" month="11" dateTimeGrouping="month"/>
        <dateGroupItem year="2022" month="5" dateTimeGrouping="month"/>
        <dateGroupItem year="2022" month="11" dateTimeGrouping="month"/>
        <dateGroupItem year="2021" month="5" dateTimeGrouping="month"/>
        <dateGroupItem year="2021" month="11" dateTimeGrouping="month"/>
        <dateGroupItem year="2020" month="5" dateTimeGrouping="month"/>
        <dateGroupItem year="2020" month="11" dateTimeGrouping="month"/>
        <dateGroupItem year="2019" month="5" dateTimeGrouping="month"/>
        <dateGroupItem year="2019" month="11" dateTimeGrouping="month"/>
      </filters>
    </filterColumn>
  </autoFilter>
  <tableColumns count="4">
    <tableColumn id="1" xr3:uid="{2A8C68B5-EE8B-433D-8217-A737C8405D6C}" name="Mês/ano" dataDxfId="28"/>
    <tableColumn id="2" xr3:uid="{D3AC24D0-E832-4CA7-BDB5-AF8CDA429407}" name="Inflacao"/>
    <tableColumn id="3" xr3:uid="{11FE3225-B655-4DF9-AA6E-193556471B0A}" name="1+i">
      <calculatedColumnFormula>1+B2/100</calculatedColumnFormula>
    </tableColumn>
    <tableColumn id="4" xr3:uid="{8A016754-0804-4B0D-868A-C1F30FBCC0CF}" name="Acumulada">
      <calculatedColumnFormula>C2*D1</calculatedColumnFormula>
    </tableColumn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028863D-BCF5-417C-88EB-B7FD3832B291}" name="Tabela13" displayName="Tabela13" ref="A1:D121" totalsRowShown="0">
  <autoFilter ref="A1:D121" xr:uid="{F028863D-BCF5-417C-88EB-B7FD3832B291}">
    <filterColumn colId="0">
      <filters>
        <dateGroupItem year="2029" month="3" dateTimeGrouping="month"/>
        <dateGroupItem year="2028" month="3" dateTimeGrouping="month"/>
        <dateGroupItem year="2028" month="9" dateTimeGrouping="month"/>
        <dateGroupItem year="2027" month="3" dateTimeGrouping="month"/>
        <dateGroupItem year="2027" month="9" dateTimeGrouping="month"/>
        <dateGroupItem year="2026" month="3" dateTimeGrouping="month"/>
        <dateGroupItem year="2026" month="9" dateTimeGrouping="month"/>
        <dateGroupItem year="2025" month="3" dateTimeGrouping="month"/>
        <dateGroupItem year="2025" month="9" dateTimeGrouping="month"/>
        <dateGroupItem year="2024" month="3" dateTimeGrouping="month"/>
        <dateGroupItem year="2024" month="9" dateTimeGrouping="month"/>
        <dateGroupItem year="2023" month="3" dateTimeGrouping="month"/>
        <dateGroupItem year="2023" month="9" dateTimeGrouping="month"/>
        <dateGroupItem year="2022" month="3" dateTimeGrouping="month"/>
        <dateGroupItem year="2022" month="9" dateTimeGrouping="month"/>
        <dateGroupItem year="2021" month="3" dateTimeGrouping="month"/>
        <dateGroupItem year="2021" month="9" dateTimeGrouping="month"/>
        <dateGroupItem year="2020" month="3" dateTimeGrouping="month"/>
        <dateGroupItem year="2020" month="9" dateTimeGrouping="month"/>
        <dateGroupItem year="2019" month="9" dateTimeGrouping="month"/>
      </filters>
    </filterColumn>
  </autoFilter>
  <tableColumns count="4">
    <tableColumn id="1" xr3:uid="{A9156AA3-3350-4EFC-8858-044A2BE4237D}" name="Mês/ano" dataDxfId="16"/>
    <tableColumn id="2" xr3:uid="{9AAB7965-F66E-4DCA-939B-D92A9C8AFA8F}" name="Inflacao"/>
    <tableColumn id="3" xr3:uid="{C6F8B635-B548-4F0A-AD78-CF2F28C39C64}" name="1+i">
      <calculatedColumnFormula>1+B2/100</calculatedColumnFormula>
    </tableColumn>
    <tableColumn id="4" xr3:uid="{CC1C2D7C-6125-42CF-983B-948FEBCB476D}" name="Acumulada">
      <calculatedColumnFormula>C2*D1</calculatedColumnFormula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45BCA50-F8B0-4D10-BE0B-AE4FD0127034}" name="Tabela7" displayName="Tabela7" ref="A1:E62" totalsRowShown="0">
  <autoFilter ref="A1:E62" xr:uid="{545BCA50-F8B0-4D10-BE0B-AE4FD0127034}"/>
  <tableColumns count="5">
    <tableColumn id="1" xr3:uid="{E9C54470-F5EB-49A9-AFBD-DBB46FA3CD16}" name="Mês/ano" dataDxfId="22"/>
    <tableColumn id="2" xr3:uid="{A4502E1A-ECD0-4B8F-9F73-46BB2C2478C9}" name="Taxa DI anual"/>
    <tableColumn id="3" xr3:uid="{2D0854F6-651A-46F4-AE09-3068628997D0}" name="Taxa DI mensal">
      <calculatedColumnFormula>((1+B2)^(21/252))-1</calculatedColumnFormula>
    </tableColumn>
    <tableColumn id="4" xr3:uid="{B915DB57-84B1-4986-B371-54C912F8EFB5}" name="Spread"/>
    <tableColumn id="5" xr3:uid="{8BFCFFD3-681A-4A2C-9D5A-5ECB0D648D5A}" name="Taxa cupom">
      <calculatedColumnFormula>C2*D2</calculatedColumnFormula>
    </tableColumn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BD0A514-6465-4E64-8C89-12C7913FB527}" name="Tabela6" displayName="Tabela6" ref="A1:F97" totalsRowShown="0">
  <autoFilter ref="A1:F97" xr:uid="{2BD0A514-6465-4E64-8C89-12C7913FB527}">
    <filterColumn colId="0">
      <filters>
        <dateGroupItem year="2027" month="3" dateTimeGrouping="month"/>
        <dateGroupItem year="2026" month="3" dateTimeGrouping="month"/>
        <dateGroupItem year="2026" month="9" dateTimeGrouping="month"/>
        <dateGroupItem year="2025" month="3" dateTimeGrouping="month"/>
        <dateGroupItem year="2025" month="9" dateTimeGrouping="month"/>
        <dateGroupItem year="2024" month="3" dateTimeGrouping="month"/>
        <dateGroupItem year="2024" month="9" dateTimeGrouping="month"/>
        <dateGroupItem year="2023" month="3" dateTimeGrouping="month"/>
        <dateGroupItem year="2023" month="9" dateTimeGrouping="month"/>
        <dateGroupItem year="2022" month="3" dateTimeGrouping="month"/>
        <dateGroupItem year="2022" month="9" dateTimeGrouping="month"/>
        <dateGroupItem year="2021" month="3" dateTimeGrouping="month"/>
        <dateGroupItem year="2021" month="9" dateTimeGrouping="month"/>
        <dateGroupItem year="2020" month="3" dateTimeGrouping="month"/>
        <dateGroupItem year="2020" month="9" dateTimeGrouping="month"/>
        <dateGroupItem year="2019" month="9" dateTimeGrouping="month"/>
      </filters>
    </filterColumn>
  </autoFilter>
  <tableColumns count="6">
    <tableColumn id="1" xr3:uid="{54493A48-13CA-4B8A-B3F0-82845D509C76}" name="Mês/ano" dataDxfId="23"/>
    <tableColumn id="2" xr3:uid="{D550ED55-BD91-4B65-B2A4-D4C46C640BF2}" name="Taxa DI anual"/>
    <tableColumn id="3" xr3:uid="{6E6B1705-164D-494E-8BF2-2D21FE1BC7F0}" name="Taxa DI dia">
      <calculatedColumnFormula>((1+B2)^(1/252))-1</calculatedColumnFormula>
    </tableColumn>
    <tableColumn id="4" xr3:uid="{FA9C6D20-40DC-4B15-A16F-59AA9E75C565}" name="Spread"/>
    <tableColumn id="5" xr3:uid="{430E23F3-9F01-49AB-B28E-5FD4C65950EE}" name="Taxa cupom">
      <calculatedColumnFormula>C2+D2</calculatedColumnFormula>
    </tableColumn>
    <tableColumn id="6" xr3:uid="{523A3E18-15E4-498E-88C8-1E48D002D425}" name="Cupom">
      <calculatedColumnFormula>$B$99*E2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259A3-C442-471E-930A-5B360BDA281B}">
  <sheetPr codeName="Planilha1"/>
  <dimension ref="A1:H30"/>
  <sheetViews>
    <sheetView topLeftCell="A13" workbookViewId="0">
      <selection activeCell="B28" sqref="B28"/>
    </sheetView>
  </sheetViews>
  <sheetFormatPr defaultRowHeight="15"/>
  <sheetData>
    <row r="1" spans="1:8">
      <c r="A1" t="s">
        <v>7</v>
      </c>
      <c r="B1" t="s">
        <v>1</v>
      </c>
      <c r="C1" t="s">
        <v>8</v>
      </c>
      <c r="D1" t="s">
        <v>9</v>
      </c>
      <c r="E1" t="s">
        <v>11</v>
      </c>
      <c r="F1" t="s">
        <v>12</v>
      </c>
      <c r="G1" t="s">
        <v>13</v>
      </c>
      <c r="H1" t="s">
        <v>14</v>
      </c>
    </row>
    <row r="2" spans="1:8">
      <c r="A2">
        <v>1</v>
      </c>
      <c r="B2">
        <v>3.4937679999999999E-2</v>
      </c>
      <c r="C2">
        <v>1.0492999999999999</v>
      </c>
      <c r="D2">
        <f>$B$26*C2</f>
        <v>1049.3</v>
      </c>
      <c r="E2">
        <f>D2*B2</f>
        <v>36.660107623999998</v>
      </c>
      <c r="F2">
        <f>A2*E2</f>
        <v>36.660107623999998</v>
      </c>
      <c r="G2">
        <f>(1+$B$27)^(-A2)</f>
        <v>0.93700907751906082</v>
      </c>
      <c r="H2">
        <f>F2*G2</f>
        <v>34.350853626513725</v>
      </c>
    </row>
    <row r="3" spans="1:8">
      <c r="A3">
        <v>2</v>
      </c>
      <c r="B3">
        <v>3.4937679999999999E-2</v>
      </c>
      <c r="C3">
        <v>1.0727</v>
      </c>
      <c r="D3">
        <f t="shared" ref="D3:D24" si="0">$B$26*C3</f>
        <v>1072.7</v>
      </c>
      <c r="E3">
        <f t="shared" ref="E3:E24" si="1">D3*B3</f>
        <v>37.477649335999999</v>
      </c>
      <c r="F3">
        <f t="shared" ref="F3:F24" si="2">A3*E3</f>
        <v>74.955298671999998</v>
      </c>
      <c r="G3">
        <f t="shared" ref="G3:G24" si="3">(1+$B$27)^(-A3)</f>
        <v>0.87798601135312127</v>
      </c>
      <c r="H3">
        <f t="shared" ref="H3:H24" si="4">F3*G3</f>
        <v>65.809703710811192</v>
      </c>
    </row>
    <row r="4" spans="1:8">
      <c r="A4">
        <v>3</v>
      </c>
      <c r="B4">
        <v>3.4937679999999999E-2</v>
      </c>
      <c r="C4">
        <v>1.0945</v>
      </c>
      <c r="D4">
        <f t="shared" si="0"/>
        <v>1094.5</v>
      </c>
      <c r="E4">
        <f t="shared" si="1"/>
        <v>38.239290759999996</v>
      </c>
      <c r="F4">
        <f t="shared" si="2"/>
        <v>114.71787227999999</v>
      </c>
      <c r="G4">
        <f t="shared" si="3"/>
        <v>0.82268086257262774</v>
      </c>
      <c r="H4">
        <f t="shared" si="4"/>
        <v>94.376198119806929</v>
      </c>
    </row>
    <row r="5" spans="1:8">
      <c r="A5">
        <v>4</v>
      </c>
      <c r="B5">
        <v>3.4937679999999999E-2</v>
      </c>
      <c r="C5">
        <v>1.0955999999999999</v>
      </c>
      <c r="D5">
        <f t="shared" si="0"/>
        <v>1095.5999999999999</v>
      </c>
      <c r="E5">
        <f t="shared" si="1"/>
        <v>38.277722207999993</v>
      </c>
      <c r="F5">
        <f t="shared" si="2"/>
        <v>153.11088883199997</v>
      </c>
      <c r="G5">
        <f t="shared" si="3"/>
        <v>0.77085943613176311</v>
      </c>
      <c r="H5">
        <f t="shared" si="4"/>
        <v>118.02697343066856</v>
      </c>
    </row>
    <row r="6" spans="1:8">
      <c r="A6">
        <v>5</v>
      </c>
      <c r="B6">
        <v>3.4937679999999999E-2</v>
      </c>
      <c r="C6">
        <v>1.1439999999999999</v>
      </c>
      <c r="D6">
        <f t="shared" si="0"/>
        <v>1144</v>
      </c>
      <c r="E6">
        <f t="shared" si="1"/>
        <v>39.968705919999998</v>
      </c>
      <c r="F6">
        <f t="shared" si="2"/>
        <v>199.84352959999998</v>
      </c>
      <c r="G6">
        <f t="shared" si="3"/>
        <v>0.72230228914668682</v>
      </c>
      <c r="H6">
        <f t="shared" si="4"/>
        <v>144.34743890123366</v>
      </c>
    </row>
    <row r="7" spans="1:8">
      <c r="A7">
        <v>6</v>
      </c>
      <c r="B7">
        <v>3.4937679999999999E-2</v>
      </c>
      <c r="C7">
        <v>1.1870000000000001</v>
      </c>
      <c r="D7">
        <f t="shared" si="0"/>
        <v>1187</v>
      </c>
      <c r="E7">
        <f t="shared" si="1"/>
        <v>41.471026160000001</v>
      </c>
      <c r="F7">
        <f t="shared" si="2"/>
        <v>248.82615695999999</v>
      </c>
      <c r="G7">
        <f t="shared" si="3"/>
        <v>0.67680380164324283</v>
      </c>
      <c r="H7">
        <f t="shared" si="4"/>
        <v>168.40648897880624</v>
      </c>
    </row>
    <row r="8" spans="1:8">
      <c r="A8">
        <v>7</v>
      </c>
      <c r="B8">
        <v>3.4937679999999999E-2</v>
      </c>
      <c r="C8">
        <v>1.2591000000000001</v>
      </c>
      <c r="D8">
        <f t="shared" si="0"/>
        <v>1259.1000000000001</v>
      </c>
      <c r="E8">
        <f t="shared" si="1"/>
        <v>43.990032888000002</v>
      </c>
      <c r="F8">
        <f t="shared" si="2"/>
        <v>307.93023021600004</v>
      </c>
      <c r="G8">
        <f t="shared" si="3"/>
        <v>0.6341713058391284</v>
      </c>
      <c r="H8">
        <f t="shared" si="4"/>
        <v>195.28051620342418</v>
      </c>
    </row>
    <row r="9" spans="1:8">
      <c r="A9">
        <v>8</v>
      </c>
      <c r="B9">
        <v>3.4937679999999999E-2</v>
      </c>
      <c r="C9">
        <v>1.3281000000000001</v>
      </c>
      <c r="D9">
        <f t="shared" si="0"/>
        <v>1328.1000000000001</v>
      </c>
      <c r="E9">
        <f t="shared" si="1"/>
        <v>46.400732808000001</v>
      </c>
      <c r="F9">
        <f t="shared" si="2"/>
        <v>371.20586246400001</v>
      </c>
      <c r="G9">
        <f t="shared" si="3"/>
        <v>0.59422427027337987</v>
      </c>
      <c r="H9">
        <f t="shared" si="4"/>
        <v>220.57953274387103</v>
      </c>
    </row>
    <row r="10" spans="1:8">
      <c r="A10">
        <v>9</v>
      </c>
      <c r="B10">
        <v>3.4937679999999999E-2</v>
      </c>
      <c r="C10">
        <v>1.3532</v>
      </c>
      <c r="D10">
        <f t="shared" si="0"/>
        <v>1353.2</v>
      </c>
      <c r="E10">
        <f t="shared" si="1"/>
        <v>47.277668575999996</v>
      </c>
      <c r="F10">
        <f t="shared" si="2"/>
        <v>425.49901718399997</v>
      </c>
      <c r="G10">
        <f t="shared" si="3"/>
        <v>0.55679353532829667</v>
      </c>
      <c r="H10">
        <f t="shared" si="4"/>
        <v>236.915102056595</v>
      </c>
    </row>
    <row r="11" spans="1:8">
      <c r="A11">
        <v>10</v>
      </c>
      <c r="B11">
        <v>3.4937679999999999E-2</v>
      </c>
      <c r="C11">
        <v>1.414439</v>
      </c>
      <c r="D11">
        <f t="shared" si="0"/>
        <v>1414.4390000000001</v>
      </c>
      <c r="E11">
        <f t="shared" si="1"/>
        <v>49.41721716152</v>
      </c>
      <c r="F11">
        <f t="shared" si="2"/>
        <v>494.1721716152</v>
      </c>
      <c r="G11">
        <f t="shared" si="3"/>
        <v>0.52172059690654382</v>
      </c>
      <c r="H11">
        <f t="shared" si="4"/>
        <v>257.81980034968518</v>
      </c>
    </row>
    <row r="12" spans="1:8">
      <c r="A12">
        <v>11</v>
      </c>
      <c r="B12">
        <v>3.4937679999999999E-2</v>
      </c>
      <c r="C12">
        <v>1.4543536280096023</v>
      </c>
      <c r="D12">
        <f t="shared" si="0"/>
        <v>1454.3536280096023</v>
      </c>
      <c r="E12">
        <f t="shared" si="1"/>
        <v>50.811741662238518</v>
      </c>
      <c r="F12">
        <f t="shared" si="2"/>
        <v>558.92915828462367</v>
      </c>
      <c r="G12">
        <f t="shared" si="3"/>
        <v>0.48885693523009444</v>
      </c>
      <c r="H12">
        <f t="shared" si="4"/>
        <v>273.2363953297575</v>
      </c>
    </row>
    <row r="13" spans="1:8">
      <c r="A13">
        <v>12</v>
      </c>
      <c r="B13">
        <v>3.4937679999999999E-2</v>
      </c>
      <c r="C13">
        <v>1.5027140573994002</v>
      </c>
      <c r="D13">
        <f t="shared" si="0"/>
        <v>1502.7140573994002</v>
      </c>
      <c r="E13">
        <f t="shared" si="1"/>
        <v>52.501342868921874</v>
      </c>
      <c r="F13">
        <f t="shared" si="2"/>
        <v>630.01611442706246</v>
      </c>
      <c r="G13">
        <f t="shared" si="3"/>
        <v>0.45806338591874601</v>
      </c>
      <c r="H13">
        <f t="shared" si="4"/>
        <v>288.58731455783237</v>
      </c>
    </row>
    <row r="14" spans="1:8">
      <c r="A14">
        <v>13</v>
      </c>
      <c r="B14">
        <v>3.4937679999999999E-2</v>
      </c>
      <c r="C14">
        <v>1.5429091628999325</v>
      </c>
      <c r="D14">
        <f t="shared" si="0"/>
        <v>1542.9091628999324</v>
      </c>
      <c r="E14">
        <f t="shared" si="1"/>
        <v>53.905666602465708</v>
      </c>
      <c r="F14">
        <f t="shared" si="2"/>
        <v>700.77366583205423</v>
      </c>
      <c r="G14">
        <f t="shared" si="3"/>
        <v>0.42920955068498173</v>
      </c>
      <c r="H14">
        <f t="shared" si="4"/>
        <v>300.77875024364351</v>
      </c>
    </row>
    <row r="15" spans="1:8">
      <c r="A15">
        <v>14</v>
      </c>
      <c r="B15">
        <v>3.4937679999999999E-2</v>
      </c>
      <c r="C15">
        <v>1.5926525707515446</v>
      </c>
      <c r="D15">
        <f t="shared" si="0"/>
        <v>1592.6525707515445</v>
      </c>
      <c r="E15">
        <f t="shared" si="1"/>
        <v>55.643585868094824</v>
      </c>
      <c r="F15">
        <f t="shared" si="2"/>
        <v>779.01020215332755</v>
      </c>
      <c r="G15">
        <f t="shared" si="3"/>
        <v>0.40217324514970526</v>
      </c>
      <c r="H15">
        <f t="shared" si="4"/>
        <v>313.29706100473163</v>
      </c>
    </row>
    <row r="16" spans="1:8">
      <c r="A16">
        <v>15</v>
      </c>
      <c r="B16">
        <v>3.4937679999999999E-2</v>
      </c>
      <c r="C16">
        <v>1.6348929880573546</v>
      </c>
      <c r="D16">
        <f t="shared" si="0"/>
        <v>1634.8929880573546</v>
      </c>
      <c r="E16">
        <f t="shared" si="1"/>
        <v>57.119368050991675</v>
      </c>
      <c r="F16">
        <f t="shared" si="2"/>
        <v>856.79052076487517</v>
      </c>
      <c r="G16">
        <f t="shared" si="3"/>
        <v>0.37683998144057246</v>
      </c>
      <c r="H16">
        <f t="shared" si="4"/>
        <v>322.87292394349396</v>
      </c>
    </row>
    <row r="17" spans="1:8">
      <c r="A17">
        <v>16</v>
      </c>
      <c r="B17">
        <v>3.4937679999999999E-2</v>
      </c>
      <c r="C17">
        <v>1.6875468492131798</v>
      </c>
      <c r="D17">
        <f t="shared" si="0"/>
        <v>1687.5468492131797</v>
      </c>
      <c r="E17">
        <f t="shared" si="1"/>
        <v>58.958971802818326</v>
      </c>
      <c r="F17">
        <f t="shared" si="2"/>
        <v>943.34354884509321</v>
      </c>
      <c r="G17">
        <f t="shared" si="3"/>
        <v>0.35310248338193073</v>
      </c>
      <c r="H17">
        <f t="shared" si="4"/>
        <v>333.09694977952608</v>
      </c>
    </row>
    <row r="18" spans="1:8">
      <c r="A18">
        <v>17</v>
      </c>
      <c r="B18">
        <v>3.4937679999999999E-2</v>
      </c>
      <c r="C18">
        <v>1.7324848530758732</v>
      </c>
      <c r="D18">
        <f t="shared" si="0"/>
        <v>1732.4848530758732</v>
      </c>
      <c r="E18">
        <f t="shared" si="1"/>
        <v>60.529001401611872</v>
      </c>
      <c r="F18">
        <f t="shared" si="2"/>
        <v>1028.9930238274019</v>
      </c>
      <c r="G18">
        <f t="shared" si="3"/>
        <v>0.33086023222339239</v>
      </c>
      <c r="H18">
        <f t="shared" si="4"/>
        <v>340.45287081978495</v>
      </c>
    </row>
    <row r="19" spans="1:8">
      <c r="A19">
        <v>18</v>
      </c>
      <c r="B19">
        <v>3.4937679999999999E-2</v>
      </c>
      <c r="C19">
        <v>1.7886020095719037</v>
      </c>
      <c r="D19">
        <f t="shared" si="0"/>
        <v>1788.6020095719036</v>
      </c>
      <c r="E19">
        <f t="shared" si="1"/>
        <v>62.489604657780106</v>
      </c>
      <c r="F19">
        <f t="shared" si="2"/>
        <v>1124.8128838400419</v>
      </c>
      <c r="G19">
        <f t="shared" si="3"/>
        <v>0.31001904098338318</v>
      </c>
      <c r="H19">
        <f t="shared" si="4"/>
        <v>348.71341153384338</v>
      </c>
    </row>
    <row r="20" spans="1:8">
      <c r="A20">
        <v>19</v>
      </c>
      <c r="B20">
        <v>3.4937679999999999E-2</v>
      </c>
      <c r="C20">
        <v>1.8365200314605787</v>
      </c>
      <c r="D20">
        <f t="shared" si="0"/>
        <v>1836.5200314605788</v>
      </c>
      <c r="E20">
        <f t="shared" si="1"/>
        <v>64.163749172759637</v>
      </c>
      <c r="F20">
        <f t="shared" si="2"/>
        <v>1219.1112342824331</v>
      </c>
      <c r="G20">
        <f t="shared" si="3"/>
        <v>0.29049065560518378</v>
      </c>
      <c r="H20">
        <f t="shared" si="4"/>
        <v>354.14042170234876</v>
      </c>
    </row>
    <row r="21" spans="1:8">
      <c r="A21">
        <v>20</v>
      </c>
      <c r="B21">
        <v>3.4937679999999999E-2</v>
      </c>
      <c r="C21">
        <v>1.89637643477263</v>
      </c>
      <c r="D21">
        <f t="shared" si="0"/>
        <v>1896.3764347726299</v>
      </c>
      <c r="E21">
        <f t="shared" si="1"/>
        <v>66.254993037627017</v>
      </c>
      <c r="F21">
        <f t="shared" si="2"/>
        <v>1325.0998607525403</v>
      </c>
      <c r="G21">
        <f t="shared" si="3"/>
        <v>0.27219238123652045</v>
      </c>
      <c r="H21">
        <f t="shared" si="4"/>
        <v>360.6820864744156</v>
      </c>
    </row>
    <row r="22" spans="1:8">
      <c r="A22">
        <v>21</v>
      </c>
      <c r="B22">
        <v>3.4937679999999999E-2</v>
      </c>
      <c r="C22">
        <v>1.9474623408908855</v>
      </c>
      <c r="D22">
        <f t="shared" si="0"/>
        <v>1947.4623408908856</v>
      </c>
      <c r="E22">
        <f t="shared" si="1"/>
        <v>68.039816078096678</v>
      </c>
      <c r="F22">
        <f t="shared" si="2"/>
        <v>1428.8361376400303</v>
      </c>
      <c r="G22">
        <f t="shared" si="3"/>
        <v>0.25504673205014849</v>
      </c>
      <c r="H22">
        <f t="shared" si="4"/>
        <v>364.41998754024593</v>
      </c>
    </row>
    <row r="23" spans="1:8">
      <c r="A23">
        <v>22</v>
      </c>
      <c r="B23">
        <v>3.4937679999999999E-2</v>
      </c>
      <c r="C23">
        <v>2.0112727858533281</v>
      </c>
      <c r="D23">
        <f t="shared" si="0"/>
        <v>2011.2727858533281</v>
      </c>
      <c r="E23">
        <f t="shared" si="1"/>
        <v>70.269204984852095</v>
      </c>
      <c r="F23">
        <f t="shared" si="2"/>
        <v>1545.922509666746</v>
      </c>
      <c r="G23">
        <f t="shared" si="3"/>
        <v>0.23898110312256071</v>
      </c>
      <c r="H23">
        <f t="shared" si="4"/>
        <v>369.44626670215649</v>
      </c>
    </row>
    <row r="24" spans="1:8">
      <c r="A24">
        <v>23</v>
      </c>
      <c r="B24">
        <v>3.4937679999999999E-2</v>
      </c>
      <c r="C24">
        <v>2.0656983305995036</v>
      </c>
      <c r="D24">
        <f t="shared" si="0"/>
        <v>2065.6983305995036</v>
      </c>
      <c r="E24">
        <f t="shared" si="1"/>
        <v>72.170707251019664</v>
      </c>
      <c r="F24">
        <f t="shared" si="2"/>
        <v>1659.9262667734522</v>
      </c>
      <c r="G24">
        <f t="shared" si="3"/>
        <v>0.22392746298135818</v>
      </c>
      <c r="H24">
        <f t="shared" si="4"/>
        <v>371.7030776546963</v>
      </c>
    </row>
    <row r="25" spans="1:8">
      <c r="G25" t="s">
        <v>4</v>
      </c>
      <c r="H25">
        <f>SUM(H2:H24)</f>
        <v>5877.3401254078917</v>
      </c>
    </row>
    <row r="26" spans="1:8">
      <c r="A26" t="s">
        <v>10</v>
      </c>
      <c r="B26">
        <v>1000</v>
      </c>
      <c r="G26" t="s">
        <v>5</v>
      </c>
      <c r="H26">
        <f>(D24*A24)*G24</f>
        <v>10639.031488487397</v>
      </c>
    </row>
    <row r="27" spans="1:8">
      <c r="A27" t="s">
        <v>15</v>
      </c>
      <c r="B27">
        <v>6.7225519999999997E-2</v>
      </c>
      <c r="G27" t="s">
        <v>16</v>
      </c>
      <c r="H27">
        <f>H26+H25</f>
        <v>16516.371613895288</v>
      </c>
    </row>
    <row r="28" spans="1:8">
      <c r="A28" t="s">
        <v>19</v>
      </c>
      <c r="B28" t="s">
        <v>20</v>
      </c>
      <c r="G28" t="s">
        <v>17</v>
      </c>
      <c r="H28">
        <f>(H27/B29)/2</f>
        <v>8.0983314177856425</v>
      </c>
    </row>
    <row r="29" spans="1:8">
      <c r="A29" t="s">
        <v>90</v>
      </c>
      <c r="B29" s="6">
        <v>1019.739176</v>
      </c>
      <c r="G29" t="s">
        <v>18</v>
      </c>
      <c r="H29">
        <f>H28/((B27+1))</f>
        <v>7.5882100512229522</v>
      </c>
    </row>
    <row r="30" spans="1:8">
      <c r="A30" t="s">
        <v>91</v>
      </c>
      <c r="B30">
        <f>E9/B29</f>
        <v>4.550254996577674E-2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61DF9-79D1-4F88-9322-009E5326686C}">
  <sheetPr codeName="Planilha2"/>
  <dimension ref="A1:H23"/>
  <sheetViews>
    <sheetView topLeftCell="A7" workbookViewId="0">
      <selection activeCell="B23" sqref="B23"/>
    </sheetView>
  </sheetViews>
  <sheetFormatPr defaultRowHeight="15"/>
  <sheetData>
    <row r="1" spans="1:8">
      <c r="A1" t="s">
        <v>2</v>
      </c>
      <c r="B1" t="s">
        <v>80</v>
      </c>
      <c r="C1" t="s">
        <v>78</v>
      </c>
      <c r="D1" t="s">
        <v>82</v>
      </c>
      <c r="E1" t="s">
        <v>83</v>
      </c>
      <c r="F1" t="s">
        <v>12</v>
      </c>
      <c r="G1" t="s">
        <v>13</v>
      </c>
      <c r="H1" t="s">
        <v>14</v>
      </c>
    </row>
    <row r="2" spans="1:8">
      <c r="A2">
        <v>1</v>
      </c>
      <c r="B2">
        <f>(1+B17/100)^(1/2)-1</f>
        <v>2.9569327437448445E-2</v>
      </c>
      <c r="C2">
        <v>1.0305488484766463</v>
      </c>
      <c r="D2">
        <f>$B$18*C2</f>
        <v>1030.5488484766463</v>
      </c>
      <c r="E2">
        <f>D2*B2</f>
        <v>30.472636340891398</v>
      </c>
      <c r="F2">
        <f>E2*A2</f>
        <v>30.472636340891398</v>
      </c>
      <c r="G2">
        <f>(1+$B$21)^(-A2)</f>
        <v>0.96330843890655971</v>
      </c>
      <c r="H2">
        <f>F2*G2</f>
        <v>29.354547742911393</v>
      </c>
    </row>
    <row r="3" spans="1:8">
      <c r="A3" s="5">
        <v>2</v>
      </c>
      <c r="B3">
        <v>2.9569327437448445E-2</v>
      </c>
      <c r="C3">
        <v>1.0420196224316338</v>
      </c>
      <c r="D3">
        <f t="shared" ref="D3:D15" si="0">$B$18*C3</f>
        <v>1042.0196224316337</v>
      </c>
      <c r="E3">
        <f t="shared" ref="E3:E15" si="1">D3*B3</f>
        <v>30.811819411927377</v>
      </c>
      <c r="F3">
        <f t="shared" ref="F3:F15" si="2">E3*A3</f>
        <v>61.623638823854755</v>
      </c>
      <c r="G3">
        <f t="shared" ref="G3:G15" si="3">(1+$B$21)^(-A3)</f>
        <v>0.92796314846859318</v>
      </c>
      <c r="H3">
        <f t="shared" ref="H3:H15" si="4">F3*G3</f>
        <v>57.18446590307569</v>
      </c>
    </row>
    <row r="4" spans="1:8">
      <c r="A4">
        <v>3</v>
      </c>
      <c r="B4">
        <v>2.9569327437448445E-2</v>
      </c>
      <c r="C4">
        <v>1.0652413881457068</v>
      </c>
      <c r="D4">
        <f t="shared" si="0"/>
        <v>1065.2413881457069</v>
      </c>
      <c r="E4">
        <f t="shared" si="1"/>
        <v>31.498471406002519</v>
      </c>
      <c r="F4">
        <f t="shared" si="2"/>
        <v>94.495414218007554</v>
      </c>
      <c r="G4">
        <f t="shared" si="3"/>
        <v>0.89391473191409643</v>
      </c>
      <c r="H4">
        <f t="shared" si="4"/>
        <v>84.470842867801721</v>
      </c>
    </row>
    <row r="5" spans="1:8">
      <c r="A5">
        <v>4</v>
      </c>
      <c r="B5">
        <v>2.9569327437448445E-2</v>
      </c>
      <c r="C5">
        <v>1.0868894040158452</v>
      </c>
      <c r="D5">
        <f t="shared" si="0"/>
        <v>1086.8894040158452</v>
      </c>
      <c r="E5">
        <f t="shared" si="1"/>
        <v>32.13858867563772</v>
      </c>
      <c r="F5">
        <f t="shared" si="2"/>
        <v>128.55435470255088</v>
      </c>
      <c r="G5">
        <f t="shared" si="3"/>
        <v>0.86111560491574413</v>
      </c>
      <c r="H5">
        <f t="shared" si="4"/>
        <v>110.70016091424024</v>
      </c>
    </row>
    <row r="6" spans="1:8">
      <c r="A6">
        <v>5</v>
      </c>
      <c r="B6">
        <v>2.9569327437448445E-2</v>
      </c>
      <c r="C6">
        <v>1.0879539962408757</v>
      </c>
      <c r="D6">
        <f t="shared" si="0"/>
        <v>1087.9539962408758</v>
      </c>
      <c r="E6">
        <f t="shared" si="1"/>
        <v>32.170067951727013</v>
      </c>
      <c r="F6">
        <f t="shared" si="2"/>
        <v>160.85033975863507</v>
      </c>
      <c r="G6">
        <f t="shared" si="3"/>
        <v>0.82951992908946337</v>
      </c>
      <c r="H6">
        <f t="shared" si="4"/>
        <v>133.42856243059904</v>
      </c>
    </row>
    <row r="7" spans="1:8">
      <c r="A7">
        <v>6</v>
      </c>
      <c r="B7">
        <v>2.9569327437448445E-2</v>
      </c>
      <c r="C7">
        <v>1.1359879101280972</v>
      </c>
      <c r="D7">
        <f t="shared" si="0"/>
        <v>1135.9879101280972</v>
      </c>
      <c r="E7">
        <f t="shared" si="1"/>
        <v>33.590398479560463</v>
      </c>
      <c r="F7">
        <f t="shared" si="2"/>
        <v>201.54239087736278</v>
      </c>
      <c r="G7">
        <f t="shared" si="3"/>
        <v>0.79908354793305103</v>
      </c>
      <c r="H7">
        <f t="shared" si="4"/>
        <v>161.04920876119283</v>
      </c>
    </row>
    <row r="8" spans="1:8">
      <c r="A8">
        <v>7</v>
      </c>
      <c r="B8">
        <v>2.9569327437448445E-2</v>
      </c>
      <c r="C8">
        <v>1.1787643910449379</v>
      </c>
      <c r="D8">
        <f t="shared" si="0"/>
        <v>1178.7643910449378</v>
      </c>
      <c r="E8">
        <f t="shared" si="1"/>
        <v>34.855270250412289</v>
      </c>
      <c r="F8">
        <f t="shared" si="2"/>
        <v>243.98689175288604</v>
      </c>
      <c r="G8">
        <f t="shared" si="3"/>
        <v>0.76976392511530245</v>
      </c>
      <c r="H8">
        <f t="shared" si="4"/>
        <v>187.81230747238396</v>
      </c>
    </row>
    <row r="9" spans="1:8">
      <c r="A9">
        <v>8</v>
      </c>
      <c r="B9">
        <v>2.9569327437448445E-2</v>
      </c>
      <c r="C9">
        <v>1.2502802773468578</v>
      </c>
      <c r="D9">
        <f t="shared" si="0"/>
        <v>1250.2802773468577</v>
      </c>
      <c r="E9">
        <f t="shared" si="1"/>
        <v>36.969946909453093</v>
      </c>
      <c r="F9">
        <f t="shared" si="2"/>
        <v>295.75957527562474</v>
      </c>
      <c r="G9">
        <f t="shared" si="3"/>
        <v>0.74152008502940803</v>
      </c>
      <c r="H9">
        <f t="shared" si="4"/>
        <v>219.31166540664287</v>
      </c>
    </row>
    <row r="10" spans="1:8">
      <c r="A10">
        <v>9</v>
      </c>
      <c r="B10">
        <v>2.9569327437448445E-2</v>
      </c>
      <c r="C10">
        <v>1.3188809270368897</v>
      </c>
      <c r="D10">
        <f t="shared" si="0"/>
        <v>1318.8809270368897</v>
      </c>
      <c r="E10">
        <f t="shared" si="1"/>
        <v>38.998421982559343</v>
      </c>
      <c r="F10">
        <f t="shared" si="2"/>
        <v>350.98579784303411</v>
      </c>
      <c r="G10">
        <f t="shared" si="3"/>
        <v>0.71431255552753858</v>
      </c>
      <c r="H10">
        <f t="shared" si="4"/>
        <v>250.71356221112973</v>
      </c>
    </row>
    <row r="11" spans="1:8">
      <c r="A11">
        <v>10</v>
      </c>
      <c r="B11">
        <v>2.9569327437448445E-2</v>
      </c>
      <c r="C11">
        <v>1.3438075689855133</v>
      </c>
      <c r="D11">
        <f t="shared" si="0"/>
        <v>1343.8075689855134</v>
      </c>
      <c r="E11">
        <f t="shared" si="1"/>
        <v>39.735486020254235</v>
      </c>
      <c r="F11">
        <f t="shared" si="2"/>
        <v>397.35486020254234</v>
      </c>
      <c r="G11">
        <f t="shared" si="3"/>
        <v>0.68810331275658831</v>
      </c>
      <c r="H11">
        <f t="shared" si="4"/>
        <v>273.42119564530043</v>
      </c>
    </row>
    <row r="12" spans="1:8">
      <c r="A12">
        <v>11</v>
      </c>
      <c r="B12">
        <v>2.9569327437448445E-2</v>
      </c>
      <c r="C12">
        <v>1.4045906203472591</v>
      </c>
      <c r="D12">
        <f t="shared" si="0"/>
        <v>1404.5906203472591</v>
      </c>
      <c r="E12">
        <f t="shared" si="1"/>
        <v>41.532799968616942</v>
      </c>
      <c r="F12">
        <f t="shared" si="2"/>
        <v>456.86079965478638</v>
      </c>
      <c r="G12">
        <f t="shared" si="3"/>
        <v>0.66285572801798132</v>
      </c>
      <c r="H12">
        <f t="shared" si="4"/>
        <v>302.83279795805055</v>
      </c>
    </row>
    <row r="13" spans="1:8">
      <c r="A13">
        <v>12</v>
      </c>
      <c r="B13">
        <v>2.9569327437448445E-2</v>
      </c>
      <c r="C13">
        <v>1.4442270545178155</v>
      </c>
      <c r="D13">
        <f t="shared" si="0"/>
        <v>1444.2270545178155</v>
      </c>
      <c r="E13">
        <f t="shared" si="1"/>
        <v>42.704822669058991</v>
      </c>
      <c r="F13">
        <f t="shared" si="2"/>
        <v>512.45787202870792</v>
      </c>
      <c r="G13">
        <f t="shared" si="3"/>
        <v>0.63853451657727278</v>
      </c>
      <c r="H13">
        <f t="shared" si="4"/>
        <v>327.22203958206893</v>
      </c>
    </row>
    <row r="14" spans="1:8">
      <c r="A14">
        <v>13</v>
      </c>
      <c r="B14">
        <v>2.9569327437448445E-2</v>
      </c>
      <c r="C14">
        <v>1.4922507532577367</v>
      </c>
      <c r="D14">
        <f t="shared" si="0"/>
        <v>1492.2507532577367</v>
      </c>
      <c r="E14">
        <f t="shared" si="1"/>
        <v>44.124851141857107</v>
      </c>
      <c r="F14">
        <f t="shared" si="2"/>
        <v>573.62306484414239</v>
      </c>
      <c r="G14">
        <f t="shared" si="3"/>
        <v>0.61510568835200741</v>
      </c>
      <c r="H14">
        <f t="shared" si="4"/>
        <v>352.83881015554437</v>
      </c>
    </row>
    <row r="15" spans="1:8">
      <c r="A15">
        <v>14</v>
      </c>
      <c r="B15">
        <v>2.9569327437448445E-2</v>
      </c>
      <c r="C15">
        <v>1.5321659827487331</v>
      </c>
      <c r="D15">
        <f t="shared" si="0"/>
        <v>1532.1659827487331</v>
      </c>
      <c r="E15">
        <f t="shared" si="1"/>
        <v>45.305117632417272</v>
      </c>
      <c r="F15">
        <f t="shared" si="2"/>
        <v>634.27164685384184</v>
      </c>
      <c r="G15">
        <f t="shared" si="3"/>
        <v>0.59253650040891714</v>
      </c>
      <c r="H15">
        <f t="shared" si="4"/>
        <v>375.829101935376</v>
      </c>
    </row>
    <row r="16" spans="1:8">
      <c r="G16" t="s">
        <v>4</v>
      </c>
      <c r="H16">
        <f>SUM(H2:H15)</f>
        <v>2866.169268986318</v>
      </c>
    </row>
    <row r="17" spans="1:8">
      <c r="A17" t="s">
        <v>79</v>
      </c>
      <c r="B17">
        <v>6.0012999999999996</v>
      </c>
      <c r="G17" t="s">
        <v>87</v>
      </c>
      <c r="H17">
        <f>(A13*B19)*G13</f>
        <v>5533.1329445061119</v>
      </c>
    </row>
    <row r="18" spans="1:8">
      <c r="A18" t="s">
        <v>81</v>
      </c>
      <c r="B18">
        <v>1000</v>
      </c>
      <c r="G18" t="s">
        <v>88</v>
      </c>
      <c r="H18">
        <f>(A15*B20)*G15</f>
        <v>6355.0498862446657</v>
      </c>
    </row>
    <row r="19" spans="1:8">
      <c r="A19" t="s">
        <v>84</v>
      </c>
      <c r="B19">
        <f>500*C13</f>
        <v>722.11352725890777</v>
      </c>
      <c r="G19" t="s">
        <v>6</v>
      </c>
      <c r="H19">
        <f>SUM(H16:H18)</f>
        <v>14754.352099737096</v>
      </c>
    </row>
    <row r="20" spans="1:8">
      <c r="A20" t="s">
        <v>85</v>
      </c>
      <c r="B20">
        <f>500*C15</f>
        <v>766.08299137436654</v>
      </c>
      <c r="G20" t="s">
        <v>89</v>
      </c>
      <c r="H20">
        <f>(H19/B22)/2</f>
        <v>5.5671934859342462</v>
      </c>
    </row>
    <row r="21" spans="1:8">
      <c r="A21" t="s">
        <v>86</v>
      </c>
      <c r="B21">
        <v>3.8089110000000002E-2</v>
      </c>
      <c r="G21" t="s">
        <v>18</v>
      </c>
      <c r="H21">
        <f>H20/((1+B21))</f>
        <v>5.3629244660260875</v>
      </c>
    </row>
    <row r="22" spans="1:8">
      <c r="A22" t="s">
        <v>90</v>
      </c>
      <c r="B22">
        <v>1325.1158</v>
      </c>
    </row>
    <row r="23" spans="1:8">
      <c r="A23" t="s">
        <v>91</v>
      </c>
      <c r="B23">
        <f>E10/B22</f>
        <v>2.9430199219237549E-2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77728-A7CA-4B9A-9F3F-CE7B32380702}">
  <sheetPr codeName="Planilha3"/>
  <dimension ref="A1:H28"/>
  <sheetViews>
    <sheetView topLeftCell="A10" workbookViewId="0">
      <selection activeCell="B28" sqref="B28"/>
    </sheetView>
  </sheetViews>
  <sheetFormatPr defaultRowHeight="15"/>
  <sheetData>
    <row r="1" spans="1:8">
      <c r="A1" t="s">
        <v>96</v>
      </c>
      <c r="B1" t="s">
        <v>80</v>
      </c>
      <c r="C1" t="s">
        <v>8</v>
      </c>
      <c r="D1" t="s">
        <v>97</v>
      </c>
      <c r="E1" t="s">
        <v>99</v>
      </c>
      <c r="F1" t="s">
        <v>12</v>
      </c>
      <c r="G1" t="s">
        <v>3</v>
      </c>
      <c r="H1" t="s">
        <v>102</v>
      </c>
    </row>
    <row r="2" spans="1:8">
      <c r="A2">
        <v>1</v>
      </c>
      <c r="B2">
        <f>(1+$B$23/100)^(1/2)-1</f>
        <v>2.4939022576465186E-2</v>
      </c>
      <c r="C2">
        <v>1.018537657481152</v>
      </c>
      <c r="D2">
        <f>$B$24*C2</f>
        <v>1018.537657481152</v>
      </c>
      <c r="E2">
        <f>D2*B2</f>
        <v>25.401333634902414</v>
      </c>
      <c r="F2">
        <f>A2*E2</f>
        <v>25.401333634902414</v>
      </c>
      <c r="G2">
        <f>(1+$B$27)^(-A2)</f>
        <v>0.96218775323578931</v>
      </c>
      <c r="H2">
        <f>F2*G2</f>
        <v>24.440852139359439</v>
      </c>
    </row>
    <row r="3" spans="1:8">
      <c r="A3">
        <v>2</v>
      </c>
      <c r="B3">
        <f t="shared" ref="B3:B21" si="0">(1+$B$23/100)^(1/2)-1</f>
        <v>2.4939022576465186E-2</v>
      </c>
      <c r="C3">
        <v>1.0452556464801734</v>
      </c>
      <c r="D3">
        <f t="shared" ref="D3:D21" si="1">$B$24*C3</f>
        <v>1045.2556464801735</v>
      </c>
      <c r="E3">
        <f t="shared" ref="E3:E21" si="2">D3*B3</f>
        <v>26.06765416574676</v>
      </c>
      <c r="F3">
        <f t="shared" ref="F3:F21" si="3">A3*E3</f>
        <v>52.135308331493519</v>
      </c>
      <c r="G3">
        <f t="shared" ref="G3:G21" si="4">(1+$B$27)^(-A3)</f>
        <v>0.92580527247693623</v>
      </c>
      <c r="H3">
        <f t="shared" ref="H3:H21" si="5">F3*G3</f>
        <v>48.267143335507441</v>
      </c>
    </row>
    <row r="4" spans="1:8">
      <c r="A4">
        <v>3</v>
      </c>
      <c r="B4">
        <f t="shared" si="0"/>
        <v>2.4939022576465186E-2</v>
      </c>
      <c r="C4">
        <v>1.0651394757531871</v>
      </c>
      <c r="D4">
        <f t="shared" si="1"/>
        <v>1065.1394757531871</v>
      </c>
      <c r="E4">
        <f t="shared" si="2"/>
        <v>26.563537432893025</v>
      </c>
      <c r="F4">
        <f t="shared" si="3"/>
        <v>79.690612298679071</v>
      </c>
      <c r="G4">
        <f t="shared" si="4"/>
        <v>0.89079849505843112</v>
      </c>
      <c r="H4">
        <f t="shared" si="5"/>
        <v>70.988277505948219</v>
      </c>
    </row>
    <row r="5" spans="1:8">
      <c r="A5">
        <v>4</v>
      </c>
      <c r="B5">
        <f t="shared" si="0"/>
        <v>2.4939022576465186E-2</v>
      </c>
      <c r="C5">
        <v>1.075500606490368</v>
      </c>
      <c r="D5">
        <f t="shared" si="1"/>
        <v>1075.500606490368</v>
      </c>
      <c r="E5">
        <f t="shared" si="2"/>
        <v>26.821933906265286</v>
      </c>
      <c r="F5">
        <f t="shared" si="3"/>
        <v>107.28773562506115</v>
      </c>
      <c r="G5">
        <f t="shared" si="4"/>
        <v>0.85711540254609409</v>
      </c>
      <c r="H5">
        <f t="shared" si="5"/>
        <v>91.957970708533196</v>
      </c>
    </row>
    <row r="6" spans="1:8">
      <c r="A6">
        <v>5</v>
      </c>
      <c r="B6">
        <f t="shared" si="0"/>
        <v>2.4939022576465186E-2</v>
      </c>
      <c r="C6">
        <v>1.1003205913706755</v>
      </c>
      <c r="D6">
        <f t="shared" si="1"/>
        <v>1100.3205913706754</v>
      </c>
      <c r="E6">
        <f t="shared" si="2"/>
        <v>27.440920069542798</v>
      </c>
      <c r="F6">
        <f t="shared" si="3"/>
        <v>137.20460034771401</v>
      </c>
      <c r="G6">
        <f t="shared" si="4"/>
        <v>0.82470594343961534</v>
      </c>
      <c r="H6">
        <f t="shared" si="5"/>
        <v>113.15344937401686</v>
      </c>
    </row>
    <row r="7" spans="1:8">
      <c r="A7">
        <v>6</v>
      </c>
      <c r="B7">
        <f t="shared" si="0"/>
        <v>2.4939022576465186E-2</v>
      </c>
      <c r="C7">
        <v>1.1092192879442706</v>
      </c>
      <c r="D7">
        <f t="shared" si="1"/>
        <v>1109.2192879442705</v>
      </c>
      <c r="E7">
        <f t="shared" si="2"/>
        <v>27.662844864292801</v>
      </c>
      <c r="F7">
        <f t="shared" si="3"/>
        <v>165.97706918575682</v>
      </c>
      <c r="G7">
        <f t="shared" si="4"/>
        <v>0.7935219587983654</v>
      </c>
      <c r="H7">
        <f t="shared" si="5"/>
        <v>131.70644905589356</v>
      </c>
    </row>
    <row r="8" spans="1:8">
      <c r="A8">
        <v>7</v>
      </c>
      <c r="B8">
        <f t="shared" si="0"/>
        <v>2.4939022576465186E-2</v>
      </c>
      <c r="C8">
        <v>1.1674327436992091</v>
      </c>
      <c r="D8">
        <f t="shared" si="1"/>
        <v>1167.4327436992091</v>
      </c>
      <c r="E8">
        <f t="shared" si="2"/>
        <v>29.114631551619272</v>
      </c>
      <c r="F8">
        <f t="shared" si="3"/>
        <v>203.80242086133489</v>
      </c>
      <c r="G8">
        <f t="shared" si="4"/>
        <v>0.76351711067946193</v>
      </c>
      <c r="H8">
        <f t="shared" si="5"/>
        <v>155.60663552552612</v>
      </c>
    </row>
    <row r="9" spans="1:8">
      <c r="A9">
        <v>8</v>
      </c>
      <c r="B9">
        <f t="shared" si="0"/>
        <v>2.4939022576465186E-2</v>
      </c>
      <c r="C9">
        <v>1.2228740626017751</v>
      </c>
      <c r="D9">
        <f t="shared" si="1"/>
        <v>1222.8740626017752</v>
      </c>
      <c r="E9">
        <f t="shared" si="2"/>
        <v>30.497283855399374</v>
      </c>
      <c r="F9">
        <f t="shared" si="3"/>
        <v>243.97827084319499</v>
      </c>
      <c r="G9">
        <f t="shared" si="4"/>
        <v>0.73464681328175285</v>
      </c>
      <c r="H9">
        <f t="shared" si="5"/>
        <v>179.23785918494559</v>
      </c>
    </row>
    <row r="10" spans="1:8">
      <c r="A10">
        <v>9</v>
      </c>
      <c r="B10">
        <f t="shared" si="0"/>
        <v>2.4939022576465186E-2</v>
      </c>
      <c r="C10">
        <v>1.2993446582002117</v>
      </c>
      <c r="D10">
        <f t="shared" si="1"/>
        <v>1299.3446582002118</v>
      </c>
      <c r="E10">
        <f t="shared" si="2"/>
        <v>32.404385765464525</v>
      </c>
      <c r="F10">
        <f t="shared" si="3"/>
        <v>291.63947188918075</v>
      </c>
      <c r="G10">
        <f t="shared" si="4"/>
        <v>0.70686816669340224</v>
      </c>
      <c r="H10">
        <f t="shared" si="5"/>
        <v>206.15065882973721</v>
      </c>
    </row>
    <row r="11" spans="1:8">
      <c r="A11">
        <v>10</v>
      </c>
      <c r="B11">
        <f t="shared" si="0"/>
        <v>2.4939022576465186E-2</v>
      </c>
      <c r="C11">
        <v>1.3105369677988181</v>
      </c>
      <c r="D11">
        <f t="shared" si="1"/>
        <v>1310.5369677988181</v>
      </c>
      <c r="E11">
        <f t="shared" si="2"/>
        <v>32.683511027226956</v>
      </c>
      <c r="F11">
        <f t="shared" si="3"/>
        <v>326.83511027226956</v>
      </c>
      <c r="G11">
        <f t="shared" si="4"/>
        <v>0.6801398931446262</v>
      </c>
      <c r="H11">
        <f t="shared" si="5"/>
        <v>222.29359697649355</v>
      </c>
    </row>
    <row r="12" spans="1:8">
      <c r="A12">
        <v>11</v>
      </c>
      <c r="B12">
        <f t="shared" si="0"/>
        <v>2.4939022576465186E-2</v>
      </c>
      <c r="C12">
        <v>1.3875731357873125</v>
      </c>
      <c r="D12">
        <f t="shared" si="1"/>
        <v>1387.5731357873124</v>
      </c>
      <c r="E12">
        <f t="shared" si="2"/>
        <v>34.604717759896374</v>
      </c>
      <c r="F12">
        <f t="shared" si="3"/>
        <v>380.65189535886009</v>
      </c>
      <c r="G12">
        <f t="shared" si="4"/>
        <v>0.65442227567085776</v>
      </c>
      <c r="H12">
        <f t="shared" si="5"/>
        <v>249.10707959917045</v>
      </c>
    </row>
    <row r="13" spans="1:8">
      <c r="A13">
        <v>12</v>
      </c>
      <c r="B13">
        <f t="shared" si="0"/>
        <v>2.4939022576465186E-2</v>
      </c>
      <c r="C13">
        <v>1.4232591008149922</v>
      </c>
      <c r="D13">
        <f t="shared" si="1"/>
        <v>1423.2591008149923</v>
      </c>
      <c r="E13">
        <f t="shared" si="2"/>
        <v>35.494690847384632</v>
      </c>
      <c r="F13">
        <f t="shared" si="3"/>
        <v>425.93629016861559</v>
      </c>
      <c r="G13">
        <f t="shared" si="4"/>
        <v>0.62967709909519476</v>
      </c>
      <c r="H13">
        <f t="shared" si="5"/>
        <v>268.20232759274296</v>
      </c>
    </row>
    <row r="14" spans="1:8">
      <c r="A14">
        <v>13</v>
      </c>
      <c r="B14">
        <f t="shared" si="0"/>
        <v>2.4939022576465186E-2</v>
      </c>
      <c r="C14">
        <v>1.4803249755408028</v>
      </c>
      <c r="D14">
        <f t="shared" si="1"/>
        <v>1480.3249755408028</v>
      </c>
      <c r="E14">
        <f t="shared" si="2"/>
        <v>36.917857985517358</v>
      </c>
      <c r="F14">
        <f t="shared" si="3"/>
        <v>479.93215381172564</v>
      </c>
      <c r="G14">
        <f t="shared" si="4"/>
        <v>0.605867593242435</v>
      </c>
      <c r="H14">
        <f t="shared" si="5"/>
        <v>290.77533894956832</v>
      </c>
    </row>
    <row r="15" spans="1:8">
      <c r="A15">
        <v>14</v>
      </c>
      <c r="B15">
        <f t="shared" si="0"/>
        <v>2.4939022576465186E-2</v>
      </c>
      <c r="C15">
        <v>1.5110512375991436</v>
      </c>
      <c r="D15">
        <f t="shared" si="1"/>
        <v>1511.0512375991436</v>
      </c>
      <c r="E15">
        <f t="shared" si="2"/>
        <v>37.684140928680705</v>
      </c>
      <c r="F15">
        <f t="shared" si="3"/>
        <v>527.57797300152993</v>
      </c>
      <c r="G15">
        <f t="shared" si="4"/>
        <v>0.5829583783003135</v>
      </c>
      <c r="H15">
        <f t="shared" si="5"/>
        <v>307.55599956793844</v>
      </c>
    </row>
    <row r="16" spans="1:8">
      <c r="A16">
        <v>15</v>
      </c>
      <c r="B16">
        <f t="shared" si="0"/>
        <v>2.4939022576465186E-2</v>
      </c>
      <c r="C16">
        <v>1.5696293173206042</v>
      </c>
      <c r="D16">
        <f t="shared" si="1"/>
        <v>1569.6293173206043</v>
      </c>
      <c r="E16">
        <f t="shared" si="2"/>
        <v>39.145020981340188</v>
      </c>
      <c r="F16">
        <f t="shared" si="3"/>
        <v>587.17531472010285</v>
      </c>
      <c r="G16">
        <f t="shared" si="4"/>
        <v>0.56091541224675812</v>
      </c>
      <c r="H16">
        <f t="shared" si="5"/>
        <v>329.35568371734644</v>
      </c>
    </row>
    <row r="17" spans="1:8">
      <c r="A17">
        <v>16</v>
      </c>
      <c r="B17">
        <f t="shared" si="0"/>
        <v>2.4939022576465186E-2</v>
      </c>
      <c r="C17">
        <v>1.6012228137229318</v>
      </c>
      <c r="D17">
        <f t="shared" si="1"/>
        <v>1601.222813722932</v>
      </c>
      <c r="E17">
        <f t="shared" si="2"/>
        <v>39.932931901387306</v>
      </c>
      <c r="F17">
        <f t="shared" si="3"/>
        <v>638.9269104221969</v>
      </c>
      <c r="G17">
        <f t="shared" si="4"/>
        <v>0.53970594026503471</v>
      </c>
      <c r="H17">
        <f t="shared" si="5"/>
        <v>344.83264895004538</v>
      </c>
    </row>
    <row r="18" spans="1:8">
      <c r="A18">
        <v>17</v>
      </c>
      <c r="B18">
        <f t="shared" si="0"/>
        <v>2.4939022576465186E-2</v>
      </c>
      <c r="C18">
        <v>1.6631767357130254</v>
      </c>
      <c r="D18">
        <f t="shared" si="1"/>
        <v>1663.1767357130254</v>
      </c>
      <c r="E18">
        <f t="shared" si="2"/>
        <v>41.478002160598813</v>
      </c>
      <c r="F18">
        <f t="shared" si="3"/>
        <v>705.12603673017986</v>
      </c>
      <c r="G18">
        <f t="shared" si="4"/>
        <v>0.51929844607162279</v>
      </c>
      <c r="H18">
        <f t="shared" si="5"/>
        <v>366.17085515862442</v>
      </c>
    </row>
    <row r="19" spans="1:8">
      <c r="A19">
        <v>18</v>
      </c>
      <c r="B19">
        <f t="shared" si="0"/>
        <v>2.4939022576465186E-2</v>
      </c>
      <c r="C19">
        <v>1.696618342411514</v>
      </c>
      <c r="D19">
        <f t="shared" si="1"/>
        <v>1696.618342411514</v>
      </c>
      <c r="E19">
        <f t="shared" si="2"/>
        <v>42.312003145045693</v>
      </c>
      <c r="F19">
        <f t="shared" si="3"/>
        <v>761.61605661082251</v>
      </c>
      <c r="G19">
        <f t="shared" si="4"/>
        <v>0.49966260508449151</v>
      </c>
      <c r="H19">
        <f t="shared" si="5"/>
        <v>380.55106292034111</v>
      </c>
    </row>
    <row r="20" spans="1:8">
      <c r="A20">
        <v>19</v>
      </c>
      <c r="B20">
        <f t="shared" si="0"/>
        <v>2.4939022576465186E-2</v>
      </c>
      <c r="C20">
        <v>1.762627701204484</v>
      </c>
      <c r="D20">
        <f t="shared" si="1"/>
        <v>1762.6277012044841</v>
      </c>
      <c r="E20">
        <f t="shared" si="2"/>
        <v>43.958212034241562</v>
      </c>
      <c r="F20">
        <f t="shared" si="3"/>
        <v>835.2060286505897</v>
      </c>
      <c r="G20">
        <f t="shared" si="4"/>
        <v>0.48076923936218835</v>
      </c>
      <c r="H20">
        <f t="shared" si="5"/>
        <v>401.5413671050581</v>
      </c>
    </row>
    <row r="21" spans="1:8">
      <c r="A21">
        <v>20</v>
      </c>
      <c r="B21">
        <f t="shared" si="0"/>
        <v>2.4939022576465186E-2</v>
      </c>
      <c r="C21">
        <v>1.7982712821754894</v>
      </c>
      <c r="D21">
        <f t="shared" si="1"/>
        <v>1798.2712821754894</v>
      </c>
      <c r="E21">
        <f t="shared" si="2"/>
        <v>44.847128104783529</v>
      </c>
      <c r="F21">
        <f t="shared" si="3"/>
        <v>896.94256209567061</v>
      </c>
      <c r="G21">
        <f t="shared" si="4"/>
        <v>0.46259027424678334</v>
      </c>
      <c r="H21">
        <f t="shared" si="5"/>
        <v>414.91690578344878</v>
      </c>
    </row>
    <row r="22" spans="1:8">
      <c r="G22" t="s">
        <v>4</v>
      </c>
      <c r="H22">
        <f>SUM(H2:H21)</f>
        <v>4596.8121619802459</v>
      </c>
    </row>
    <row r="23" spans="1:8">
      <c r="A23" t="s">
        <v>79</v>
      </c>
      <c r="B23" s="8">
        <v>5.05</v>
      </c>
      <c r="G23" t="s">
        <v>5</v>
      </c>
      <c r="H23">
        <f>(A21*D21)*G21</f>
        <v>16637.256111833489</v>
      </c>
    </row>
    <row r="24" spans="1:8">
      <c r="A24" t="s">
        <v>98</v>
      </c>
      <c r="B24">
        <v>1000</v>
      </c>
      <c r="G24" t="s">
        <v>6</v>
      </c>
      <c r="H24">
        <f>SUM(H22:H23)</f>
        <v>21234.068273813733</v>
      </c>
    </row>
    <row r="25" spans="1:8">
      <c r="A25" t="s">
        <v>100</v>
      </c>
      <c r="B25">
        <f>B24*C21</f>
        <v>1798.2712821754894</v>
      </c>
      <c r="G25" t="s">
        <v>89</v>
      </c>
      <c r="H25">
        <f>(H24/B26)/2</f>
        <v>8.2827861326151169</v>
      </c>
    </row>
    <row r="26" spans="1:8">
      <c r="A26" t="s">
        <v>90</v>
      </c>
      <c r="B26">
        <v>1281.8191810000001</v>
      </c>
      <c r="G26" t="s">
        <v>18</v>
      </c>
      <c r="H26">
        <f>H25/((1+B27))</f>
        <v>7.9695953794734917</v>
      </c>
    </row>
    <row r="27" spans="1:8">
      <c r="A27" t="s">
        <v>101</v>
      </c>
      <c r="B27">
        <v>3.9298199999999998E-2</v>
      </c>
    </row>
    <row r="28" spans="1:8">
      <c r="A28" t="s">
        <v>103</v>
      </c>
      <c r="B28">
        <f>E11/B26</f>
        <v>2.5497754684657783E-2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29D8E-400A-4FC6-9E42-AD27A06A8D7B}">
  <sheetPr codeName="Planilha4"/>
  <dimension ref="A1:H15"/>
  <sheetViews>
    <sheetView workbookViewId="0">
      <selection activeCell="B15" sqref="B15"/>
    </sheetView>
  </sheetViews>
  <sheetFormatPr defaultRowHeight="15"/>
  <sheetData>
    <row r="1" spans="1:8">
      <c r="A1" t="s">
        <v>96</v>
      </c>
      <c r="B1" t="s">
        <v>79</v>
      </c>
      <c r="C1" t="s">
        <v>8</v>
      </c>
      <c r="D1" t="s">
        <v>97</v>
      </c>
      <c r="E1" t="s">
        <v>107</v>
      </c>
      <c r="F1" t="s">
        <v>12</v>
      </c>
      <c r="G1" t="s">
        <v>3</v>
      </c>
      <c r="H1" t="s">
        <v>102</v>
      </c>
    </row>
    <row r="2" spans="1:8">
      <c r="A2">
        <v>1</v>
      </c>
      <c r="B2">
        <v>4.41E-2</v>
      </c>
      <c r="C2">
        <v>1.0452556464801734</v>
      </c>
      <c r="D2">
        <f>$B$10*C2</f>
        <v>1045.2556464801735</v>
      </c>
      <c r="E2">
        <f>B2*D2</f>
        <v>46.095774009775653</v>
      </c>
      <c r="F2">
        <f>A2*E2</f>
        <v>46.095774009775653</v>
      </c>
      <c r="G2">
        <f>(1+$B$13)^(-A2)</f>
        <v>0.94226251571258091</v>
      </c>
      <c r="H2">
        <f>F2*G2</f>
        <v>43.434319982169811</v>
      </c>
    </row>
    <row r="3" spans="1:8">
      <c r="A3">
        <v>2</v>
      </c>
      <c r="B3">
        <v>4.41E-2</v>
      </c>
      <c r="C3">
        <v>1.075500606490368</v>
      </c>
      <c r="D3">
        <f t="shared" ref="D3:D8" si="0">$B$10*C3</f>
        <v>1075.500606490368</v>
      </c>
      <c r="E3">
        <f t="shared" ref="E3:E8" si="1">B3*D3</f>
        <v>47.42957674622523</v>
      </c>
      <c r="F3">
        <f t="shared" ref="F3:F8" si="2">A3*E3</f>
        <v>94.85915349245046</v>
      </c>
      <c r="G3">
        <f t="shared" ref="G3:G8" si="3">(1+$B$13)^(-A3)</f>
        <v>0.88785864851700169</v>
      </c>
      <c r="H3">
        <f t="shared" ref="H3:H8" si="4">F3*G3</f>
        <v>84.22151981927388</v>
      </c>
    </row>
    <row r="4" spans="1:8">
      <c r="A4">
        <v>3</v>
      </c>
      <c r="B4">
        <v>4.41E-2</v>
      </c>
      <c r="C4">
        <v>1.1092192879442706</v>
      </c>
      <c r="D4">
        <f t="shared" si="0"/>
        <v>1109.2192879442705</v>
      </c>
      <c r="E4">
        <f t="shared" si="1"/>
        <v>48.916570598342332</v>
      </c>
      <c r="F4">
        <f t="shared" si="2"/>
        <v>146.749711795027</v>
      </c>
      <c r="G4">
        <f t="shared" si="3"/>
        <v>0.83659592374880209</v>
      </c>
      <c r="H4">
        <f t="shared" si="4"/>
        <v>122.77021069903108</v>
      </c>
    </row>
    <row r="5" spans="1:8">
      <c r="A5">
        <v>4</v>
      </c>
      <c r="B5">
        <v>4.41E-2</v>
      </c>
      <c r="C5">
        <v>1.2228740626017751</v>
      </c>
      <c r="D5">
        <f t="shared" si="0"/>
        <v>1222.8740626017752</v>
      </c>
      <c r="E5">
        <f t="shared" si="1"/>
        <v>53.928746160738285</v>
      </c>
      <c r="F5">
        <f t="shared" si="2"/>
        <v>215.71498464295314</v>
      </c>
      <c r="G5">
        <f t="shared" si="3"/>
        <v>0.78829297974643675</v>
      </c>
      <c r="H5">
        <f t="shared" si="4"/>
        <v>170.04660802015039</v>
      </c>
    </row>
    <row r="6" spans="1:8">
      <c r="A6">
        <v>5</v>
      </c>
      <c r="B6">
        <v>4.41E-2</v>
      </c>
      <c r="C6">
        <v>1.3105369677988181</v>
      </c>
      <c r="D6">
        <f t="shared" si="0"/>
        <v>1310.5369677988181</v>
      </c>
      <c r="E6">
        <f t="shared" si="1"/>
        <v>57.794680279927874</v>
      </c>
      <c r="F6">
        <f t="shared" si="2"/>
        <v>288.97340139963939</v>
      </c>
      <c r="G6">
        <f t="shared" si="3"/>
        <v>0.74277892621444408</v>
      </c>
      <c r="H6">
        <f t="shared" si="4"/>
        <v>214.64335279615966</v>
      </c>
    </row>
    <row r="7" spans="1:8">
      <c r="A7">
        <v>6</v>
      </c>
      <c r="B7">
        <v>4.41E-2</v>
      </c>
      <c r="C7">
        <v>1.4232591008149922</v>
      </c>
      <c r="D7">
        <f t="shared" si="0"/>
        <v>1423.2591008149923</v>
      </c>
      <c r="E7">
        <f t="shared" si="1"/>
        <v>62.765726345941161</v>
      </c>
      <c r="F7">
        <f t="shared" si="2"/>
        <v>376.59435807564694</v>
      </c>
      <c r="G7">
        <f t="shared" si="3"/>
        <v>0.69989273963311149</v>
      </c>
      <c r="H7">
        <f t="shared" si="4"/>
        <v>263.57565700393752</v>
      </c>
    </row>
    <row r="8" spans="1:8">
      <c r="A8">
        <v>7</v>
      </c>
      <c r="B8">
        <v>4.41E-2</v>
      </c>
      <c r="C8">
        <v>1.5110512375991436</v>
      </c>
      <c r="D8">
        <f t="shared" si="0"/>
        <v>1511.0512375991436</v>
      </c>
      <c r="E8">
        <f t="shared" si="1"/>
        <v>66.637359578122229</v>
      </c>
      <c r="F8">
        <f t="shared" si="2"/>
        <v>466.46151704685559</v>
      </c>
      <c r="G8">
        <f t="shared" si="3"/>
        <v>0.65948269357566602</v>
      </c>
      <c r="H8">
        <f t="shared" si="4"/>
        <v>307.62329771145176</v>
      </c>
    </row>
    <row r="9" spans="1:8">
      <c r="G9" t="s">
        <v>4</v>
      </c>
      <c r="H9">
        <f>SUM(H2:H8)</f>
        <v>1206.3149660321742</v>
      </c>
    </row>
    <row r="10" spans="1:8">
      <c r="A10" t="s">
        <v>106</v>
      </c>
      <c r="B10">
        <v>1000</v>
      </c>
      <c r="G10" t="s">
        <v>5</v>
      </c>
      <c r="H10">
        <f>(A8*B11)*G8</f>
        <v>6975.5849821190886</v>
      </c>
    </row>
    <row r="11" spans="1:8">
      <c r="A11" t="s">
        <v>100</v>
      </c>
      <c r="B11">
        <f>B10*C8</f>
        <v>1511.0512375991436</v>
      </c>
      <c r="G11" t="s">
        <v>6</v>
      </c>
      <c r="H11">
        <f>SUM(H9:H10)</f>
        <v>8181.8999481512628</v>
      </c>
    </row>
    <row r="12" spans="1:8">
      <c r="A12" t="s">
        <v>90</v>
      </c>
      <c r="B12">
        <v>1296.9341489999999</v>
      </c>
      <c r="G12" t="s">
        <v>89</v>
      </c>
      <c r="H12">
        <f>H11/B12</f>
        <v>6.3086471695266182</v>
      </c>
    </row>
    <row r="13" spans="1:8">
      <c r="A13" t="s">
        <v>101</v>
      </c>
      <c r="B13">
        <v>6.1275370000000003E-2</v>
      </c>
      <c r="D13" s="6"/>
      <c r="E13" s="6"/>
      <c r="G13" t="s">
        <v>18</v>
      </c>
      <c r="H13">
        <f>H12/(1+B13)</f>
        <v>5.9444017527012036</v>
      </c>
    </row>
    <row r="14" spans="1:8">
      <c r="A14" t="s">
        <v>108</v>
      </c>
      <c r="B14">
        <f>E6/B12</f>
        <v>4.4562540298973864E-2</v>
      </c>
    </row>
    <row r="15" spans="1:8">
      <c r="A15" t="s">
        <v>19</v>
      </c>
      <c r="B15" t="s">
        <v>109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B4CA4-B70E-4372-BD84-5E94751D0EDC}">
  <sheetPr codeName="Planilha5"/>
  <dimension ref="A1:H18"/>
  <sheetViews>
    <sheetView workbookViewId="0">
      <selection activeCell="B18" sqref="B18"/>
    </sheetView>
  </sheetViews>
  <sheetFormatPr defaultRowHeight="15"/>
  <sheetData>
    <row r="1" spans="1:8">
      <c r="A1" t="s">
        <v>110</v>
      </c>
      <c r="B1" t="s">
        <v>79</v>
      </c>
      <c r="C1" t="s">
        <v>8</v>
      </c>
      <c r="D1" t="s">
        <v>111</v>
      </c>
      <c r="E1" t="s">
        <v>107</v>
      </c>
      <c r="F1" t="s">
        <v>12</v>
      </c>
      <c r="G1" t="s">
        <v>3</v>
      </c>
      <c r="H1" t="s">
        <v>102</v>
      </c>
    </row>
    <row r="2" spans="1:8">
      <c r="A2">
        <v>1</v>
      </c>
      <c r="B2">
        <v>4.7133000000000001E-2</v>
      </c>
      <c r="C2">
        <v>1.033029585719383</v>
      </c>
      <c r="D2">
        <f>$B$13*C2</f>
        <v>1033.029585719383</v>
      </c>
      <c r="E2">
        <f>B2*D2</f>
        <v>48.689783463711684</v>
      </c>
      <c r="F2">
        <f>A2*E2</f>
        <v>48.689783463711684</v>
      </c>
      <c r="G2">
        <f>(1+$B$16)^(-A2)</f>
        <v>0.91597407958230115</v>
      </c>
      <c r="H2">
        <f>F2*G2</f>
        <v>44.598579593234859</v>
      </c>
    </row>
    <row r="3" spans="1:8">
      <c r="A3">
        <v>2</v>
      </c>
      <c r="B3">
        <v>4.7133000000000001E-2</v>
      </c>
      <c r="C3">
        <v>1.0960374394852728</v>
      </c>
      <c r="D3">
        <f t="shared" ref="D3:D11" si="0">$B$13*C3</f>
        <v>1096.0374394852727</v>
      </c>
      <c r="E3">
        <f t="shared" ref="E3:E11" si="1">B3*D3</f>
        <v>51.65953263525936</v>
      </c>
      <c r="F3">
        <f t="shared" ref="F3:F11" si="2">A3*E3</f>
        <v>103.31906527051872</v>
      </c>
      <c r="G3">
        <f t="shared" ref="G3:G11" si="3">(1+$B$16)^(-A3)</f>
        <v>0.8390085144666436</v>
      </c>
      <c r="H3">
        <f t="shared" ref="H3:H11" si="4">F3*G3</f>
        <v>86.685575468700094</v>
      </c>
    </row>
    <row r="4" spans="1:8">
      <c r="A4">
        <v>3</v>
      </c>
      <c r="B4">
        <v>4.7133000000000001E-2</v>
      </c>
      <c r="C4">
        <v>1.2198821729721467</v>
      </c>
      <c r="D4">
        <f t="shared" si="0"/>
        <v>1219.8821729721467</v>
      </c>
      <c r="E4">
        <f t="shared" si="1"/>
        <v>57.496706458696188</v>
      </c>
      <c r="F4">
        <f t="shared" si="2"/>
        <v>172.49011937608856</v>
      </c>
      <c r="G4">
        <f t="shared" si="3"/>
        <v>0.76851005180029763</v>
      </c>
      <c r="H4">
        <f t="shared" si="4"/>
        <v>132.56039057675733</v>
      </c>
    </row>
    <row r="5" spans="1:8">
      <c r="A5">
        <v>4</v>
      </c>
      <c r="B5">
        <v>4.7133000000000001E-2</v>
      </c>
      <c r="C5">
        <v>1.3027149658556436</v>
      </c>
      <c r="D5">
        <f t="shared" si="0"/>
        <v>1302.7149658556436</v>
      </c>
      <c r="E5">
        <f t="shared" si="1"/>
        <v>61.400864485674056</v>
      </c>
      <c r="F5">
        <f t="shared" si="2"/>
        <v>245.60345794269622</v>
      </c>
      <c r="G5">
        <f t="shared" si="3"/>
        <v>0.7039352873475242</v>
      </c>
      <c r="H5">
        <f t="shared" si="4"/>
        <v>172.88894074043745</v>
      </c>
    </row>
    <row r="6" spans="1:8">
      <c r="A6">
        <v>5</v>
      </c>
      <c r="B6">
        <v>4.7133000000000001E-2</v>
      </c>
      <c r="C6">
        <v>1.3897944909928588</v>
      </c>
      <c r="D6">
        <f t="shared" si="0"/>
        <v>1389.7944909928588</v>
      </c>
      <c r="E6">
        <f t="shared" si="1"/>
        <v>65.505183743966413</v>
      </c>
      <c r="F6">
        <f t="shared" si="2"/>
        <v>327.52591871983208</v>
      </c>
      <c r="G6">
        <f t="shared" si="3"/>
        <v>0.6447864769136511</v>
      </c>
      <c r="H6">
        <f t="shared" si="4"/>
        <v>211.18428322926738</v>
      </c>
    </row>
    <row r="7" spans="1:8">
      <c r="A7">
        <v>6</v>
      </c>
      <c r="B7">
        <v>4.7133000000000001E-2</v>
      </c>
      <c r="C7">
        <v>1.4736373527144673</v>
      </c>
      <c r="D7">
        <f t="shared" si="0"/>
        <v>1473.6373527144672</v>
      </c>
      <c r="E7">
        <f t="shared" si="1"/>
        <v>69.456949345490983</v>
      </c>
      <c r="F7">
        <f t="shared" si="2"/>
        <v>416.7416960729459</v>
      </c>
      <c r="G7">
        <f t="shared" si="3"/>
        <v>0.59060769971809612</v>
      </c>
      <c r="H7">
        <f t="shared" si="4"/>
        <v>246.13085449426052</v>
      </c>
    </row>
    <row r="8" spans="1:8">
      <c r="A8">
        <v>7</v>
      </c>
      <c r="B8">
        <v>4.7133000000000001E-2</v>
      </c>
      <c r="C8">
        <v>1.5614638022282932</v>
      </c>
      <c r="D8">
        <f t="shared" si="0"/>
        <v>1561.4638022282932</v>
      </c>
      <c r="E8">
        <f t="shared" si="1"/>
        <v>73.596473390426141</v>
      </c>
      <c r="F8">
        <f t="shared" si="2"/>
        <v>515.175313732983</v>
      </c>
      <c r="G8">
        <f t="shared" si="3"/>
        <v>0.54098134414350318</v>
      </c>
      <c r="H8">
        <f t="shared" si="4"/>
        <v>278.70023369282012</v>
      </c>
    </row>
    <row r="9" spans="1:8">
      <c r="A9">
        <v>8</v>
      </c>
      <c r="B9">
        <v>4.7133000000000001E-2</v>
      </c>
      <c r="C9">
        <v>1.6548327625901598</v>
      </c>
      <c r="D9">
        <f t="shared" si="0"/>
        <v>1654.8327625901597</v>
      </c>
      <c r="E9">
        <f t="shared" si="1"/>
        <v>77.997232599162004</v>
      </c>
      <c r="F9">
        <f t="shared" si="2"/>
        <v>623.97786079329603</v>
      </c>
      <c r="G9">
        <f t="shared" si="3"/>
        <v>0.49552488877304135</v>
      </c>
      <c r="H9">
        <f t="shared" si="4"/>
        <v>309.19656006643828</v>
      </c>
    </row>
    <row r="10" spans="1:8">
      <c r="A10">
        <v>9</v>
      </c>
      <c r="B10">
        <v>4.7133000000000001E-2</v>
      </c>
      <c r="C10">
        <v>1.7543898881104059</v>
      </c>
      <c r="D10">
        <f t="shared" si="0"/>
        <v>1754.3898881104058</v>
      </c>
      <c r="E10">
        <f t="shared" si="1"/>
        <v>82.689658596307751</v>
      </c>
      <c r="F10">
        <f t="shared" si="2"/>
        <v>744.20692736676972</v>
      </c>
      <c r="G10">
        <f t="shared" si="3"/>
        <v>0.45388795390400871</v>
      </c>
      <c r="H10">
        <f t="shared" si="4"/>
        <v>337.78655954369231</v>
      </c>
    </row>
    <row r="11" spans="1:8">
      <c r="A11">
        <v>10</v>
      </c>
      <c r="B11">
        <v>4.7133000000000001E-2</v>
      </c>
      <c r="C11">
        <v>1.8605400716835503</v>
      </c>
      <c r="D11">
        <f t="shared" si="0"/>
        <v>1860.5400716835502</v>
      </c>
      <c r="E11">
        <f t="shared" si="1"/>
        <v>87.692835198660774</v>
      </c>
      <c r="F11">
        <f t="shared" si="2"/>
        <v>876.92835198660771</v>
      </c>
      <c r="G11">
        <f t="shared" si="3"/>
        <v>0.41574960081071827</v>
      </c>
      <c r="H11">
        <f t="shared" si="4"/>
        <v>364.5826122780332</v>
      </c>
    </row>
    <row r="12" spans="1:8">
      <c r="G12" t="s">
        <v>4</v>
      </c>
      <c r="H12">
        <f>SUM(H2:H11)</f>
        <v>2184.3145896836413</v>
      </c>
    </row>
    <row r="13" spans="1:8">
      <c r="A13" t="s">
        <v>106</v>
      </c>
      <c r="B13">
        <v>1000</v>
      </c>
      <c r="G13" t="s">
        <v>5</v>
      </c>
      <c r="H13">
        <f>(A11*B14)*G11</f>
        <v>7735.1879209478111</v>
      </c>
    </row>
    <row r="14" spans="1:8">
      <c r="A14" t="s">
        <v>112</v>
      </c>
      <c r="B14">
        <f>B13*C11</f>
        <v>1860.5400716835502</v>
      </c>
      <c r="G14" t="s">
        <v>6</v>
      </c>
      <c r="H14">
        <f>SUM(H12:H13)</f>
        <v>9919.5025106314533</v>
      </c>
    </row>
    <row r="15" spans="1:8">
      <c r="A15" t="s">
        <v>90</v>
      </c>
      <c r="B15">
        <v>1184.5707709999999</v>
      </c>
      <c r="G15" t="s">
        <v>89</v>
      </c>
      <c r="H15">
        <f>H14/B15</f>
        <v>8.3739213844163416</v>
      </c>
    </row>
    <row r="16" spans="1:8">
      <c r="A16" t="s">
        <v>113</v>
      </c>
      <c r="B16">
        <v>9.1733949999999995E-2</v>
      </c>
      <c r="D16" s="6"/>
      <c r="G16" t="s">
        <v>18</v>
      </c>
      <c r="H16">
        <f>H15/(1+B16)</f>
        <v>7.6702949325853069</v>
      </c>
    </row>
    <row r="17" spans="1:4">
      <c r="A17" t="s">
        <v>119</v>
      </c>
      <c r="B17">
        <f>E4/B15</f>
        <v>4.8538008759204977E-2</v>
      </c>
      <c r="D17" s="6"/>
    </row>
    <row r="18" spans="1:4">
      <c r="A18" t="s">
        <v>19</v>
      </c>
      <c r="B18" t="s">
        <v>114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5FD59-E4B9-4639-907C-4A95E75DD0EC}">
  <sheetPr codeName="Planilha6"/>
  <dimension ref="A1:L69"/>
  <sheetViews>
    <sheetView topLeftCell="A48" workbookViewId="0">
      <selection activeCell="D66" sqref="D66"/>
    </sheetView>
  </sheetViews>
  <sheetFormatPr defaultRowHeight="15"/>
  <cols>
    <col min="4" max="4" width="7.140625" bestFit="1" customWidth="1"/>
    <col min="5" max="5" width="12" bestFit="1" customWidth="1"/>
    <col min="12" max="12" width="26.85546875" bestFit="1" customWidth="1"/>
  </cols>
  <sheetData>
    <row r="1" spans="1:9" ht="15.75" customHeight="1">
      <c r="A1" t="s">
        <v>96</v>
      </c>
      <c r="B1" t="s">
        <v>121</v>
      </c>
      <c r="C1" t="s">
        <v>122</v>
      </c>
      <c r="D1" t="s">
        <v>116</v>
      </c>
      <c r="E1" t="s">
        <v>117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>
        <v>5.8999999999999997E-2</v>
      </c>
      <c r="C2">
        <f>((1+B2)^(1/252))-1</f>
        <v>2.275062987258103E-4</v>
      </c>
      <c r="D2" s="8">
        <f>0.454/100</f>
        <v>4.5399999999999998E-3</v>
      </c>
      <c r="E2" s="8">
        <f>C2+D2</f>
        <v>4.7675062987258101E-3</v>
      </c>
      <c r="F2">
        <f>$D$62*E2</f>
        <v>4.7675062987258103</v>
      </c>
      <c r="G2">
        <f>F2*A2</f>
        <v>4.7675062987258103</v>
      </c>
      <c r="H2">
        <f>(1+$D$64)^(-A2)</f>
        <v>0.97749475698693444</v>
      </c>
      <c r="I2">
        <f>G2*H2</f>
        <v>4.6602124109066656</v>
      </c>
    </row>
    <row r="3" spans="1:9">
      <c r="A3">
        <v>2</v>
      </c>
      <c r="B3">
        <v>5.8999999999999997E-2</v>
      </c>
      <c r="C3">
        <f t="shared" ref="C3:C60" si="0">((1+B3)^(1/252))-1</f>
        <v>2.275062987258103E-4</v>
      </c>
      <c r="D3" s="8">
        <f t="shared" ref="D3:D60" si="1">0.454/100</f>
        <v>4.5399999999999998E-3</v>
      </c>
      <c r="E3" s="8">
        <f t="shared" ref="E3:E60" si="2">C3+D3</f>
        <v>4.7675062987258101E-3</v>
      </c>
      <c r="F3">
        <f t="shared" ref="F3:F60" si="3">$D$62*E3</f>
        <v>4.7675062987258103</v>
      </c>
      <c r="G3">
        <f>F3*A3</f>
        <v>9.5350125974516207</v>
      </c>
      <c r="H3">
        <f t="shared" ref="H3:H60" si="4">(1+$D$64)^(-A3)</f>
        <v>0.95549599993694612</v>
      </c>
      <c r="I3">
        <f t="shared" ref="I3:I60" si="5">G3*H3</f>
        <v>9.1106663962134142</v>
      </c>
    </row>
    <row r="4" spans="1:9">
      <c r="A4">
        <v>3</v>
      </c>
      <c r="B4">
        <v>5.3999999999999999E-2</v>
      </c>
      <c r="C4">
        <f t="shared" si="0"/>
        <v>2.0872197828714079E-4</v>
      </c>
      <c r="D4" s="8">
        <f t="shared" si="1"/>
        <v>4.5399999999999998E-3</v>
      </c>
      <c r="E4" s="8">
        <f t="shared" si="2"/>
        <v>4.7487219782871406E-3</v>
      </c>
      <c r="F4">
        <f t="shared" si="3"/>
        <v>4.7487219782871408</v>
      </c>
      <c r="G4">
        <f>F4*A4</f>
        <v>14.246165934861423</v>
      </c>
      <c r="H4">
        <f t="shared" si="4"/>
        <v>0.93399233026035322</v>
      </c>
      <c r="I4">
        <f t="shared" si="5"/>
        <v>13.305809718776883</v>
      </c>
    </row>
    <row r="5" spans="1:9">
      <c r="A5">
        <v>4</v>
      </c>
      <c r="B5">
        <v>4.9000000000000002E-2</v>
      </c>
      <c r="C5">
        <f t="shared" si="0"/>
        <v>1.8984869126059678E-4</v>
      </c>
      <c r="D5" s="8">
        <f t="shared" si="1"/>
        <v>4.5399999999999998E-3</v>
      </c>
      <c r="E5" s="8">
        <f t="shared" si="2"/>
        <v>4.7298486912605965E-3</v>
      </c>
      <c r="F5">
        <f t="shared" si="3"/>
        <v>4.7298486912605968</v>
      </c>
      <c r="G5">
        <f>F5*A5</f>
        <v>18.919394765042387</v>
      </c>
      <c r="H5">
        <f t="shared" si="4"/>
        <v>0.91297260589550455</v>
      </c>
      <c r="I5">
        <f t="shared" si="5"/>
        <v>17.272889140606516</v>
      </c>
    </row>
    <row r="6" spans="1:9">
      <c r="A6">
        <v>5</v>
      </c>
      <c r="B6">
        <v>4.3999999999999997E-2</v>
      </c>
      <c r="C6">
        <f t="shared" si="0"/>
        <v>1.7088558920153041E-4</v>
      </c>
      <c r="D6" s="8">
        <f t="shared" si="1"/>
        <v>4.5399999999999998E-3</v>
      </c>
      <c r="E6" s="8">
        <f t="shared" si="2"/>
        <v>4.7108855892015302E-3</v>
      </c>
      <c r="F6">
        <f t="shared" si="3"/>
        <v>4.7108855892015304</v>
      </c>
      <c r="G6">
        <f>F6*A6</f>
        <v>23.554427946007653</v>
      </c>
      <c r="H6">
        <f t="shared" si="4"/>
        <v>0.89242593553555449</v>
      </c>
      <c r="I6">
        <f t="shared" si="5"/>
        <v>21.020582395720687</v>
      </c>
    </row>
    <row r="7" spans="1:9">
      <c r="A7">
        <v>6</v>
      </c>
      <c r="B7">
        <v>4.3999999999999997E-2</v>
      </c>
      <c r="C7">
        <f t="shared" si="0"/>
        <v>1.7088558920153041E-4</v>
      </c>
      <c r="D7" s="8">
        <f t="shared" si="1"/>
        <v>4.5399999999999998E-3</v>
      </c>
      <c r="E7" s="8">
        <f t="shared" si="2"/>
        <v>4.7108855892015302E-3</v>
      </c>
      <c r="F7">
        <f t="shared" si="3"/>
        <v>4.7108855892015304</v>
      </c>
      <c r="G7">
        <f>F7*A7</f>
        <v>28.265313535209181</v>
      </c>
      <c r="H7">
        <f t="shared" si="4"/>
        <v>0.87234167298516452</v>
      </c>
      <c r="I7">
        <f t="shared" si="5"/>
        <v>24.657010896754592</v>
      </c>
    </row>
    <row r="8" spans="1:9">
      <c r="A8">
        <v>7</v>
      </c>
      <c r="B8">
        <v>4.1500000000000002E-2</v>
      </c>
      <c r="C8">
        <f t="shared" si="0"/>
        <v>1.6137008906524919E-4</v>
      </c>
      <c r="D8" s="8">
        <f t="shared" si="1"/>
        <v>4.5399999999999998E-3</v>
      </c>
      <c r="E8" s="8">
        <f t="shared" si="2"/>
        <v>4.701370089065249E-3</v>
      </c>
      <c r="F8">
        <f t="shared" si="3"/>
        <v>4.7013700890652492</v>
      </c>
      <c r="G8">
        <f>F8*A8</f>
        <v>32.909590623456744</v>
      </c>
      <c r="H8">
        <f t="shared" si="4"/>
        <v>0.85270941164420933</v>
      </c>
      <c r="I8">
        <f t="shared" si="5"/>
        <v>28.062317657979587</v>
      </c>
    </row>
    <row r="9" spans="1:9">
      <c r="A9">
        <v>8</v>
      </c>
      <c r="B9">
        <v>4.1500000000000002E-2</v>
      </c>
      <c r="C9">
        <f t="shared" si="0"/>
        <v>1.6137008906524919E-4</v>
      </c>
      <c r="D9" s="8">
        <f t="shared" si="1"/>
        <v>4.5399999999999998E-3</v>
      </c>
      <c r="E9" s="8">
        <f t="shared" si="2"/>
        <v>4.701370089065249E-3</v>
      </c>
      <c r="F9">
        <f t="shared" si="3"/>
        <v>4.7013700890652492</v>
      </c>
      <c r="G9">
        <f>F9*A9</f>
        <v>37.610960712521994</v>
      </c>
      <c r="H9">
        <f t="shared" si="4"/>
        <v>0.83351897911562833</v>
      </c>
      <c r="I9">
        <f t="shared" si="5"/>
        <v>31.349449576659339</v>
      </c>
    </row>
    <row r="10" spans="1:9">
      <c r="A10">
        <v>9</v>
      </c>
      <c r="B10">
        <v>3.6499999999999998E-2</v>
      </c>
      <c r="C10">
        <f t="shared" si="0"/>
        <v>1.4227064686456181E-4</v>
      </c>
      <c r="D10" s="8">
        <f t="shared" si="1"/>
        <v>4.5399999999999998E-3</v>
      </c>
      <c r="E10" s="8">
        <f t="shared" si="2"/>
        <v>4.6822706468645616E-3</v>
      </c>
      <c r="F10">
        <f t="shared" si="3"/>
        <v>4.6822706468645618</v>
      </c>
      <c r="G10">
        <f>F10*A10</f>
        <v>42.140435821781054</v>
      </c>
      <c r="H10">
        <f t="shared" si="4"/>
        <v>0.81476043193462877</v>
      </c>
      <c r="I10">
        <f t="shared" si="5"/>
        <v>34.334359692067835</v>
      </c>
    </row>
    <row r="11" spans="1:9">
      <c r="A11">
        <v>10</v>
      </c>
      <c r="B11">
        <v>2.9000000000000001E-2</v>
      </c>
      <c r="C11">
        <f t="shared" si="0"/>
        <v>1.1344872391472194E-4</v>
      </c>
      <c r="D11" s="8">
        <f t="shared" si="1"/>
        <v>4.5399999999999998E-3</v>
      </c>
      <c r="E11" s="8">
        <f t="shared" si="2"/>
        <v>4.6534487239147217E-3</v>
      </c>
      <c r="F11">
        <f t="shared" si="3"/>
        <v>4.653448723914722</v>
      </c>
      <c r="G11">
        <f>F11*A11</f>
        <v>46.534487239147218</v>
      </c>
      <c r="H11">
        <f t="shared" si="4"/>
        <v>0.79642405041650977</v>
      </c>
      <c r="I11">
        <f t="shared" si="5"/>
        <v>37.061184811057011</v>
      </c>
    </row>
    <row r="12" spans="1:9">
      <c r="A12">
        <v>11</v>
      </c>
      <c r="B12">
        <v>2.9000000000000001E-2</v>
      </c>
      <c r="C12">
        <f t="shared" si="0"/>
        <v>1.1344872391472194E-4</v>
      </c>
      <c r="D12" s="8">
        <f t="shared" si="1"/>
        <v>4.5399999999999998E-3</v>
      </c>
      <c r="E12" s="8">
        <f t="shared" si="2"/>
        <v>4.6534487239147217E-3</v>
      </c>
      <c r="F12">
        <f t="shared" si="3"/>
        <v>4.653448723914722</v>
      </c>
      <c r="G12">
        <f>F12*A12</f>
        <v>51.187935963061939</v>
      </c>
      <c r="H12">
        <f t="shared" si="4"/>
        <v>0.77850033362043647</v>
      </c>
      <c r="I12">
        <f t="shared" si="5"/>
        <v>39.84982522458526</v>
      </c>
    </row>
    <row r="13" spans="1:9">
      <c r="A13">
        <v>12</v>
      </c>
      <c r="B13">
        <v>2.1499999999999998E-2</v>
      </c>
      <c r="C13">
        <f t="shared" si="0"/>
        <v>8.4416798117770142E-5</v>
      </c>
      <c r="D13" s="8">
        <f t="shared" si="1"/>
        <v>4.5399999999999998E-3</v>
      </c>
      <c r="E13" s="8">
        <f t="shared" si="2"/>
        <v>4.6244167981177699E-3</v>
      </c>
      <c r="F13">
        <f t="shared" si="3"/>
        <v>4.6244167981177702</v>
      </c>
      <c r="G13">
        <f>F13*A13</f>
        <v>55.493001577413239</v>
      </c>
      <c r="H13">
        <f t="shared" si="4"/>
        <v>0.76097999442655584</v>
      </c>
      <c r="I13">
        <f t="shared" si="5"/>
        <v>42.229064031092783</v>
      </c>
    </row>
    <row r="14" spans="1:9">
      <c r="A14">
        <v>13</v>
      </c>
      <c r="B14">
        <v>1.9E-2</v>
      </c>
      <c r="C14">
        <f t="shared" si="0"/>
        <v>7.4692290285005569E-5</v>
      </c>
      <c r="D14" s="8">
        <f t="shared" si="1"/>
        <v>4.5399999999999998E-3</v>
      </c>
      <c r="E14" s="8">
        <f t="shared" si="2"/>
        <v>4.6146922902850053E-3</v>
      </c>
      <c r="F14">
        <f t="shared" si="3"/>
        <v>4.6146922902850056</v>
      </c>
      <c r="G14">
        <f>F14*A14</f>
        <v>59.99099977370507</v>
      </c>
      <c r="H14">
        <f t="shared" si="4"/>
        <v>0.74385395472390492</v>
      </c>
      <c r="I14">
        <f t="shared" si="5"/>
        <v>44.624542429511401</v>
      </c>
    </row>
    <row r="15" spans="1:9">
      <c r="A15">
        <v>14</v>
      </c>
      <c r="B15">
        <v>1.9E-2</v>
      </c>
      <c r="C15">
        <f t="shared" si="0"/>
        <v>7.4692290285005569E-5</v>
      </c>
      <c r="D15" s="8">
        <f t="shared" si="1"/>
        <v>4.5399999999999998E-3</v>
      </c>
      <c r="E15" s="8">
        <f t="shared" si="2"/>
        <v>4.6146922902850053E-3</v>
      </c>
      <c r="F15">
        <f t="shared" si="3"/>
        <v>4.6146922902850056</v>
      </c>
      <c r="G15">
        <f>F15*A15</f>
        <v>64.605692063990077</v>
      </c>
      <c r="H15">
        <f t="shared" si="4"/>
        <v>0.7271133407066136</v>
      </c>
      <c r="I15">
        <f t="shared" si="5"/>
        <v>46.975660585310578</v>
      </c>
    </row>
    <row r="16" spans="1:9">
      <c r="A16">
        <v>15</v>
      </c>
      <c r="B16">
        <v>1.9E-2</v>
      </c>
      <c r="C16">
        <f t="shared" si="0"/>
        <v>7.4692290285005569E-5</v>
      </c>
      <c r="D16" s="8">
        <f t="shared" si="1"/>
        <v>4.5399999999999998E-3</v>
      </c>
      <c r="E16" s="8">
        <f t="shared" si="2"/>
        <v>4.6146922902850053E-3</v>
      </c>
      <c r="F16">
        <f t="shared" si="3"/>
        <v>4.6146922902850056</v>
      </c>
      <c r="G16">
        <f>F16*A16</f>
        <v>69.220384354275083</v>
      </c>
      <c r="H16">
        <f t="shared" si="4"/>
        <v>0.71074947827596946</v>
      </c>
      <c r="I16">
        <f t="shared" si="5"/>
        <v>49.198352065863098</v>
      </c>
    </row>
    <row r="17" spans="1:9">
      <c r="A17">
        <v>16</v>
      </c>
      <c r="B17">
        <v>1.9E-2</v>
      </c>
      <c r="C17">
        <f t="shared" si="0"/>
        <v>7.4692290285005569E-5</v>
      </c>
      <c r="D17" s="8">
        <f t="shared" si="1"/>
        <v>4.5399999999999998E-3</v>
      </c>
      <c r="E17" s="8">
        <f t="shared" si="2"/>
        <v>4.6146922902850053E-3</v>
      </c>
      <c r="F17">
        <f t="shared" si="3"/>
        <v>4.6146922902850056</v>
      </c>
      <c r="G17">
        <f>F17*A17</f>
        <v>73.83507664456009</v>
      </c>
      <c r="H17">
        <f t="shared" si="4"/>
        <v>0.69475388854595921</v>
      </c>
      <c r="I17">
        <f t="shared" si="5"/>
        <v>51.297206609897053</v>
      </c>
    </row>
    <row r="18" spans="1:9">
      <c r="A18">
        <v>17</v>
      </c>
      <c r="B18">
        <v>1.9E-2</v>
      </c>
      <c r="C18">
        <f t="shared" si="0"/>
        <v>7.4692290285005569E-5</v>
      </c>
      <c r="D18" s="8">
        <f t="shared" si="1"/>
        <v>4.5399999999999998E-3</v>
      </c>
      <c r="E18" s="8">
        <f t="shared" si="2"/>
        <v>4.6146922902850053E-3</v>
      </c>
      <c r="F18">
        <f t="shared" si="3"/>
        <v>4.6146922902850056</v>
      </c>
      <c r="G18">
        <f>F18*A18</f>
        <v>78.449768934845096</v>
      </c>
      <c r="H18">
        <f t="shared" si="4"/>
        <v>0.67911828344996017</v>
      </c>
      <c r="I18">
        <f t="shared" si="5"/>
        <v>53.276672416078014</v>
      </c>
    </row>
    <row r="19" spans="1:9">
      <c r="A19">
        <v>18</v>
      </c>
      <c r="B19">
        <v>1.9E-2</v>
      </c>
      <c r="C19">
        <f t="shared" si="0"/>
        <v>7.4692290285005569E-5</v>
      </c>
      <c r="D19" s="8">
        <f t="shared" si="1"/>
        <v>4.5399999999999998E-3</v>
      </c>
      <c r="E19" s="8">
        <f t="shared" si="2"/>
        <v>4.6146922902850053E-3</v>
      </c>
      <c r="F19">
        <f t="shared" si="3"/>
        <v>4.6146922902850056</v>
      </c>
      <c r="G19">
        <f>F19*A19</f>
        <v>83.064461225130103</v>
      </c>
      <c r="H19">
        <f t="shared" si="4"/>
        <v>0.66383456144630293</v>
      </c>
      <c r="I19">
        <f t="shared" si="5"/>
        <v>55.141060189157677</v>
      </c>
    </row>
    <row r="20" spans="1:9">
      <c r="A20">
        <v>19</v>
      </c>
      <c r="B20">
        <v>1.9E-2</v>
      </c>
      <c r="C20">
        <f t="shared" si="0"/>
        <v>7.4692290285005569E-5</v>
      </c>
      <c r="D20" s="8">
        <f t="shared" si="1"/>
        <v>4.5399999999999998E-3</v>
      </c>
      <c r="E20" s="8">
        <f t="shared" si="2"/>
        <v>4.6146922902850053E-3</v>
      </c>
      <c r="F20">
        <f t="shared" si="3"/>
        <v>4.6146922902850056</v>
      </c>
      <c r="G20">
        <f>F20*A20</f>
        <v>87.679153515415109</v>
      </c>
      <c r="H20">
        <f t="shared" si="4"/>
        <v>0.64889480332048222</v>
      </c>
      <c r="I20">
        <f t="shared" si="5"/>
        <v>56.894547075691655</v>
      </c>
    </row>
    <row r="21" spans="1:9">
      <c r="A21">
        <v>20</v>
      </c>
      <c r="B21">
        <v>1.9E-2</v>
      </c>
      <c r="C21">
        <f t="shared" si="0"/>
        <v>7.4692290285005569E-5</v>
      </c>
      <c r="D21" s="8">
        <f t="shared" si="1"/>
        <v>4.5399999999999998E-3</v>
      </c>
      <c r="E21" s="8">
        <f t="shared" si="2"/>
        <v>4.6146922902850053E-3</v>
      </c>
      <c r="F21">
        <f t="shared" si="3"/>
        <v>4.6146922902850056</v>
      </c>
      <c r="G21">
        <f>F21*A21</f>
        <v>92.293845805700116</v>
      </c>
      <c r="H21">
        <f t="shared" si="4"/>
        <v>0.63429126808183933</v>
      </c>
      <c r="I21">
        <f t="shared" si="5"/>
        <v>58.541180492247271</v>
      </c>
    </row>
    <row r="22" spans="1:9">
      <c r="A22">
        <v>21</v>
      </c>
      <c r="B22">
        <v>2.6499999999999999E-2</v>
      </c>
      <c r="C22">
        <f t="shared" si="0"/>
        <v>1.0379490011502845E-4</v>
      </c>
      <c r="D22" s="8">
        <f t="shared" si="1"/>
        <v>4.5399999999999998E-3</v>
      </c>
      <c r="E22" s="8">
        <f t="shared" si="2"/>
        <v>4.6437949001150282E-3</v>
      </c>
      <c r="F22">
        <f t="shared" si="3"/>
        <v>4.6437949001150285</v>
      </c>
      <c r="G22">
        <f>F22*A22</f>
        <v>97.519692902415599</v>
      </c>
      <c r="H22">
        <f t="shared" si="4"/>
        <v>0.62001638895259203</v>
      </c>
      <c r="I22">
        <f t="shared" si="5"/>
        <v>60.463807845121437</v>
      </c>
    </row>
    <row r="23" spans="1:9">
      <c r="A23">
        <v>22</v>
      </c>
      <c r="B23">
        <v>3.4000000000000002E-2</v>
      </c>
      <c r="C23">
        <f t="shared" si="0"/>
        <v>1.3268648495490254E-4</v>
      </c>
      <c r="D23" s="8">
        <f t="shared" si="1"/>
        <v>4.5399999999999998E-3</v>
      </c>
      <c r="E23" s="8">
        <f t="shared" si="2"/>
        <v>4.6726864849549023E-3</v>
      </c>
      <c r="F23">
        <f t="shared" si="3"/>
        <v>4.6726864849549026</v>
      </c>
      <c r="G23">
        <f>F23*A23</f>
        <v>102.79910266900785</v>
      </c>
      <c r="H23">
        <f t="shared" si="4"/>
        <v>0.60606276944713067</v>
      </c>
      <c r="I23">
        <f t="shared" si="5"/>
        <v>62.302708860258818</v>
      </c>
    </row>
    <row r="24" spans="1:9">
      <c r="A24">
        <v>23</v>
      </c>
      <c r="B24">
        <v>3.4000000000000002E-2</v>
      </c>
      <c r="C24">
        <f t="shared" si="0"/>
        <v>1.3268648495490254E-4</v>
      </c>
      <c r="D24" s="8">
        <f t="shared" si="1"/>
        <v>4.5399999999999998E-3</v>
      </c>
      <c r="E24" s="8">
        <f t="shared" si="2"/>
        <v>4.6726864849549023E-3</v>
      </c>
      <c r="F24">
        <f t="shared" si="3"/>
        <v>4.6726864849549026</v>
      </c>
      <c r="G24">
        <f>F24*A24</f>
        <v>107.47178915396276</v>
      </c>
      <c r="H24">
        <f t="shared" si="4"/>
        <v>0.59242317953955148</v>
      </c>
      <c r="I24">
        <f t="shared" si="5"/>
        <v>63.668779041394899</v>
      </c>
    </row>
    <row r="25" spans="1:9">
      <c r="A25">
        <v>24</v>
      </c>
      <c r="B25">
        <v>4.1500000000000002E-2</v>
      </c>
      <c r="C25">
        <f t="shared" si="0"/>
        <v>1.6137008906524919E-4</v>
      </c>
      <c r="D25" s="8">
        <f t="shared" si="1"/>
        <v>4.5399999999999998E-3</v>
      </c>
      <c r="E25" s="8">
        <f t="shared" si="2"/>
        <v>4.701370089065249E-3</v>
      </c>
      <c r="F25">
        <f t="shared" si="3"/>
        <v>4.7013700890652492</v>
      </c>
      <c r="G25">
        <f>F25*A25</f>
        <v>112.83288213756597</v>
      </c>
      <c r="H25">
        <f t="shared" si="4"/>
        <v>0.57909055191744097</v>
      </c>
      <c r="I25">
        <f t="shared" si="5"/>
        <v>65.340455991478649</v>
      </c>
    </row>
    <row r="26" spans="1:9">
      <c r="A26">
        <v>25</v>
      </c>
      <c r="B26">
        <v>5.1499999999999997E-2</v>
      </c>
      <c r="C26">
        <f t="shared" si="0"/>
        <v>1.9929650834193957E-4</v>
      </c>
      <c r="D26" s="8">
        <f t="shared" si="1"/>
        <v>4.5399999999999998E-3</v>
      </c>
      <c r="E26" s="8">
        <f t="shared" si="2"/>
        <v>4.7392965083419393E-3</v>
      </c>
      <c r="F26">
        <f t="shared" si="3"/>
        <v>4.7392965083419396</v>
      </c>
      <c r="G26">
        <f>F26*A26</f>
        <v>118.48241270854849</v>
      </c>
      <c r="H26">
        <f t="shared" si="4"/>
        <v>0.56605797831996874</v>
      </c>
      <c r="I26">
        <f t="shared" si="5"/>
        <v>67.067915004273132</v>
      </c>
    </row>
    <row r="27" spans="1:9">
      <c r="A27">
        <v>26</v>
      </c>
      <c r="B27">
        <v>5.1499999999999997E-2</v>
      </c>
      <c r="C27">
        <f t="shared" si="0"/>
        <v>1.9929650834193957E-4</v>
      </c>
      <c r="D27" s="8">
        <f t="shared" si="1"/>
        <v>4.5399999999999998E-3</v>
      </c>
      <c r="E27" s="8">
        <f t="shared" si="2"/>
        <v>4.7392965083419393E-3</v>
      </c>
      <c r="F27">
        <f t="shared" si="3"/>
        <v>4.7392965083419396</v>
      </c>
      <c r="G27">
        <f>F27*A27</f>
        <v>123.22170921689043</v>
      </c>
      <c r="H27">
        <f t="shared" si="4"/>
        <v>0.55331870595839316</v>
      </c>
      <c r="I27">
        <f t="shared" si="5"/>
        <v>68.180876689871226</v>
      </c>
    </row>
    <row r="28" spans="1:9">
      <c r="A28">
        <v>27</v>
      </c>
      <c r="B28">
        <v>6.1499999999999999E-2</v>
      </c>
      <c r="C28">
        <f t="shared" si="0"/>
        <v>2.3686535833333799E-4</v>
      </c>
      <c r="D28" s="8">
        <f t="shared" si="1"/>
        <v>4.5399999999999998E-3</v>
      </c>
      <c r="E28" s="8">
        <f t="shared" si="2"/>
        <v>4.7768653583333378E-3</v>
      </c>
      <c r="F28">
        <f t="shared" si="3"/>
        <v>4.776865358333338</v>
      </c>
      <c r="G28">
        <f>F28*A28</f>
        <v>128.97536467500012</v>
      </c>
      <c r="H28">
        <f t="shared" si="4"/>
        <v>0.54086613401712469</v>
      </c>
      <c r="I28">
        <f t="shared" si="5"/>
        <v>69.758406875216139</v>
      </c>
    </row>
    <row r="29" spans="1:9">
      <c r="A29">
        <v>28</v>
      </c>
      <c r="B29">
        <v>7.6499999999999999E-2</v>
      </c>
      <c r="C29">
        <f t="shared" si="0"/>
        <v>2.9256277950295839E-4</v>
      </c>
      <c r="D29" s="8">
        <f t="shared" si="1"/>
        <v>4.5399999999999998E-3</v>
      </c>
      <c r="E29" s="8">
        <f t="shared" si="2"/>
        <v>4.8325627795029582E-3</v>
      </c>
      <c r="F29">
        <f t="shared" si="3"/>
        <v>4.8325627795029584</v>
      </c>
      <c r="G29">
        <f>F29*A29</f>
        <v>135.31175782608284</v>
      </c>
      <c r="H29">
        <f t="shared" si="4"/>
        <v>0.52869381023353201</v>
      </c>
      <c r="I29">
        <f t="shared" si="5"/>
        <v>71.538488814468678</v>
      </c>
    </row>
    <row r="30" spans="1:9">
      <c r="A30">
        <v>29</v>
      </c>
      <c r="B30">
        <v>9.1499999999999998E-2</v>
      </c>
      <c r="C30">
        <f t="shared" si="0"/>
        <v>3.4749249251664338E-4</v>
      </c>
      <c r="D30" s="8">
        <f t="shared" si="1"/>
        <v>4.5399999999999998E-3</v>
      </c>
      <c r="E30" s="8">
        <f t="shared" si="2"/>
        <v>4.8874924925166431E-3</v>
      </c>
      <c r="F30">
        <f t="shared" si="3"/>
        <v>4.8874924925166434</v>
      </c>
      <c r="G30">
        <f>F30*A30</f>
        <v>141.73728228298265</v>
      </c>
      <c r="H30">
        <f t="shared" si="4"/>
        <v>0.51679542755472285</v>
      </c>
      <c r="I30">
        <f t="shared" si="5"/>
        <v>73.249179397878464</v>
      </c>
    </row>
    <row r="31" spans="1:9">
      <c r="A31">
        <v>30</v>
      </c>
      <c r="B31">
        <v>9.1499999999999998E-2</v>
      </c>
      <c r="C31">
        <f t="shared" si="0"/>
        <v>3.4749249251664338E-4</v>
      </c>
      <c r="D31" s="8">
        <f t="shared" si="1"/>
        <v>4.5399999999999998E-3</v>
      </c>
      <c r="E31" s="8">
        <f t="shared" si="2"/>
        <v>4.8874924925166431E-3</v>
      </c>
      <c r="F31">
        <f t="shared" si="3"/>
        <v>4.8874924925166434</v>
      </c>
      <c r="G31">
        <f>F31*A31</f>
        <v>146.6247747754993</v>
      </c>
      <c r="H31">
        <f t="shared" si="4"/>
        <v>0.50516482086956271</v>
      </c>
      <c r="I31">
        <f t="shared" si="5"/>
        <v>74.069678084505085</v>
      </c>
    </row>
    <row r="32" spans="1:9">
      <c r="A32">
        <v>31</v>
      </c>
      <c r="B32">
        <v>0.1065</v>
      </c>
      <c r="C32">
        <f t="shared" si="0"/>
        <v>4.0167541389757311E-4</v>
      </c>
      <c r="D32" s="8">
        <f t="shared" si="1"/>
        <v>4.5399999999999998E-3</v>
      </c>
      <c r="E32" s="8">
        <f t="shared" si="2"/>
        <v>4.9416754138975729E-3</v>
      </c>
      <c r="F32">
        <f t="shared" si="3"/>
        <v>4.9416754138975731</v>
      </c>
      <c r="G32">
        <f>F32*A32</f>
        <v>153.19193783082477</v>
      </c>
      <c r="H32">
        <f t="shared" si="4"/>
        <v>0.49379596381424151</v>
      </c>
      <c r="I32">
        <f t="shared" si="5"/>
        <v>75.645560589743482</v>
      </c>
    </row>
    <row r="33" spans="1:12">
      <c r="A33">
        <v>32</v>
      </c>
      <c r="B33">
        <v>0.1065</v>
      </c>
      <c r="C33">
        <f t="shared" si="0"/>
        <v>4.0167541389757311E-4</v>
      </c>
      <c r="D33" s="8">
        <f t="shared" si="1"/>
        <v>4.5399999999999998E-3</v>
      </c>
      <c r="E33" s="8">
        <f t="shared" si="2"/>
        <v>4.9416754138975729E-3</v>
      </c>
      <c r="F33">
        <f t="shared" si="3"/>
        <v>4.9416754138975731</v>
      </c>
      <c r="G33">
        <f>F33*A33</f>
        <v>158.13361324472234</v>
      </c>
      <c r="H33">
        <f t="shared" si="4"/>
        <v>0.48268296564973112</v>
      </c>
      <c r="I33">
        <f t="shared" si="5"/>
        <v>76.328401409870182</v>
      </c>
    </row>
    <row r="34" spans="1:12">
      <c r="A34">
        <v>33</v>
      </c>
      <c r="B34">
        <v>0.11650000000000001</v>
      </c>
      <c r="C34">
        <f t="shared" si="0"/>
        <v>4.3739242301588099E-4</v>
      </c>
      <c r="D34" s="8">
        <f t="shared" si="1"/>
        <v>4.5399999999999998E-3</v>
      </c>
      <c r="E34" s="8">
        <f t="shared" si="2"/>
        <v>4.9773924230158808E-3</v>
      </c>
      <c r="F34">
        <f t="shared" si="3"/>
        <v>4.977392423015881</v>
      </c>
      <c r="G34">
        <f>F34*A34</f>
        <v>164.25394995952408</v>
      </c>
      <c r="H34">
        <f t="shared" si="4"/>
        <v>0.47182006820951683</v>
      </c>
      <c r="I34">
        <f t="shared" si="5"/>
        <v>77.498309873585214</v>
      </c>
      <c r="L34" s="9"/>
    </row>
    <row r="35" spans="1:12">
      <c r="A35">
        <v>34</v>
      </c>
      <c r="B35">
        <v>0.1265</v>
      </c>
      <c r="C35">
        <f t="shared" si="0"/>
        <v>4.727922107445881E-4</v>
      </c>
      <c r="D35" s="8">
        <f t="shared" si="1"/>
        <v>4.5399999999999998E-3</v>
      </c>
      <c r="E35" s="8">
        <f t="shared" si="2"/>
        <v>5.0127922107445879E-3</v>
      </c>
      <c r="F35">
        <f t="shared" si="3"/>
        <v>5.0127922107445881</v>
      </c>
      <c r="G35">
        <f>F35*A35</f>
        <v>170.43493516531601</v>
      </c>
      <c r="H35">
        <f t="shared" si="4"/>
        <v>0.46120164291602045</v>
      </c>
      <c r="I35">
        <f t="shared" si="5"/>
        <v>78.604872108529165</v>
      </c>
    </row>
    <row r="36" spans="1:12">
      <c r="A36">
        <v>35</v>
      </c>
      <c r="B36">
        <v>0.1265</v>
      </c>
      <c r="C36">
        <f t="shared" si="0"/>
        <v>4.727922107445881E-4</v>
      </c>
      <c r="D36" s="8">
        <f t="shared" si="1"/>
        <v>4.5399999999999998E-3</v>
      </c>
      <c r="E36" s="8">
        <f t="shared" si="2"/>
        <v>5.0127922107445879E-3</v>
      </c>
      <c r="F36">
        <f t="shared" si="3"/>
        <v>5.0127922107445881</v>
      </c>
      <c r="G36">
        <f>F36*A36</f>
        <v>175.44772737606058</v>
      </c>
      <c r="H36">
        <f t="shared" si="4"/>
        <v>0.45082218786417039</v>
      </c>
      <c r="I36">
        <f t="shared" si="5"/>
        <v>79.095728311472129</v>
      </c>
    </row>
    <row r="37" spans="1:12">
      <c r="A37">
        <v>36</v>
      </c>
      <c r="B37">
        <v>0.13150000000000001</v>
      </c>
      <c r="C37">
        <f t="shared" si="0"/>
        <v>4.9037490119197003E-4</v>
      </c>
      <c r="D37" s="8">
        <f t="shared" si="1"/>
        <v>4.5399999999999998E-3</v>
      </c>
      <c r="E37" s="8">
        <f t="shared" si="2"/>
        <v>5.0303749011919698E-3</v>
      </c>
      <c r="F37">
        <f t="shared" si="3"/>
        <v>5.0303749011919701</v>
      </c>
      <c r="G37">
        <f>F37*A37</f>
        <v>181.09349644291092</v>
      </c>
      <c r="H37">
        <f t="shared" si="4"/>
        <v>0.44067632497060533</v>
      </c>
      <c r="I37">
        <f t="shared" si="5"/>
        <v>79.803616488539376</v>
      </c>
    </row>
    <row r="38" spans="1:12">
      <c r="A38">
        <v>37</v>
      </c>
      <c r="B38">
        <v>0.13650000000000001</v>
      </c>
      <c r="C38">
        <f t="shared" si="0"/>
        <v>5.0788037326188196E-4</v>
      </c>
      <c r="D38" s="8">
        <f t="shared" si="1"/>
        <v>4.5399999999999998E-3</v>
      </c>
      <c r="E38" s="8">
        <f t="shared" si="2"/>
        <v>5.0478803732618817E-3</v>
      </c>
      <c r="F38">
        <f t="shared" si="3"/>
        <v>5.047880373261882</v>
      </c>
      <c r="G38">
        <f>F38*A38</f>
        <v>186.77157381068963</v>
      </c>
      <c r="H38">
        <f t="shared" si="4"/>
        <v>0.4307587971870373</v>
      </c>
      <c r="I38">
        <f t="shared" si="5"/>
        <v>80.453498483422621</v>
      </c>
    </row>
    <row r="39" spans="1:12">
      <c r="A39">
        <v>38</v>
      </c>
      <c r="B39">
        <v>0.13650000000000001</v>
      </c>
      <c r="C39">
        <f t="shared" si="0"/>
        <v>5.0788037326188196E-4</v>
      </c>
      <c r="D39" s="8">
        <f t="shared" si="1"/>
        <v>4.5399999999999998E-3</v>
      </c>
      <c r="E39" s="8">
        <f t="shared" si="2"/>
        <v>5.0478803732618817E-3</v>
      </c>
      <c r="F39">
        <f t="shared" si="3"/>
        <v>5.047880373261882</v>
      </c>
      <c r="G39">
        <f>F39*A39</f>
        <v>191.81945418395151</v>
      </c>
      <c r="H39">
        <f t="shared" si="4"/>
        <v>0.42106446577632717</v>
      </c>
      <c r="I39">
        <f t="shared" si="5"/>
        <v>80.768356001472213</v>
      </c>
    </row>
    <row r="40" spans="1:12">
      <c r="A40">
        <v>39</v>
      </c>
      <c r="B40">
        <v>0.13650000000000001</v>
      </c>
      <c r="C40">
        <f t="shared" si="0"/>
        <v>5.0788037326188196E-4</v>
      </c>
      <c r="D40" s="8">
        <f t="shared" si="1"/>
        <v>4.5399999999999998E-3</v>
      </c>
      <c r="E40" s="8">
        <f t="shared" si="2"/>
        <v>5.0478803732618817E-3</v>
      </c>
      <c r="F40">
        <f t="shared" si="3"/>
        <v>5.047880373261882</v>
      </c>
      <c r="G40">
        <f>F40*A40</f>
        <v>196.86733455721341</v>
      </c>
      <c r="H40">
        <f t="shared" si="4"/>
        <v>0.41158830764986437</v>
      </c>
      <c r="I40">
        <f t="shared" si="5"/>
        <v>81.028293061943131</v>
      </c>
    </row>
    <row r="41" spans="1:12">
      <c r="A41">
        <v>40</v>
      </c>
      <c r="B41">
        <v>0.13650000000000001</v>
      </c>
      <c r="C41">
        <f t="shared" si="0"/>
        <v>5.0788037326188196E-4</v>
      </c>
      <c r="D41" s="8">
        <f t="shared" si="1"/>
        <v>4.5399999999999998E-3</v>
      </c>
      <c r="E41" s="8">
        <f t="shared" si="2"/>
        <v>5.0478803732618817E-3</v>
      </c>
      <c r="F41">
        <f t="shared" si="3"/>
        <v>5.047880373261882</v>
      </c>
      <c r="G41">
        <f>F41*A41</f>
        <v>201.91521493047529</v>
      </c>
      <c r="H41">
        <f t="shared" si="4"/>
        <v>0.40232541276486777</v>
      </c>
      <c r="I41">
        <f t="shared" si="5"/>
        <v>81.235622190410467</v>
      </c>
    </row>
    <row r="42" spans="1:12">
      <c r="A42">
        <v>41</v>
      </c>
      <c r="B42">
        <v>0.13658000000000001</v>
      </c>
      <c r="C42">
        <f t="shared" si="0"/>
        <v>5.081598368916751E-4</v>
      </c>
      <c r="D42" s="8">
        <f t="shared" si="1"/>
        <v>4.5399999999999998E-3</v>
      </c>
      <c r="E42" s="8">
        <f t="shared" si="2"/>
        <v>5.0481598368916749E-3</v>
      </c>
      <c r="F42">
        <f t="shared" si="3"/>
        <v>5.0481598368916751</v>
      </c>
      <c r="G42">
        <f>F42*A42</f>
        <v>206.97455331255867</v>
      </c>
      <c r="H42">
        <f t="shared" si="4"/>
        <v>0.39327098158026252</v>
      </c>
      <c r="I42">
        <f t="shared" si="5"/>
        <v>81.397085743366318</v>
      </c>
    </row>
    <row r="43" spans="1:12">
      <c r="A43">
        <v>42</v>
      </c>
      <c r="B43">
        <v>0.13674</v>
      </c>
      <c r="C43">
        <f t="shared" si="0"/>
        <v>5.0871870537871899E-4</v>
      </c>
      <c r="D43" s="8">
        <f t="shared" si="1"/>
        <v>4.5399999999999998E-3</v>
      </c>
      <c r="E43" s="8">
        <f t="shared" si="2"/>
        <v>5.0487187053787188E-3</v>
      </c>
      <c r="F43">
        <f t="shared" si="3"/>
        <v>5.048718705378719</v>
      </c>
      <c r="G43">
        <f>F43*A43</f>
        <v>212.04618562590619</v>
      </c>
      <c r="H43">
        <f t="shared" si="4"/>
        <v>0.3844203225698119</v>
      </c>
      <c r="I43">
        <f t="shared" si="5"/>
        <v>81.514863078009071</v>
      </c>
    </row>
    <row r="44" spans="1:12">
      <c r="A44">
        <v>43</v>
      </c>
      <c r="B44">
        <v>0.13689999999999999</v>
      </c>
      <c r="C44">
        <f t="shared" si="0"/>
        <v>5.0927749552087676E-4</v>
      </c>
      <c r="D44" s="8">
        <f t="shared" si="1"/>
        <v>4.5399999999999998E-3</v>
      </c>
      <c r="E44" s="8">
        <f t="shared" si="2"/>
        <v>5.0492774955208765E-3</v>
      </c>
      <c r="F44">
        <f t="shared" si="3"/>
        <v>5.0492774955208768</v>
      </c>
      <c r="G44">
        <f>F44*A44</f>
        <v>217.1189323073977</v>
      </c>
      <c r="H44">
        <f t="shared" si="4"/>
        <v>0.37576884979121733</v>
      </c>
      <c r="I44">
        <f t="shared" si="5"/>
        <v>81.586531461048011</v>
      </c>
    </row>
    <row r="45" spans="1:12">
      <c r="A45">
        <v>44</v>
      </c>
      <c r="B45">
        <v>0.13700000000000001</v>
      </c>
      <c r="C45">
        <f t="shared" si="0"/>
        <v>5.096266995849863E-4</v>
      </c>
      <c r="D45" s="8">
        <f t="shared" si="1"/>
        <v>4.5399999999999998E-3</v>
      </c>
      <c r="E45" s="8">
        <f t="shared" si="2"/>
        <v>5.0496266995849861E-3</v>
      </c>
      <c r="F45">
        <f t="shared" si="3"/>
        <v>5.0496266995849863</v>
      </c>
      <c r="G45">
        <f>F45*A45</f>
        <v>222.1835747817394</v>
      </c>
      <c r="H45">
        <f t="shared" si="4"/>
        <v>0.36731208050992581</v>
      </c>
      <c r="I45">
        <f t="shared" si="5"/>
        <v>81.61071110821338</v>
      </c>
    </row>
    <row r="46" spans="1:12">
      <c r="A46">
        <v>45</v>
      </c>
      <c r="B46">
        <v>0.13694999999999999</v>
      </c>
      <c r="C46">
        <f t="shared" si="0"/>
        <v>5.0945210137687269E-4</v>
      </c>
      <c r="D46" s="8">
        <f t="shared" si="1"/>
        <v>4.5399999999999998E-3</v>
      </c>
      <c r="E46" s="8">
        <f t="shared" si="2"/>
        <v>5.0494521013768725E-3</v>
      </c>
      <c r="F46">
        <f t="shared" si="3"/>
        <v>5.0494521013768727</v>
      </c>
      <c r="G46">
        <f>F46*A46</f>
        <v>227.22534456195928</v>
      </c>
      <c r="H46">
        <f t="shared" si="4"/>
        <v>0.35904563287641528</v>
      </c>
      <c r="I46">
        <f t="shared" si="5"/>
        <v>81.584267643810193</v>
      </c>
    </row>
    <row r="47" spans="1:12">
      <c r="A47">
        <v>46</v>
      </c>
      <c r="B47">
        <v>0.13689999999999999</v>
      </c>
      <c r="C47">
        <f t="shared" si="0"/>
        <v>5.0927749552087676E-4</v>
      </c>
      <c r="D47" s="8">
        <f t="shared" si="1"/>
        <v>4.5399999999999998E-3</v>
      </c>
      <c r="E47" s="8">
        <f t="shared" si="2"/>
        <v>5.0492774955208765E-3</v>
      </c>
      <c r="F47">
        <f t="shared" si="3"/>
        <v>5.0492774955208768</v>
      </c>
      <c r="G47">
        <f>F47*A47</f>
        <v>232.26676479396033</v>
      </c>
      <c r="H47">
        <f t="shared" si="4"/>
        <v>0.35096522365575161</v>
      </c>
      <c r="I47">
        <f t="shared" si="5"/>
        <v>81.517557053710149</v>
      </c>
    </row>
    <row r="48" spans="1:12">
      <c r="A48">
        <v>47</v>
      </c>
      <c r="B48">
        <v>0.13669999999999999</v>
      </c>
      <c r="C48">
        <f t="shared" si="0"/>
        <v>5.0857899560274866E-4</v>
      </c>
      <c r="D48" s="8">
        <f t="shared" si="1"/>
        <v>4.5399999999999998E-3</v>
      </c>
      <c r="E48" s="8">
        <f t="shared" si="2"/>
        <v>5.0485789956027484E-3</v>
      </c>
      <c r="F48">
        <f t="shared" si="3"/>
        <v>5.0485789956027487</v>
      </c>
      <c r="G48">
        <f>F48*A48</f>
        <v>237.2832127933292</v>
      </c>
      <c r="H48">
        <f t="shared" si="4"/>
        <v>0.34306666600824409</v>
      </c>
      <c r="I48">
        <f t="shared" si="5"/>
        <v>81.403960712732186</v>
      </c>
    </row>
    <row r="49" spans="1:9">
      <c r="A49">
        <v>48</v>
      </c>
      <c r="B49">
        <v>0.13600000000000001</v>
      </c>
      <c r="C49">
        <f t="shared" si="0"/>
        <v>5.0613328152837589E-4</v>
      </c>
      <c r="D49" s="8">
        <f t="shared" si="1"/>
        <v>4.5399999999999998E-3</v>
      </c>
      <c r="E49" s="8">
        <f t="shared" si="2"/>
        <v>5.0461332815283757E-3</v>
      </c>
      <c r="F49">
        <f t="shared" si="3"/>
        <v>5.0461332815283759</v>
      </c>
      <c r="G49">
        <f>F49*A49</f>
        <v>242.21439751336203</v>
      </c>
      <c r="H49">
        <f t="shared" si="4"/>
        <v>0.33534586732004634</v>
      </c>
      <c r="I49">
        <f t="shared" si="5"/>
        <v>81.225597211520864</v>
      </c>
    </row>
    <row r="50" spans="1:9">
      <c r="A50">
        <v>49</v>
      </c>
      <c r="B50">
        <v>0.1351</v>
      </c>
      <c r="C50">
        <f t="shared" si="0"/>
        <v>5.0298658542669017E-4</v>
      </c>
      <c r="D50" s="8">
        <f t="shared" si="1"/>
        <v>4.5399999999999998E-3</v>
      </c>
      <c r="E50" s="8">
        <f t="shared" si="2"/>
        <v>5.0429865854266899E-3</v>
      </c>
      <c r="F50">
        <f t="shared" si="3"/>
        <v>5.0429865854266902</v>
      </c>
      <c r="G50">
        <f>F50*A50</f>
        <v>247.10634268590783</v>
      </c>
      <c r="H50">
        <f t="shared" si="4"/>
        <v>0.32779882708258151</v>
      </c>
      <c r="I50">
        <f t="shared" si="5"/>
        <v>81.001169297107026</v>
      </c>
    </row>
    <row r="51" spans="1:9">
      <c r="A51">
        <v>50</v>
      </c>
      <c r="B51">
        <v>0.13405</v>
      </c>
      <c r="C51">
        <f t="shared" si="0"/>
        <v>4.9931229762134599E-4</v>
      </c>
      <c r="D51" s="8">
        <f t="shared" si="1"/>
        <v>4.5399999999999998E-3</v>
      </c>
      <c r="E51" s="8">
        <f t="shared" si="2"/>
        <v>5.0393122976213458E-3</v>
      </c>
      <c r="F51">
        <f t="shared" si="3"/>
        <v>5.039312297621346</v>
      </c>
      <c r="G51">
        <f>F51*A51</f>
        <v>251.9656148810673</v>
      </c>
      <c r="H51">
        <f t="shared" si="4"/>
        <v>0.32042163481969016</v>
      </c>
      <c r="I51">
        <f t="shared" si="5"/>
        <v>80.735234238540031</v>
      </c>
    </row>
    <row r="52" spans="1:9">
      <c r="A52">
        <v>51</v>
      </c>
      <c r="B52">
        <v>0.13285</v>
      </c>
      <c r="C52">
        <f t="shared" si="0"/>
        <v>4.9510896013260641E-4</v>
      </c>
      <c r="D52" s="8">
        <f t="shared" si="1"/>
        <v>4.5399999999999998E-3</v>
      </c>
      <c r="E52" s="8">
        <f t="shared" si="2"/>
        <v>5.0351089601326062E-3</v>
      </c>
      <c r="F52">
        <f t="shared" si="3"/>
        <v>5.0351089601326064</v>
      </c>
      <c r="G52">
        <f>F52*A52</f>
        <v>256.79055696676295</v>
      </c>
      <c r="H52">
        <f t="shared" si="4"/>
        <v>0.31321046806142938</v>
      </c>
      <c r="I52">
        <f t="shared" si="5"/>
        <v>80.429490541314962</v>
      </c>
    </row>
    <row r="53" spans="1:9">
      <c r="A53">
        <v>52</v>
      </c>
      <c r="B53">
        <v>0.13285</v>
      </c>
      <c r="C53">
        <f t="shared" si="0"/>
        <v>4.9510896013260641E-4</v>
      </c>
      <c r="D53" s="8">
        <f t="shared" si="1"/>
        <v>4.5399999999999998E-3</v>
      </c>
      <c r="E53" s="8">
        <f t="shared" si="2"/>
        <v>5.0351089601326062E-3</v>
      </c>
      <c r="F53">
        <f t="shared" si="3"/>
        <v>5.0351089601326064</v>
      </c>
      <c r="G53">
        <f>F53*A53</f>
        <v>261.82566592689551</v>
      </c>
      <c r="H53">
        <f t="shared" si="4"/>
        <v>0.3061615903634709</v>
      </c>
      <c r="I53">
        <f t="shared" si="5"/>
        <v>80.160962278153164</v>
      </c>
    </row>
    <row r="54" spans="1:9">
      <c r="A54">
        <v>53</v>
      </c>
      <c r="B54">
        <v>0.13285</v>
      </c>
      <c r="C54">
        <f t="shared" si="0"/>
        <v>4.9510896013260641E-4</v>
      </c>
      <c r="D54" s="8">
        <f t="shared" si="1"/>
        <v>4.5399999999999998E-3</v>
      </c>
      <c r="E54" s="8">
        <f t="shared" si="2"/>
        <v>5.0351089601326062E-3</v>
      </c>
      <c r="F54">
        <f t="shared" si="3"/>
        <v>5.0351089601326064</v>
      </c>
      <c r="G54">
        <f>F54*A54</f>
        <v>266.86077488702813</v>
      </c>
      <c r="H54">
        <f t="shared" si="4"/>
        <v>0.29927134937107436</v>
      </c>
      <c r="I54">
        <f t="shared" si="5"/>
        <v>79.863784194651416</v>
      </c>
    </row>
    <row r="55" spans="1:9">
      <c r="A55">
        <v>54</v>
      </c>
      <c r="B55">
        <v>0.1295</v>
      </c>
      <c r="C55">
        <f t="shared" si="0"/>
        <v>4.8335112941000347E-4</v>
      </c>
      <c r="D55" s="8">
        <f t="shared" si="1"/>
        <v>4.5399999999999998E-3</v>
      </c>
      <c r="E55" s="8">
        <f t="shared" si="2"/>
        <v>5.0233511294100032E-3</v>
      </c>
      <c r="F55">
        <f t="shared" si="3"/>
        <v>5.0233511294100035</v>
      </c>
      <c r="G55">
        <f>F55*A55</f>
        <v>271.2609609881402</v>
      </c>
      <c r="H55">
        <f t="shared" si="4"/>
        <v>0.29253617492663025</v>
      </c>
      <c r="I55">
        <f t="shared" si="5"/>
        <v>79.353643934392409</v>
      </c>
    </row>
    <row r="56" spans="1:9">
      <c r="A56">
        <v>55</v>
      </c>
      <c r="B56">
        <v>0.1295</v>
      </c>
      <c r="C56">
        <f t="shared" si="0"/>
        <v>4.8335112941000347E-4</v>
      </c>
      <c r="D56" s="8">
        <f t="shared" si="1"/>
        <v>4.5399999999999998E-3</v>
      </c>
      <c r="E56" s="8">
        <f t="shared" si="2"/>
        <v>5.0233511294100032E-3</v>
      </c>
      <c r="F56">
        <f t="shared" si="3"/>
        <v>5.0233511294100035</v>
      </c>
      <c r="G56">
        <f>F56*A56</f>
        <v>276.2843121175502</v>
      </c>
      <c r="H56">
        <f t="shared" si="4"/>
        <v>0.28595257721979378</v>
      </c>
      <c r="I56">
        <f t="shared" si="5"/>
        <v>79.004211095411378</v>
      </c>
    </row>
    <row r="57" spans="1:9">
      <c r="A57">
        <v>56</v>
      </c>
      <c r="B57">
        <v>0.1295</v>
      </c>
      <c r="C57">
        <f t="shared" si="0"/>
        <v>4.8335112941000347E-4</v>
      </c>
      <c r="D57" s="8">
        <f t="shared" si="1"/>
        <v>4.5399999999999998E-3</v>
      </c>
      <c r="E57" s="8">
        <f t="shared" si="2"/>
        <v>5.0233511294100032E-3</v>
      </c>
      <c r="F57">
        <f t="shared" si="3"/>
        <v>5.0233511294100035</v>
      </c>
      <c r="G57">
        <f>F57*A57</f>
        <v>281.3076632469602</v>
      </c>
      <c r="H57">
        <f t="shared" si="4"/>
        <v>0.27951714497925001</v>
      </c>
      <c r="I57">
        <f t="shared" si="5"/>
        <v>78.630314891574614</v>
      </c>
    </row>
    <row r="58" spans="1:9">
      <c r="A58">
        <v>57</v>
      </c>
      <c r="B58">
        <v>0.12570000000000001</v>
      </c>
      <c r="C58">
        <f t="shared" si="0"/>
        <v>4.6997176872420887E-4</v>
      </c>
      <c r="D58" s="8">
        <f t="shared" si="1"/>
        <v>4.5399999999999998E-3</v>
      </c>
      <c r="E58" s="8">
        <f t="shared" si="2"/>
        <v>5.0099717687242086E-3</v>
      </c>
      <c r="F58">
        <f t="shared" si="3"/>
        <v>5.0099717687242089</v>
      </c>
      <c r="G58">
        <f>F58*A58</f>
        <v>285.56839081727992</v>
      </c>
      <c r="H58">
        <f t="shared" si="4"/>
        <v>0.27322654370517369</v>
      </c>
      <c r="I58">
        <f t="shared" si="5"/>
        <v>78.024864414453646</v>
      </c>
    </row>
    <row r="59" spans="1:9">
      <c r="A59">
        <v>58</v>
      </c>
      <c r="B59">
        <v>0.12570000000000001</v>
      </c>
      <c r="C59">
        <f t="shared" si="0"/>
        <v>4.6997176872420887E-4</v>
      </c>
      <c r="D59" s="8">
        <f t="shared" si="1"/>
        <v>4.5399999999999998E-3</v>
      </c>
      <c r="E59" s="8">
        <f t="shared" si="2"/>
        <v>5.0099717687242086E-3</v>
      </c>
      <c r="F59">
        <f t="shared" si="3"/>
        <v>5.0099717687242089</v>
      </c>
      <c r="G59">
        <f>F59*A59</f>
        <v>290.57836258600412</v>
      </c>
      <c r="H59">
        <f t="shared" si="4"/>
        <v>0.26707751394146878</v>
      </c>
      <c r="I59">
        <f t="shared" si="5"/>
        <v>77.606946684652684</v>
      </c>
    </row>
    <row r="60" spans="1:9">
      <c r="A60">
        <v>59</v>
      </c>
      <c r="B60">
        <v>0.12570000000000001</v>
      </c>
      <c r="C60">
        <f t="shared" si="0"/>
        <v>4.6997176872420887E-4</v>
      </c>
      <c r="D60" s="8">
        <f t="shared" si="1"/>
        <v>4.5399999999999998E-3</v>
      </c>
      <c r="E60" s="8">
        <f t="shared" si="2"/>
        <v>5.0099717687242086E-3</v>
      </c>
      <c r="F60">
        <f t="shared" si="3"/>
        <v>5.0099717687242089</v>
      </c>
      <c r="G60">
        <f>F60*A60</f>
        <v>295.58833435472832</v>
      </c>
      <c r="H60">
        <f t="shared" si="4"/>
        <v>0.26106686958689074</v>
      </c>
      <c r="I60">
        <f t="shared" si="5"/>
        <v>77.168321136392109</v>
      </c>
    </row>
    <row r="61" spans="1:9">
      <c r="H61" t="s">
        <v>4</v>
      </c>
      <c r="I61">
        <f>SUM(I2:I60)</f>
        <v>3708.7846656586848</v>
      </c>
    </row>
    <row r="62" spans="1:9">
      <c r="A62" t="s">
        <v>98</v>
      </c>
      <c r="D62">
        <v>1000</v>
      </c>
      <c r="H62" t="s">
        <v>5</v>
      </c>
      <c r="I62">
        <f>(A60*D62)*H60</f>
        <v>15402.945305626554</v>
      </c>
    </row>
    <row r="63" spans="1:9">
      <c r="A63" t="s">
        <v>90</v>
      </c>
      <c r="D63">
        <v>417.39972499999999</v>
      </c>
      <c r="H63" t="s">
        <v>6</v>
      </c>
      <c r="I63">
        <f>SUM(I61:I62)</f>
        <v>19111.72997128524</v>
      </c>
    </row>
    <row r="64" spans="1:9">
      <c r="A64" t="s">
        <v>118</v>
      </c>
      <c r="D64">
        <v>2.3023390000000001E-2</v>
      </c>
      <c r="H64" t="s">
        <v>89</v>
      </c>
      <c r="I64">
        <f>(I63/D63)/12</f>
        <v>3.8156329984974717</v>
      </c>
    </row>
    <row r="65" spans="1:9">
      <c r="A65" t="s">
        <v>119</v>
      </c>
      <c r="D65">
        <f>F40/417.399725</f>
        <v>1.2093636078130819E-2</v>
      </c>
      <c r="H65" t="s">
        <v>18</v>
      </c>
      <c r="I65">
        <f>I64/(1+D64)</f>
        <v>3.7297612506176145</v>
      </c>
    </row>
    <row r="66" spans="1:9">
      <c r="A66" t="s">
        <v>19</v>
      </c>
      <c r="D66" t="s">
        <v>120</v>
      </c>
    </row>
    <row r="67" spans="1:9">
      <c r="E67" s="8"/>
    </row>
    <row r="69" spans="1:9">
      <c r="A69" s="8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20D8B-8A19-4211-BE4A-0CCDBF0D522E}">
  <sheetPr codeName="Planilha7"/>
  <dimension ref="A1:H23"/>
  <sheetViews>
    <sheetView topLeftCell="A7" workbookViewId="0">
      <selection activeCell="B23" sqref="B23"/>
    </sheetView>
  </sheetViews>
  <sheetFormatPr defaultRowHeight="15"/>
  <sheetData>
    <row r="1" spans="1:8">
      <c r="A1" t="s">
        <v>110</v>
      </c>
      <c r="B1" t="s">
        <v>123</v>
      </c>
      <c r="C1" t="s">
        <v>8</v>
      </c>
      <c r="D1" t="s">
        <v>111</v>
      </c>
      <c r="E1" t="s">
        <v>107</v>
      </c>
      <c r="F1" t="s">
        <v>12</v>
      </c>
      <c r="G1" t="s">
        <v>125</v>
      </c>
      <c r="H1" t="s">
        <v>102</v>
      </c>
    </row>
    <row r="2" spans="1:8">
      <c r="A2">
        <v>1</v>
      </c>
      <c r="B2">
        <f>(1+$B$17/100)^(1/2)-1</f>
        <v>2.0294075254776667E-2</v>
      </c>
      <c r="C2">
        <v>1.0203221693327382</v>
      </c>
      <c r="D2">
        <f>C2*$B$18</f>
        <v>1020.3221693327382</v>
      </c>
      <c r="E2">
        <f>B2*D2</f>
        <v>20.706494888555572</v>
      </c>
      <c r="F2">
        <f>A2*E2</f>
        <v>20.706494888555572</v>
      </c>
      <c r="G2">
        <f>(1+$B$21)^(-A2)</f>
        <v>0.96110644419179736</v>
      </c>
      <c r="H2">
        <f>F2*G2</f>
        <v>19.901145674015272</v>
      </c>
    </row>
    <row r="3" spans="1:8">
      <c r="A3">
        <v>2</v>
      </c>
      <c r="B3">
        <f t="shared" ref="B3:B15" si="0">(1+$B$17/100)^(1/2)-1</f>
        <v>2.0294075254776667E-2</v>
      </c>
      <c r="C3">
        <v>1.0213215599280319</v>
      </c>
      <c r="D3">
        <f t="shared" ref="D3:D15" si="1">C3*$B$18</f>
        <v>1021.3215599280319</v>
      </c>
      <c r="E3">
        <f t="shared" ref="E3:E15" si="2">B3*D3</f>
        <v>20.726776596505378</v>
      </c>
      <c r="F3">
        <f t="shared" ref="F3:F15" si="3">A3*E3</f>
        <v>41.453553193010755</v>
      </c>
      <c r="G3">
        <f t="shared" ref="G3:G15" si="4">(1+$B$21)^(-A3)</f>
        <v>0.9237255970670003</v>
      </c>
      <c r="H3">
        <f t="shared" ref="H3:H15" si="5">F3*G3</f>
        <v>38.291708173762515</v>
      </c>
    </row>
    <row r="4" spans="1:8">
      <c r="A4">
        <v>3</v>
      </c>
      <c r="B4">
        <f t="shared" si="0"/>
        <v>2.0294075254776667E-2</v>
      </c>
      <c r="C4">
        <v>1.0664136061269085</v>
      </c>
      <c r="D4">
        <f t="shared" si="1"/>
        <v>1066.4136061269085</v>
      </c>
      <c r="E4">
        <f t="shared" si="2"/>
        <v>21.641877975457245</v>
      </c>
      <c r="F4">
        <f t="shared" si="3"/>
        <v>64.925633926371731</v>
      </c>
      <c r="G4">
        <f t="shared" si="4"/>
        <v>0.88779862400600973</v>
      </c>
      <c r="H4">
        <f t="shared" si="5"/>
        <v>57.640888462550727</v>
      </c>
    </row>
    <row r="5" spans="1:8">
      <c r="A5">
        <v>4</v>
      </c>
      <c r="B5">
        <f t="shared" si="0"/>
        <v>2.0294075254776667E-2</v>
      </c>
      <c r="C5">
        <v>1.1065702141904601</v>
      </c>
      <c r="D5">
        <f t="shared" si="1"/>
        <v>1106.5702141904601</v>
      </c>
      <c r="E5">
        <f t="shared" si="2"/>
        <v>22.456819201475533</v>
      </c>
      <c r="F5">
        <f t="shared" si="3"/>
        <v>89.82727680590213</v>
      </c>
      <c r="G5">
        <f t="shared" si="4"/>
        <v>0.8532689786767863</v>
      </c>
      <c r="H5">
        <f t="shared" si="5"/>
        <v>76.646828737489088</v>
      </c>
    </row>
    <row r="6" spans="1:8">
      <c r="A6">
        <v>5</v>
      </c>
      <c r="B6">
        <f t="shared" si="0"/>
        <v>2.0294075254776667E-2</v>
      </c>
      <c r="C6">
        <v>1.1737060644285076</v>
      </c>
      <c r="D6">
        <f t="shared" si="1"/>
        <v>1173.7060644285075</v>
      </c>
      <c r="E6">
        <f t="shared" si="2"/>
        <v>23.819279198499881</v>
      </c>
      <c r="F6">
        <f t="shared" si="3"/>
        <v>119.09639599249941</v>
      </c>
      <c r="G6">
        <f t="shared" si="4"/>
        <v>0.82008231403521259</v>
      </c>
      <c r="H6">
        <f t="shared" si="5"/>
        <v>97.668848018782938</v>
      </c>
    </row>
    <row r="7" spans="1:8">
      <c r="A7">
        <v>6</v>
      </c>
      <c r="B7">
        <f t="shared" si="0"/>
        <v>2.0294075254776667E-2</v>
      </c>
      <c r="C7">
        <v>1.2381052235800747</v>
      </c>
      <c r="D7">
        <f t="shared" si="1"/>
        <v>1238.1052235800746</v>
      </c>
      <c r="E7">
        <f t="shared" si="2"/>
        <v>25.126200580666126</v>
      </c>
      <c r="F7">
        <f t="shared" si="3"/>
        <v>150.75720348399676</v>
      </c>
      <c r="G7">
        <f t="shared" si="4"/>
        <v>0.78818639678696412</v>
      </c>
      <c r="H7">
        <f t="shared" si="5"/>
        <v>118.82477700373056</v>
      </c>
    </row>
    <row r="8" spans="1:8">
      <c r="A8">
        <v>7</v>
      </c>
      <c r="B8">
        <f t="shared" si="0"/>
        <v>2.0294075254776667E-2</v>
      </c>
      <c r="C8">
        <v>1.2615052174462669</v>
      </c>
      <c r="D8">
        <f t="shared" si="1"/>
        <v>1261.5052174462669</v>
      </c>
      <c r="E8">
        <f t="shared" si="2"/>
        <v>25.601081817147943</v>
      </c>
      <c r="F8">
        <f t="shared" si="3"/>
        <v>179.20757272003561</v>
      </c>
      <c r="G8">
        <f t="shared" si="4"/>
        <v>0.75753102517626414</v>
      </c>
      <c r="H8">
        <f t="shared" si="5"/>
        <v>135.75529628195849</v>
      </c>
    </row>
    <row r="9" spans="1:8">
      <c r="A9">
        <v>8</v>
      </c>
      <c r="B9">
        <f t="shared" si="0"/>
        <v>2.0294075254776667E-2</v>
      </c>
      <c r="C9">
        <v>1.3185655720646243</v>
      </c>
      <c r="D9">
        <f t="shared" si="1"/>
        <v>1318.5655720646243</v>
      </c>
      <c r="E9">
        <f t="shared" si="2"/>
        <v>26.759068947837132</v>
      </c>
      <c r="F9">
        <f t="shared" si="3"/>
        <v>214.07255158269706</v>
      </c>
      <c r="G9">
        <f t="shared" si="4"/>
        <v>0.72806794997212609</v>
      </c>
      <c r="H9">
        <f t="shared" si="5"/>
        <v>155.85936377611645</v>
      </c>
    </row>
    <row r="10" spans="1:8">
      <c r="A10">
        <v>9</v>
      </c>
      <c r="B10">
        <f t="shared" si="0"/>
        <v>2.0294075254776667E-2</v>
      </c>
      <c r="C10">
        <v>1.355774447547347</v>
      </c>
      <c r="D10">
        <f t="shared" si="1"/>
        <v>1355.7744475473469</v>
      </c>
      <c r="E10">
        <f t="shared" si="2"/>
        <v>27.514188667029117</v>
      </c>
      <c r="F10">
        <f t="shared" si="3"/>
        <v>247.62769800326205</v>
      </c>
      <c r="G10">
        <f t="shared" si="4"/>
        <v>0.69975079852772148</v>
      </c>
      <c r="H10">
        <f t="shared" si="5"/>
        <v>173.27767941536408</v>
      </c>
    </row>
    <row r="11" spans="1:8">
      <c r="A11">
        <v>10</v>
      </c>
      <c r="B11">
        <f t="shared" si="0"/>
        <v>2.0294075254776667E-2</v>
      </c>
      <c r="C11">
        <v>1.4008569042321342</v>
      </c>
      <c r="D11">
        <f t="shared" si="1"/>
        <v>1400.8569042321342</v>
      </c>
      <c r="E11">
        <f t="shared" si="2"/>
        <v>28.4290954356604</v>
      </c>
      <c r="F11">
        <f t="shared" si="3"/>
        <v>284.290954356604</v>
      </c>
      <c r="G11">
        <f t="shared" si="4"/>
        <v>0.67253500179334902</v>
      </c>
      <c r="H11">
        <f t="shared" si="5"/>
        <v>191.19561749805158</v>
      </c>
    </row>
    <row r="12" spans="1:8">
      <c r="A12">
        <v>11</v>
      </c>
      <c r="B12">
        <f t="shared" si="0"/>
        <v>2.0294075254776667E-2</v>
      </c>
      <c r="C12">
        <v>1.4383275000381024</v>
      </c>
      <c r="D12">
        <f t="shared" si="1"/>
        <v>1438.3275000381025</v>
      </c>
      <c r="E12">
        <f t="shared" si="2"/>
        <v>29.18952652678804</v>
      </c>
      <c r="F12">
        <f t="shared" si="3"/>
        <v>321.08479179466843</v>
      </c>
      <c r="G12">
        <f t="shared" si="4"/>
        <v>0.64637772416812989</v>
      </c>
      <c r="H12">
        <f t="shared" si="5"/>
        <v>207.5420569852356</v>
      </c>
    </row>
    <row r="13" spans="1:8">
      <c r="A13">
        <v>12</v>
      </c>
      <c r="B13">
        <f t="shared" si="0"/>
        <v>2.0294075254776667E-2</v>
      </c>
      <c r="C13">
        <v>1.48469919396473</v>
      </c>
      <c r="D13">
        <f t="shared" si="1"/>
        <v>1484.6991939647301</v>
      </c>
      <c r="E13">
        <f t="shared" si="2"/>
        <v>30.130597173026491</v>
      </c>
      <c r="F13">
        <f t="shared" si="3"/>
        <v>361.5671660763179</v>
      </c>
      <c r="G13">
        <f t="shared" si="4"/>
        <v>0.62123779608001761</v>
      </c>
      <c r="H13">
        <f t="shared" si="5"/>
        <v>224.61918938814944</v>
      </c>
    </row>
    <row r="14" spans="1:8">
      <c r="A14">
        <v>13</v>
      </c>
      <c r="B14">
        <f t="shared" si="0"/>
        <v>2.0294075254776667E-2</v>
      </c>
      <c r="C14">
        <v>1.5240764659940438</v>
      </c>
      <c r="D14">
        <f t="shared" si="1"/>
        <v>1524.0764659940437</v>
      </c>
      <c r="E14">
        <f t="shared" si="2"/>
        <v>30.929722494917193</v>
      </c>
      <c r="F14">
        <f t="shared" si="3"/>
        <v>402.08639243392349</v>
      </c>
      <c r="G14">
        <f t="shared" si="4"/>
        <v>0.59707564918801459</v>
      </c>
      <c r="H14">
        <f t="shared" si="5"/>
        <v>240.07599379215168</v>
      </c>
    </row>
    <row r="15" spans="1:8">
      <c r="A15">
        <v>14</v>
      </c>
      <c r="B15">
        <f t="shared" si="0"/>
        <v>2.0294075254776667E-2</v>
      </c>
      <c r="C15">
        <v>1.5731613365131021</v>
      </c>
      <c r="D15">
        <f t="shared" si="1"/>
        <v>1573.161336513102</v>
      </c>
      <c r="E15">
        <f t="shared" si="2"/>
        <v>31.925854551101931</v>
      </c>
      <c r="F15">
        <f t="shared" si="3"/>
        <v>446.96196371542703</v>
      </c>
      <c r="G15">
        <f t="shared" si="4"/>
        <v>0.57385325410460164</v>
      </c>
      <c r="H15">
        <f t="shared" si="5"/>
        <v>256.49057733908069</v>
      </c>
    </row>
    <row r="16" spans="1:8">
      <c r="G16" t="s">
        <v>4</v>
      </c>
      <c r="H16">
        <f>SUM(H2:H15)</f>
        <v>1993.7899705464392</v>
      </c>
    </row>
    <row r="17" spans="1:8">
      <c r="A17" t="s">
        <v>124</v>
      </c>
      <c r="B17">
        <v>4.0999999999999996</v>
      </c>
      <c r="G17" t="s">
        <v>5</v>
      </c>
      <c r="H17">
        <f>(A15*B19)*G15</f>
        <v>12638.692530654231</v>
      </c>
    </row>
    <row r="18" spans="1:8">
      <c r="A18" t="s">
        <v>98</v>
      </c>
      <c r="B18">
        <v>1000</v>
      </c>
      <c r="G18" t="s">
        <v>6</v>
      </c>
      <c r="H18">
        <f>SUM(H16:H17)</f>
        <v>14632.48250120067</v>
      </c>
    </row>
    <row r="19" spans="1:8">
      <c r="A19" t="s">
        <v>112</v>
      </c>
      <c r="B19">
        <f>B18*C15</f>
        <v>1573.161336513102</v>
      </c>
      <c r="G19" t="s">
        <v>89</v>
      </c>
      <c r="H19">
        <f>(H18/B20)/2</f>
        <v>6.2427591591741596</v>
      </c>
    </row>
    <row r="20" spans="1:8">
      <c r="A20" t="s">
        <v>90</v>
      </c>
      <c r="B20">
        <v>1171.9563519999999</v>
      </c>
      <c r="G20" t="s">
        <v>18</v>
      </c>
      <c r="H20">
        <f>H19/(1+B21)</f>
        <v>5.9999560574196513</v>
      </c>
    </row>
    <row r="21" spans="1:8">
      <c r="A21" t="s">
        <v>101</v>
      </c>
      <c r="B21">
        <v>4.046748E-2</v>
      </c>
    </row>
    <row r="22" spans="1:8">
      <c r="A22" t="s">
        <v>126</v>
      </c>
      <c r="B22">
        <f>E7/B20</f>
        <v>2.1439536154897795E-2</v>
      </c>
      <c r="G22" s="6"/>
    </row>
    <row r="23" spans="1:8">
      <c r="A23" t="s">
        <v>19</v>
      </c>
      <c r="B23" t="s">
        <v>120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67A46-A425-4AF3-A430-5781CF7BFC1D}">
  <sheetPr codeName="Planilha8"/>
  <dimension ref="A1:E17"/>
  <sheetViews>
    <sheetView workbookViewId="0">
      <selection activeCell="B16" sqref="B16"/>
    </sheetView>
  </sheetViews>
  <sheetFormatPr defaultRowHeight="15"/>
  <sheetData>
    <row r="1" spans="1:5">
      <c r="A1" t="s">
        <v>96</v>
      </c>
      <c r="B1" t="s">
        <v>107</v>
      </c>
      <c r="C1" t="s">
        <v>12</v>
      </c>
      <c r="D1" t="s">
        <v>3</v>
      </c>
      <c r="E1" t="s">
        <v>102</v>
      </c>
    </row>
    <row r="2" spans="1:5">
      <c r="A2">
        <v>1</v>
      </c>
      <c r="B2">
        <v>71.592190729999999</v>
      </c>
      <c r="C2">
        <f>A2*B2</f>
        <v>71.592190729999999</v>
      </c>
      <c r="D2">
        <f>(1+$B$15)^(-A2)</f>
        <v>0.94912622680259573</v>
      </c>
      <c r="E2">
        <f>C2*D2</f>
        <v>67.950025856096673</v>
      </c>
    </row>
    <row r="3" spans="1:5">
      <c r="A3">
        <v>2</v>
      </c>
      <c r="B3">
        <v>60.92023073</v>
      </c>
      <c r="C3">
        <f t="shared" ref="C3:C11" si="0">A3*B3</f>
        <v>121.84046146</v>
      </c>
      <c r="D3">
        <f t="shared" ref="D3:D11" si="1">(1+$B$15)^(-A3)</f>
        <v>0.90084059440453246</v>
      </c>
      <c r="E3">
        <f t="shared" ref="E3:E11" si="2">C3*D3</f>
        <v>109.75883372414893</v>
      </c>
    </row>
    <row r="4" spans="1:5">
      <c r="A4">
        <v>3</v>
      </c>
      <c r="B4">
        <v>60.49663468</v>
      </c>
      <c r="C4">
        <f t="shared" si="0"/>
        <v>181.48990404</v>
      </c>
      <c r="D4">
        <f t="shared" si="1"/>
        <v>0.85501143431778148</v>
      </c>
      <c r="E4">
        <f t="shared" si="2"/>
        <v>155.17594316743691</v>
      </c>
    </row>
    <row r="5" spans="1:5">
      <c r="A5">
        <v>4</v>
      </c>
      <c r="B5">
        <v>60.535205500000004</v>
      </c>
      <c r="C5">
        <f t="shared" si="0"/>
        <v>242.14082200000001</v>
      </c>
      <c r="D5">
        <f t="shared" si="1"/>
        <v>0.81151377652711132</v>
      </c>
      <c r="E5">
        <f t="shared" si="2"/>
        <v>196.50061291259905</v>
      </c>
    </row>
    <row r="6" spans="1:5">
      <c r="A6">
        <v>5</v>
      </c>
      <c r="B6">
        <v>61.222077730000002</v>
      </c>
      <c r="C6">
        <f t="shared" si="0"/>
        <v>306.11038865</v>
      </c>
      <c r="D6">
        <f t="shared" si="1"/>
        <v>0.77022900871350208</v>
      </c>
      <c r="E6">
        <f t="shared" si="2"/>
        <v>235.77510120679437</v>
      </c>
    </row>
    <row r="7" spans="1:5">
      <c r="A7">
        <v>6</v>
      </c>
      <c r="B7">
        <v>62.408520449999997</v>
      </c>
      <c r="C7">
        <f t="shared" si="0"/>
        <v>374.45112269999998</v>
      </c>
      <c r="D7">
        <f t="shared" si="1"/>
        <v>0.73104455281414993</v>
      </c>
      <c r="E7">
        <f t="shared" si="2"/>
        <v>273.74045354497787</v>
      </c>
    </row>
    <row r="8" spans="1:5">
      <c r="A8">
        <v>7</v>
      </c>
      <c r="B8">
        <v>62.994688600000003</v>
      </c>
      <c r="C8">
        <f t="shared" si="0"/>
        <v>440.96282020000001</v>
      </c>
      <c r="D8">
        <f t="shared" si="1"/>
        <v>0.69385355803708504</v>
      </c>
      <c r="E8">
        <f t="shared" si="2"/>
        <v>305.96362175783742</v>
      </c>
    </row>
    <row r="9" spans="1:5">
      <c r="A9">
        <v>8</v>
      </c>
      <c r="B9">
        <v>63.054686869999998</v>
      </c>
      <c r="C9">
        <f t="shared" si="0"/>
        <v>504.43749495999998</v>
      </c>
      <c r="D9">
        <f t="shared" si="1"/>
        <v>0.65855460949329436</v>
      </c>
      <c r="E9">
        <f t="shared" si="2"/>
        <v>332.19963750715846</v>
      </c>
    </row>
    <row r="10" spans="1:5">
      <c r="A10">
        <v>9</v>
      </c>
      <c r="B10">
        <v>63.003965979999997</v>
      </c>
      <c r="C10">
        <f t="shared" si="0"/>
        <v>567.03569382000001</v>
      </c>
      <c r="D10">
        <f t="shared" si="1"/>
        <v>0.62505145165182729</v>
      </c>
      <c r="E10">
        <f t="shared" si="2"/>
        <v>354.42648356059209</v>
      </c>
    </row>
    <row r="11" spans="1:5">
      <c r="A11">
        <v>10</v>
      </c>
      <c r="B11">
        <v>52.408853299999997</v>
      </c>
      <c r="C11">
        <f t="shared" si="0"/>
        <v>524.08853299999998</v>
      </c>
      <c r="D11">
        <f t="shared" si="1"/>
        <v>0.59325272586378397</v>
      </c>
      <c r="E11">
        <f t="shared" si="2"/>
        <v>310.91695079620166</v>
      </c>
    </row>
    <row r="12" spans="1:5">
      <c r="D12" t="s">
        <v>4</v>
      </c>
      <c r="E12">
        <f>SUM(E2:E11)</f>
        <v>2342.4076640338435</v>
      </c>
    </row>
    <row r="13" spans="1:5">
      <c r="A13" t="s">
        <v>98</v>
      </c>
      <c r="B13">
        <v>1000</v>
      </c>
      <c r="D13" t="s">
        <v>5</v>
      </c>
      <c r="E13">
        <f>(B13*A11)*D11</f>
        <v>5932.5272586378396</v>
      </c>
    </row>
    <row r="14" spans="1:5">
      <c r="A14" t="s">
        <v>90</v>
      </c>
      <c r="B14" s="6">
        <v>1065.4097469999999</v>
      </c>
      <c r="D14" t="s">
        <v>6</v>
      </c>
      <c r="E14">
        <f>SUM(E12:E13)</f>
        <v>8274.934922671684</v>
      </c>
    </row>
    <row r="15" spans="1:5">
      <c r="A15" t="s">
        <v>132</v>
      </c>
      <c r="B15">
        <v>5.3600639999999998E-2</v>
      </c>
      <c r="D15" t="s">
        <v>89</v>
      </c>
      <c r="E15">
        <f>(E14/B14)/2</f>
        <v>3.8834518578285939</v>
      </c>
    </row>
    <row r="16" spans="1:5">
      <c r="A16" t="s">
        <v>119</v>
      </c>
      <c r="B16">
        <f>B7/B14</f>
        <v>5.8577012858884614E-2</v>
      </c>
      <c r="D16" t="s">
        <v>18</v>
      </c>
      <c r="E16">
        <f>E15/(1+B15)</f>
        <v>3.685886008790384</v>
      </c>
    </row>
    <row r="17" spans="1:2">
      <c r="A17" t="s">
        <v>19</v>
      </c>
      <c r="B17" t="s">
        <v>133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102BC-F1F4-4A0B-9AD9-5233E5FAFDF2}">
  <sheetPr codeName="Planilha9"/>
  <dimension ref="A1:E16"/>
  <sheetViews>
    <sheetView workbookViewId="0">
      <selection activeCell="B16" sqref="B16"/>
    </sheetView>
  </sheetViews>
  <sheetFormatPr defaultRowHeight="15"/>
  <cols>
    <col min="2" max="2" width="9.5703125" customWidth="1"/>
  </cols>
  <sheetData>
    <row r="1" spans="1:5">
      <c r="A1" t="s">
        <v>96</v>
      </c>
      <c r="B1" t="s">
        <v>107</v>
      </c>
      <c r="C1" t="s">
        <v>12</v>
      </c>
      <c r="D1" t="s">
        <v>3</v>
      </c>
      <c r="E1" t="s">
        <v>102</v>
      </c>
    </row>
    <row r="2" spans="1:5">
      <c r="A2">
        <v>1</v>
      </c>
      <c r="B2">
        <v>30.312843650000001</v>
      </c>
      <c r="C2">
        <f>A2*B2</f>
        <v>30.312843650000001</v>
      </c>
      <c r="D2">
        <f>(1+$B$15)^(-A2)</f>
        <v>0.96750148015632698</v>
      </c>
      <c r="E2">
        <f>C2*D2</f>
        <v>29.327721099122318</v>
      </c>
    </row>
    <row r="3" spans="1:5">
      <c r="A3">
        <v>2</v>
      </c>
      <c r="B3">
        <v>20.70988281</v>
      </c>
      <c r="C3">
        <f t="shared" ref="C3:C11" si="0">A3*B3</f>
        <v>41.41976562</v>
      </c>
      <c r="D3">
        <f t="shared" ref="D3:D11" si="1">(1+$B$15)^(-A3)</f>
        <v>0.93605911410468357</v>
      </c>
      <c r="E3">
        <f t="shared" ref="E3:E11" si="2">C3*D3</f>
        <v>38.771349112680831</v>
      </c>
    </row>
    <row r="4" spans="1:5">
      <c r="A4">
        <v>3</v>
      </c>
      <c r="B4">
        <v>11.168894269999999</v>
      </c>
      <c r="C4">
        <f t="shared" si="0"/>
        <v>33.506682810000001</v>
      </c>
      <c r="D4">
        <f t="shared" si="1"/>
        <v>0.90563857841010165</v>
      </c>
      <c r="E4">
        <f t="shared" si="2"/>
        <v>30.344944587286591</v>
      </c>
    </row>
    <row r="5" spans="1:5">
      <c r="A5">
        <v>4</v>
      </c>
      <c r="B5">
        <v>12.038478189999999</v>
      </c>
      <c r="C5">
        <f t="shared" si="0"/>
        <v>48.153912759999997</v>
      </c>
      <c r="D5">
        <f t="shared" si="1"/>
        <v>0.87620666509844503</v>
      </c>
      <c r="E5">
        <f t="shared" si="2"/>
        <v>42.192779310881058</v>
      </c>
    </row>
    <row r="6" spans="1:5">
      <c r="A6">
        <v>5</v>
      </c>
      <c r="B6">
        <v>27.51966964</v>
      </c>
      <c r="C6">
        <f t="shared" si="0"/>
        <v>137.5983482</v>
      </c>
      <c r="D6">
        <f t="shared" si="1"/>
        <v>0.84773124540558475</v>
      </c>
      <c r="E6">
        <f t="shared" si="2"/>
        <v>116.6464190853373</v>
      </c>
    </row>
    <row r="7" spans="1:5">
      <c r="A7">
        <v>6</v>
      </c>
      <c r="B7">
        <v>54.340017580000001</v>
      </c>
      <c r="C7">
        <f t="shared" si="0"/>
        <v>326.04010548000002</v>
      </c>
      <c r="D7">
        <f t="shared" si="1"/>
        <v>0.82018123470466964</v>
      </c>
      <c r="E7">
        <f t="shared" si="2"/>
        <v>267.41197627582716</v>
      </c>
    </row>
    <row r="8" spans="1:5">
      <c r="A8">
        <v>7</v>
      </c>
      <c r="B8">
        <v>67.627818790000006</v>
      </c>
      <c r="C8">
        <f t="shared" si="0"/>
        <v>473.39473153000006</v>
      </c>
      <c r="D8">
        <f t="shared" si="1"/>
        <v>0.79352655857321175</v>
      </c>
      <c r="E8">
        <f t="shared" si="2"/>
        <v>375.65129215769042</v>
      </c>
    </row>
    <row r="9" spans="1:5">
      <c r="A9">
        <v>8</v>
      </c>
      <c r="B9">
        <v>68.989394020000006</v>
      </c>
      <c r="C9">
        <f t="shared" si="0"/>
        <v>551.91515216000005</v>
      </c>
      <c r="D9">
        <f t="shared" si="1"/>
        <v>0.76773811996293873</v>
      </c>
      <c r="E9">
        <f t="shared" si="2"/>
        <v>423.72630129837768</v>
      </c>
    </row>
    <row r="10" spans="1:5">
      <c r="A10">
        <v>9</v>
      </c>
      <c r="B10">
        <v>67.838183049999998</v>
      </c>
      <c r="C10">
        <f t="shared" si="0"/>
        <v>610.54364744999998</v>
      </c>
      <c r="D10">
        <f t="shared" si="1"/>
        <v>0.74278776743657893</v>
      </c>
      <c r="E10">
        <f t="shared" si="2"/>
        <v>453.50435281197122</v>
      </c>
    </row>
    <row r="11" spans="1:5">
      <c r="A11">
        <v>10</v>
      </c>
      <c r="B11">
        <v>64.998591899999994</v>
      </c>
      <c r="C11">
        <f t="shared" si="0"/>
        <v>649.98591899999997</v>
      </c>
      <c r="D11">
        <f t="shared" si="1"/>
        <v>0.71864826443690377</v>
      </c>
      <c r="E11">
        <f t="shared" si="2"/>
        <v>467.11125259777589</v>
      </c>
    </row>
    <row r="12" spans="1:5">
      <c r="D12" t="s">
        <v>4</v>
      </c>
      <c r="E12">
        <f>SUM(E2:E11)</f>
        <v>2244.6883883369505</v>
      </c>
    </row>
    <row r="13" spans="1:5">
      <c r="A13" t="s">
        <v>106</v>
      </c>
      <c r="B13">
        <v>1000</v>
      </c>
      <c r="D13" t="s">
        <v>5</v>
      </c>
      <c r="E13">
        <f>(A11*B13)*D11</f>
        <v>7186.4826443690381</v>
      </c>
    </row>
    <row r="14" spans="1:5">
      <c r="A14" t="s">
        <v>90</v>
      </c>
      <c r="B14" s="8">
        <v>1059.64256</v>
      </c>
      <c r="D14" t="s">
        <v>6</v>
      </c>
      <c r="E14">
        <f>SUM(E12:E13)</f>
        <v>9431.1710327059882</v>
      </c>
    </row>
    <row r="15" spans="1:5">
      <c r="A15" t="s">
        <v>132</v>
      </c>
      <c r="B15">
        <v>3.3590149999999999E-2</v>
      </c>
      <c r="D15" t="s">
        <v>89</v>
      </c>
      <c r="E15">
        <f>(E14/B14)/2</f>
        <v>4.4501662110976312</v>
      </c>
    </row>
    <row r="16" spans="1:5">
      <c r="A16" t="s">
        <v>119</v>
      </c>
      <c r="B16">
        <f>B7/B14</f>
        <v>5.1281460023651748E-2</v>
      </c>
      <c r="D16" t="s">
        <v>18</v>
      </c>
      <c r="E16">
        <f>E15/(1+B15)</f>
        <v>4.3055423961786312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71F2D-CF44-419C-A2A5-FC7B213FDCF2}">
  <sheetPr codeName="Planilha10"/>
  <dimension ref="A1:F22"/>
  <sheetViews>
    <sheetView topLeftCell="A10" workbookViewId="0">
      <selection activeCell="B22" sqref="B22"/>
    </sheetView>
  </sheetViews>
  <sheetFormatPr defaultRowHeight="15"/>
  <sheetData>
    <row r="1" spans="1:5">
      <c r="A1" t="s">
        <v>96</v>
      </c>
      <c r="B1" t="s">
        <v>107</v>
      </c>
      <c r="C1" t="s">
        <v>12</v>
      </c>
      <c r="D1" t="s">
        <v>3</v>
      </c>
      <c r="E1" t="s">
        <v>102</v>
      </c>
    </row>
    <row r="2" spans="1:5">
      <c r="A2">
        <v>1</v>
      </c>
      <c r="B2">
        <v>61.439822550000002</v>
      </c>
      <c r="C2">
        <f>A2*B2</f>
        <v>61.439822550000002</v>
      </c>
      <c r="D2">
        <f>(1+$B$21)^(-A2)</f>
        <v>0.9422486830779061</v>
      </c>
      <c r="E2">
        <f>C2*D2</f>
        <v>57.891591886277737</v>
      </c>
    </row>
    <row r="3" spans="1:5">
      <c r="A3">
        <v>2</v>
      </c>
      <c r="B3">
        <v>61.063082029999997</v>
      </c>
      <c r="C3">
        <f t="shared" ref="C3:C17" si="0">A3*B3</f>
        <v>122.12616405999999</v>
      </c>
      <c r="D3">
        <f t="shared" ref="D3:D17" si="1">(1+$B$21)^(-A3)</f>
        <v>0.88783258076204852</v>
      </c>
      <c r="E3">
        <f t="shared" ref="E3:E17" si="2">C3*D3</f>
        <v>108.42758741595914</v>
      </c>
    </row>
    <row r="4" spans="1:5">
      <c r="A4">
        <v>3</v>
      </c>
      <c r="B4">
        <v>60.602969469999998</v>
      </c>
      <c r="C4">
        <f t="shared" si="0"/>
        <v>181.80890840999999</v>
      </c>
      <c r="D4">
        <f t="shared" si="1"/>
        <v>0.83655908001669899</v>
      </c>
      <c r="E4">
        <f t="shared" si="2"/>
        <v>152.09389315830987</v>
      </c>
    </row>
    <row r="5" spans="1:5">
      <c r="A5">
        <v>4</v>
      </c>
      <c r="B5">
        <v>60.448153740000002</v>
      </c>
      <c r="C5">
        <f t="shared" si="0"/>
        <v>241.79261496000001</v>
      </c>
      <c r="D5">
        <f t="shared" si="1"/>
        <v>0.7882466914625994</v>
      </c>
      <c r="E5">
        <f t="shared" si="2"/>
        <v>190.59222876231021</v>
      </c>
    </row>
    <row r="6" spans="1:5">
      <c r="A6">
        <v>5</v>
      </c>
      <c r="B6">
        <v>60.929130979999996</v>
      </c>
      <c r="C6">
        <f t="shared" si="0"/>
        <v>304.64565489999995</v>
      </c>
      <c r="D6">
        <f t="shared" si="1"/>
        <v>0.74272440697115083</v>
      </c>
      <c r="E6">
        <f t="shared" si="2"/>
        <v>226.26776337194033</v>
      </c>
    </row>
    <row r="7" spans="1:5">
      <c r="A7">
        <v>6</v>
      </c>
      <c r="B7">
        <v>62.027763950000001</v>
      </c>
      <c r="C7">
        <f t="shared" si="0"/>
        <v>372.16658369999999</v>
      </c>
      <c r="D7">
        <f t="shared" si="1"/>
        <v>0.69983109435838575</v>
      </c>
      <c r="E7">
        <f t="shared" si="2"/>
        <v>260.45374755439275</v>
      </c>
    </row>
    <row r="8" spans="1:5">
      <c r="A8">
        <v>7</v>
      </c>
      <c r="B8">
        <v>62.889112490000002</v>
      </c>
      <c r="C8">
        <f t="shared" si="0"/>
        <v>440.22378743000002</v>
      </c>
      <c r="D8">
        <f t="shared" si="1"/>
        <v>0.65941492703615889</v>
      </c>
      <c r="E8">
        <f t="shared" si="2"/>
        <v>290.290136667735</v>
      </c>
    </row>
    <row r="9" spans="1:5">
      <c r="A9">
        <v>8</v>
      </c>
      <c r="B9">
        <v>63.05136882</v>
      </c>
      <c r="C9">
        <f t="shared" si="0"/>
        <v>504.41095056</v>
      </c>
      <c r="D9">
        <f t="shared" si="1"/>
        <v>0.62133284660173427</v>
      </c>
      <c r="E9">
        <f t="shared" si="2"/>
        <v>313.40709176853147</v>
      </c>
    </row>
    <row r="10" spans="1:5">
      <c r="A10">
        <v>9</v>
      </c>
      <c r="B10">
        <v>63.036824969999998</v>
      </c>
      <c r="C10">
        <f t="shared" si="0"/>
        <v>567.33142472999998</v>
      </c>
      <c r="D10">
        <f t="shared" si="1"/>
        <v>0.58545005646353077</v>
      </c>
      <c r="E10">
        <f t="shared" si="2"/>
        <v>332.14421464171386</v>
      </c>
    </row>
    <row r="11" spans="1:5">
      <c r="A11">
        <v>10</v>
      </c>
      <c r="B11">
        <v>62.925101339999998</v>
      </c>
      <c r="C11">
        <f t="shared" si="0"/>
        <v>629.25101339999992</v>
      </c>
      <c r="D11">
        <f t="shared" si="1"/>
        <v>0.5516395447106478</v>
      </c>
      <c r="E11">
        <f t="shared" si="2"/>
        <v>347.11974254068969</v>
      </c>
    </row>
    <row r="12" spans="1:5">
      <c r="A12">
        <v>11</v>
      </c>
      <c r="B12">
        <v>62.764685569999997</v>
      </c>
      <c r="C12">
        <f t="shared" si="0"/>
        <v>690.41154126999993</v>
      </c>
      <c r="D12">
        <f t="shared" si="1"/>
        <v>0.51978163453730353</v>
      </c>
      <c r="E12">
        <f t="shared" si="2"/>
        <v>358.86323942473956</v>
      </c>
    </row>
    <row r="13" spans="1:5">
      <c r="A13">
        <v>12</v>
      </c>
      <c r="B13">
        <v>62.660052139999998</v>
      </c>
      <c r="C13">
        <f t="shared" si="0"/>
        <v>751.92062567999994</v>
      </c>
      <c r="D13">
        <f t="shared" si="1"/>
        <v>0.48976356063085585</v>
      </c>
      <c r="E13">
        <f t="shared" si="2"/>
        <v>368.26332294481773</v>
      </c>
    </row>
    <row r="14" spans="1:5">
      <c r="A14">
        <v>13</v>
      </c>
      <c r="B14">
        <v>62.608881750000002</v>
      </c>
      <c r="C14">
        <f t="shared" si="0"/>
        <v>813.91546275000007</v>
      </c>
      <c r="D14">
        <f t="shared" si="1"/>
        <v>0.46147907002397021</v>
      </c>
      <c r="E14">
        <f t="shared" si="2"/>
        <v>375.6049508279994</v>
      </c>
    </row>
    <row r="15" spans="1:5">
      <c r="A15">
        <v>14</v>
      </c>
      <c r="B15">
        <v>62.599166459999999</v>
      </c>
      <c r="C15">
        <f t="shared" si="0"/>
        <v>876.38833044</v>
      </c>
      <c r="D15">
        <f t="shared" si="1"/>
        <v>0.43482804599810271</v>
      </c>
      <c r="E15">
        <f t="shared" si="2"/>
        <v>381.07822526076478</v>
      </c>
    </row>
    <row r="16" spans="1:5">
      <c r="A16">
        <v>15</v>
      </c>
      <c r="B16">
        <v>62.591904130000003</v>
      </c>
      <c r="C16">
        <f t="shared" si="0"/>
        <v>938.87856195000006</v>
      </c>
      <c r="D16">
        <f t="shared" si="1"/>
        <v>0.4097161537070515</v>
      </c>
      <c r="E16">
        <f t="shared" si="2"/>
        <v>384.67371320016167</v>
      </c>
    </row>
    <row r="17" spans="1:6">
      <c r="A17">
        <v>16</v>
      </c>
      <c r="B17">
        <v>62.589874510000001</v>
      </c>
      <c r="C17">
        <f t="shared" si="0"/>
        <v>1001.43799216</v>
      </c>
      <c r="D17">
        <f t="shared" si="1"/>
        <v>0.38605450626621429</v>
      </c>
      <c r="E17">
        <f t="shared" si="2"/>
        <v>386.60964961955779</v>
      </c>
    </row>
    <row r="18" spans="1:6">
      <c r="D18" t="s">
        <v>4</v>
      </c>
      <c r="E18">
        <f>SUM(E2:E17)</f>
        <v>4533.7810990459011</v>
      </c>
    </row>
    <row r="19" spans="1:6">
      <c r="A19" t="s">
        <v>106</v>
      </c>
      <c r="B19">
        <v>1000</v>
      </c>
      <c r="D19" t="s">
        <v>5</v>
      </c>
      <c r="E19">
        <f>(B19*A17)*D17</f>
        <v>6176.8721002594284</v>
      </c>
    </row>
    <row r="20" spans="1:6">
      <c r="A20" t="s">
        <v>90</v>
      </c>
      <c r="B20">
        <v>1004.858942</v>
      </c>
      <c r="D20" t="s">
        <v>6</v>
      </c>
      <c r="E20">
        <f>SUM(E18:E19)</f>
        <v>10710.653199305329</v>
      </c>
      <c r="F20" s="6"/>
    </row>
    <row r="21" spans="1:6">
      <c r="A21" t="s">
        <v>101</v>
      </c>
      <c r="B21">
        <v>6.1290949999999997E-2</v>
      </c>
      <c r="D21" t="s">
        <v>89</v>
      </c>
      <c r="E21">
        <f>(E20/B20)/2</f>
        <v>5.3294312025465009</v>
      </c>
    </row>
    <row r="22" spans="1:6">
      <c r="A22" t="s">
        <v>119</v>
      </c>
      <c r="B22">
        <f>B8/B20</f>
        <v>6.2585015529473195E-2</v>
      </c>
      <c r="D22" t="s">
        <v>18</v>
      </c>
      <c r="E22">
        <f>E21/(1+B21)</f>
        <v>5.0216495321537424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C6E78-3C32-4D7B-A15E-6929D1755E1A}">
  <dimension ref="A1:J59"/>
  <sheetViews>
    <sheetView topLeftCell="A46" workbookViewId="0">
      <selection activeCell="B58" sqref="B58"/>
    </sheetView>
  </sheetViews>
  <sheetFormatPr defaultRowHeight="15"/>
  <cols>
    <col min="2" max="2" width="10.85546875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43784</v>
      </c>
      <c r="C2">
        <f>(1+$B$54)^(1/2)-1</f>
        <v>2.7131929208706884E-2</v>
      </c>
      <c r="D2">
        <v>1.0101342096012718</v>
      </c>
      <c r="E2" s="8">
        <f>$B$53*D2</f>
        <v>1010.1342096012718</v>
      </c>
      <c r="F2">
        <f>C2*E2</f>
        <v>27.406889866194788</v>
      </c>
      <c r="G2">
        <f>A2*F2</f>
        <v>27.406889866194788</v>
      </c>
      <c r="H2">
        <f>(1+$B$57)^(-A2)</f>
        <v>0.94880717527456326</v>
      </c>
      <c r="I2">
        <f>G2*H2</f>
        <v>26.003853757005331</v>
      </c>
    </row>
    <row r="3" spans="1:9">
      <c r="A3">
        <v>2</v>
      </c>
      <c r="B3" s="1">
        <v>43966</v>
      </c>
      <c r="C3">
        <f t="shared" ref="C3:C51" si="0">(1+$B$54)^(1/2)-1</f>
        <v>2.7131929208706884E-2</v>
      </c>
      <c r="D3">
        <v>1.0200992847434016</v>
      </c>
      <c r="E3" s="8">
        <f t="shared" ref="E3:E51" si="1">$B$53*D3</f>
        <v>1020.0992847434017</v>
      </c>
      <c r="F3">
        <f t="shared" ref="F3:F51" si="2">C3*E3</f>
        <v>27.6772615795105</v>
      </c>
      <c r="G3">
        <f t="shared" ref="G3:G51" si="3">A3*F3</f>
        <v>55.354523159020999</v>
      </c>
      <c r="H3">
        <f t="shared" ref="H3:H51" si="4">(1+$B$57)^(-A3)</f>
        <v>0.90023505585249586</v>
      </c>
      <c r="I3">
        <f t="shared" ref="I3:I51" si="5">G3*H3</f>
        <v>49.832082247749547</v>
      </c>
    </row>
    <row r="4" spans="1:9">
      <c r="A4">
        <v>3</v>
      </c>
      <c r="B4" s="1">
        <v>44150</v>
      </c>
      <c r="C4">
        <f t="shared" si="0"/>
        <v>2.7131929208706884E-2</v>
      </c>
      <c r="D4">
        <v>1.0536820165853531</v>
      </c>
      <c r="E4" s="8">
        <f t="shared" si="1"/>
        <v>1053.682016585353</v>
      </c>
      <c r="F4">
        <f t="shared" si="2"/>
        <v>28.58842588248131</v>
      </c>
      <c r="G4">
        <f t="shared" si="3"/>
        <v>85.765277647443924</v>
      </c>
      <c r="H4">
        <f t="shared" si="4"/>
        <v>0.85414948042654526</v>
      </c>
      <c r="I4">
        <f t="shared" si="5"/>
        <v>73.256367341202619</v>
      </c>
    </row>
    <row r="5" spans="1:9">
      <c r="A5">
        <v>4</v>
      </c>
      <c r="B5" s="1">
        <v>44331</v>
      </c>
      <c r="C5">
        <f t="shared" si="0"/>
        <v>2.7131929208706884E-2</v>
      </c>
      <c r="D5">
        <v>1.1022774856704021</v>
      </c>
      <c r="E5" s="8">
        <f t="shared" si="1"/>
        <v>1102.277485670402</v>
      </c>
      <c r="F5">
        <f t="shared" si="2"/>
        <v>29.906914709560766</v>
      </c>
      <c r="G5">
        <f t="shared" si="3"/>
        <v>119.62765883824306</v>
      </c>
      <c r="H5">
        <f t="shared" si="4"/>
        <v>0.81042315578574631</v>
      </c>
      <c r="I5">
        <f t="shared" si="5"/>
        <v>96.949024794949565</v>
      </c>
    </row>
    <row r="6" spans="1:9">
      <c r="A6">
        <v>5</v>
      </c>
      <c r="B6" s="1">
        <v>44515</v>
      </c>
      <c r="C6">
        <f t="shared" si="0"/>
        <v>2.7131929208706884E-2</v>
      </c>
      <c r="D6">
        <v>1.1668315352928589</v>
      </c>
      <c r="E6" s="8">
        <f t="shared" si="1"/>
        <v>1166.8315352928589</v>
      </c>
      <c r="F6">
        <f t="shared" si="2"/>
        <v>31.658390614052617</v>
      </c>
      <c r="G6">
        <f t="shared" si="3"/>
        <v>158.29195307026308</v>
      </c>
      <c r="H6">
        <f t="shared" si="4"/>
        <v>0.76893530521817122</v>
      </c>
      <c r="I6">
        <f t="shared" si="5"/>
        <v>121.71627124766317</v>
      </c>
    </row>
    <row r="7" spans="1:9">
      <c r="A7">
        <v>6</v>
      </c>
      <c r="B7" s="1">
        <v>44696</v>
      </c>
      <c r="C7">
        <f t="shared" si="0"/>
        <v>2.7131929208706884E-2</v>
      </c>
      <c r="D7">
        <v>1.231587098288236</v>
      </c>
      <c r="E7" s="8">
        <f t="shared" si="1"/>
        <v>1231.5870982882359</v>
      </c>
      <c r="F7">
        <f t="shared" si="2"/>
        <v>33.415333965113142</v>
      </c>
      <c r="G7">
        <f t="shared" si="3"/>
        <v>200.49200379067884</v>
      </c>
      <c r="H7">
        <f t="shared" si="4"/>
        <v>0.72957133491293724</v>
      </c>
      <c r="I7">
        <f t="shared" si="5"/>
        <v>146.27321884493523</v>
      </c>
    </row>
    <row r="8" spans="1:9">
      <c r="A8">
        <v>7</v>
      </c>
      <c r="B8" s="1">
        <v>44880</v>
      </c>
      <c r="C8">
        <f t="shared" si="0"/>
        <v>2.7131929208706884E-2</v>
      </c>
      <c r="D8">
        <v>1.2390702467819212</v>
      </c>
      <c r="E8" s="8">
        <f t="shared" si="1"/>
        <v>1239.0702467819212</v>
      </c>
      <c r="F8">
        <f t="shared" si="2"/>
        <v>33.618366220302057</v>
      </c>
      <c r="G8">
        <f t="shared" si="3"/>
        <v>235.32856354211441</v>
      </c>
      <c r="H8">
        <f t="shared" si="4"/>
        <v>0.69222251744003638</v>
      </c>
      <c r="I8">
        <f t="shared" si="5"/>
        <v>162.89973068066999</v>
      </c>
    </row>
    <row r="9" spans="1:9">
      <c r="A9">
        <v>8</v>
      </c>
      <c r="B9" s="1">
        <v>45061</v>
      </c>
      <c r="C9">
        <f t="shared" si="0"/>
        <v>2.7131929208706884E-2</v>
      </c>
      <c r="D9">
        <v>1.3153734210033687</v>
      </c>
      <c r="E9" s="8">
        <f t="shared" si="1"/>
        <v>1315.3734210033688</v>
      </c>
      <c r="F9">
        <f t="shared" si="2"/>
        <v>35.688618541677997</v>
      </c>
      <c r="G9">
        <f t="shared" si="3"/>
        <v>285.50894833342397</v>
      </c>
      <c r="H9">
        <f t="shared" si="4"/>
        <v>0.65678569143372811</v>
      </c>
      <c r="I9">
        <f t="shared" si="5"/>
        <v>187.51819204168442</v>
      </c>
    </row>
    <row r="10" spans="1:9">
      <c r="A10">
        <v>9</v>
      </c>
      <c r="B10" s="1">
        <v>45245</v>
      </c>
      <c r="C10">
        <f t="shared" si="0"/>
        <v>2.7131929208706884E-2</v>
      </c>
      <c r="D10">
        <v>1.3392222588322236</v>
      </c>
      <c r="E10" s="8">
        <f t="shared" si="1"/>
        <v>1339.2222588322236</v>
      </c>
      <c r="F10">
        <f t="shared" si="2"/>
        <v>36.335683521360416</v>
      </c>
      <c r="G10">
        <f t="shared" si="3"/>
        <v>327.02115169224373</v>
      </c>
      <c r="H10">
        <f t="shared" si="4"/>
        <v>0.62316297664998643</v>
      </c>
      <c r="I10">
        <f t="shared" si="5"/>
        <v>203.78747431604535</v>
      </c>
    </row>
    <row r="11" spans="1:9">
      <c r="A11">
        <v>10</v>
      </c>
      <c r="B11" s="1">
        <v>45427</v>
      </c>
      <c r="C11">
        <f t="shared" si="0"/>
        <v>2.7131929208706884E-2</v>
      </c>
      <c r="D11">
        <v>1.3980526888146056</v>
      </c>
      <c r="E11" s="8">
        <f t="shared" si="1"/>
        <v>1398.0526888146057</v>
      </c>
      <c r="F11">
        <f t="shared" si="2"/>
        <v>37.931866582960197</v>
      </c>
      <c r="G11">
        <f t="shared" si="3"/>
        <v>379.31866582960197</v>
      </c>
      <c r="H11">
        <f t="shared" si="4"/>
        <v>0.5912615036109623</v>
      </c>
      <c r="I11">
        <f t="shared" si="5"/>
        <v>224.2765247061146</v>
      </c>
    </row>
    <row r="12" spans="1:9">
      <c r="A12">
        <v>11</v>
      </c>
      <c r="B12" s="1">
        <v>45611</v>
      </c>
      <c r="C12">
        <f t="shared" si="0"/>
        <v>2.7131929208706884E-2</v>
      </c>
      <c r="D12">
        <v>1.421347853939797</v>
      </c>
      <c r="E12" s="8">
        <f t="shared" si="1"/>
        <v>1421.347853939797</v>
      </c>
      <c r="F12">
        <f t="shared" si="2"/>
        <v>38.563909354042025</v>
      </c>
      <c r="G12">
        <f t="shared" si="3"/>
        <v>424.20300289446226</v>
      </c>
      <c r="H12">
        <f t="shared" si="4"/>
        <v>0.56099315708970821</v>
      </c>
      <c r="I12">
        <f t="shared" si="5"/>
        <v>237.974981840699</v>
      </c>
    </row>
    <row r="13" spans="1:9">
      <c r="A13">
        <v>12</v>
      </c>
      <c r="B13" s="1">
        <v>45792</v>
      </c>
      <c r="C13">
        <f t="shared" si="0"/>
        <v>2.7131929208706884E-2</v>
      </c>
      <c r="D13">
        <v>1.4818784122901967</v>
      </c>
      <c r="E13" s="8">
        <f t="shared" si="1"/>
        <v>1481.8784122901966</v>
      </c>
      <c r="F13">
        <f t="shared" si="2"/>
        <v>40.206220178168564</v>
      </c>
      <c r="G13">
        <f t="shared" si="3"/>
        <v>482.47464213802277</v>
      </c>
      <c r="H13">
        <f t="shared" si="4"/>
        <v>0.53227433272664526</v>
      </c>
      <c r="I13">
        <f t="shared" si="5"/>
        <v>256.80886820154302</v>
      </c>
    </row>
    <row r="14" spans="1:9">
      <c r="A14">
        <v>13</v>
      </c>
      <c r="B14" s="1">
        <v>45976</v>
      </c>
      <c r="C14">
        <f t="shared" si="0"/>
        <v>2.7131929208706884E-2</v>
      </c>
      <c r="D14">
        <v>1.5061050395207021</v>
      </c>
      <c r="E14" s="8">
        <f t="shared" si="1"/>
        <v>1506.1050395207021</v>
      </c>
      <c r="F14">
        <f t="shared" si="2"/>
        <v>40.863535313152376</v>
      </c>
      <c r="G14">
        <f t="shared" si="3"/>
        <v>531.22595907098093</v>
      </c>
      <c r="H14">
        <f t="shared" si="4"/>
        <v>0.50502570610552133</v>
      </c>
      <c r="I14">
        <f t="shared" si="5"/>
        <v>268.28276508140493</v>
      </c>
    </row>
    <row r="15" spans="1:9">
      <c r="A15">
        <v>14</v>
      </c>
      <c r="B15" s="1">
        <v>46157</v>
      </c>
      <c r="C15">
        <f t="shared" si="0"/>
        <v>2.7131929208706884E-2</v>
      </c>
      <c r="D15">
        <v>1.5701778258101666</v>
      </c>
      <c r="E15" s="8">
        <f t="shared" si="1"/>
        <v>1570.1778258101667</v>
      </c>
      <c r="F15">
        <f t="shared" si="2"/>
        <v>42.601953614962731</v>
      </c>
      <c r="G15">
        <f t="shared" si="3"/>
        <v>596.42735060947825</v>
      </c>
      <c r="H15">
        <f t="shared" si="4"/>
        <v>0.47917201365102152</v>
      </c>
      <c r="I15">
        <f t="shared" si="5"/>
        <v>285.79129458808751</v>
      </c>
    </row>
    <row r="16" spans="1:9">
      <c r="A16">
        <v>15</v>
      </c>
      <c r="B16" s="1">
        <v>46341</v>
      </c>
      <c r="C16">
        <f t="shared" si="0"/>
        <v>2.7131929208706884E-2</v>
      </c>
      <c r="D16">
        <v>1.5958900534358829</v>
      </c>
      <c r="E16" s="8">
        <f t="shared" si="1"/>
        <v>1595.8900534358829</v>
      </c>
      <c r="F16">
        <f t="shared" si="2"/>
        <v>43.299575954701822</v>
      </c>
      <c r="G16">
        <f t="shared" si="3"/>
        <v>649.49363932052734</v>
      </c>
      <c r="H16">
        <f t="shared" si="4"/>
        <v>0.45464184474285019</v>
      </c>
      <c r="I16">
        <f t="shared" si="5"/>
        <v>295.28698632943195</v>
      </c>
    </row>
    <row r="17" spans="1:9">
      <c r="A17">
        <v>16</v>
      </c>
      <c r="B17" s="1">
        <v>46522</v>
      </c>
      <c r="C17">
        <f t="shared" si="0"/>
        <v>2.7131929208706884E-2</v>
      </c>
      <c r="D17">
        <v>1.6641735557019128</v>
      </c>
      <c r="E17" s="8">
        <f t="shared" si="1"/>
        <v>1664.1735557019128</v>
      </c>
      <c r="F17">
        <f t="shared" si="2"/>
        <v>45.152239104306325</v>
      </c>
      <c r="G17">
        <f t="shared" si="3"/>
        <v>722.4358256689012</v>
      </c>
      <c r="H17">
        <f t="shared" si="4"/>
        <v>0.43136744447208025</v>
      </c>
      <c r="I17">
        <f t="shared" si="5"/>
        <v>311.63529591387118</v>
      </c>
    </row>
    <row r="18" spans="1:9">
      <c r="A18">
        <v>17</v>
      </c>
      <c r="B18" s="1">
        <v>46706</v>
      </c>
      <c r="C18">
        <f t="shared" si="0"/>
        <v>2.7131929208706884E-2</v>
      </c>
      <c r="D18">
        <v>1.6915854013755949</v>
      </c>
      <c r="E18" s="8">
        <f t="shared" si="1"/>
        <v>1691.585401375595</v>
      </c>
      <c r="F18">
        <f t="shared" si="2"/>
        <v>45.895975360604666</v>
      </c>
      <c r="G18">
        <f t="shared" si="3"/>
        <v>780.23158113027932</v>
      </c>
      <c r="H18">
        <f t="shared" si="4"/>
        <v>0.40928452649496144</v>
      </c>
      <c r="I18">
        <f t="shared" si="5"/>
        <v>319.33671323932145</v>
      </c>
    </row>
    <row r="19" spans="1:9">
      <c r="A19">
        <v>18</v>
      </c>
      <c r="B19" s="1">
        <v>46888</v>
      </c>
      <c r="C19">
        <f t="shared" si="0"/>
        <v>2.7131929208706884E-2</v>
      </c>
      <c r="D19">
        <v>1.7644145857076396</v>
      </c>
      <c r="E19" s="8">
        <f t="shared" si="1"/>
        <v>1764.4145857076396</v>
      </c>
      <c r="F19">
        <f t="shared" si="2"/>
        <v>47.871971634229567</v>
      </c>
      <c r="G19">
        <f t="shared" si="3"/>
        <v>861.6954894161322</v>
      </c>
      <c r="H19">
        <f t="shared" si="4"/>
        <v>0.3883320954672716</v>
      </c>
      <c r="I19">
        <f t="shared" si="5"/>
        <v>334.62401505966278</v>
      </c>
    </row>
    <row r="20" spans="1:9">
      <c r="A20">
        <v>19</v>
      </c>
      <c r="B20" s="1">
        <v>47072</v>
      </c>
      <c r="C20">
        <f t="shared" si="0"/>
        <v>2.7131929208706884E-2</v>
      </c>
      <c r="D20">
        <v>1.7936466591887716</v>
      </c>
      <c r="E20" s="8">
        <f t="shared" si="1"/>
        <v>1793.6466591887715</v>
      </c>
      <c r="F20">
        <f t="shared" si="2"/>
        <v>48.665094182543349</v>
      </c>
      <c r="G20">
        <f t="shared" si="3"/>
        <v>924.63678946832363</v>
      </c>
      <c r="H20">
        <f t="shared" si="4"/>
        <v>0.36845227856875401</v>
      </c>
      <c r="I20">
        <f t="shared" si="5"/>
        <v>340.68453192810114</v>
      </c>
    </row>
    <row r="21" spans="1:9">
      <c r="A21">
        <v>20</v>
      </c>
      <c r="B21" s="1">
        <v>47253</v>
      </c>
      <c r="C21">
        <f t="shared" si="0"/>
        <v>2.7131929208706884E-2</v>
      </c>
      <c r="D21">
        <v>1.8712829476609447</v>
      </c>
      <c r="E21" s="8">
        <f t="shared" si="1"/>
        <v>1871.2829476609447</v>
      </c>
      <c r="F21">
        <f t="shared" si="2"/>
        <v>50.771516465397099</v>
      </c>
      <c r="G21">
        <f t="shared" si="3"/>
        <v>1015.430329307942</v>
      </c>
      <c r="H21">
        <f t="shared" si="4"/>
        <v>0.349590165652296</v>
      </c>
      <c r="I21">
        <f t="shared" si="5"/>
        <v>354.9844570311289</v>
      </c>
    </row>
    <row r="22" spans="1:9">
      <c r="A22">
        <v>21</v>
      </c>
      <c r="B22" s="1">
        <v>47437</v>
      </c>
      <c r="C22">
        <f t="shared" si="0"/>
        <v>2.7131929208706884E-2</v>
      </c>
      <c r="D22">
        <v>1.9024366338897696</v>
      </c>
      <c r="E22" s="8">
        <f t="shared" si="1"/>
        <v>1902.4366338897696</v>
      </c>
      <c r="F22">
        <f t="shared" si="2"/>
        <v>51.616776074747847</v>
      </c>
      <c r="G22">
        <f t="shared" si="3"/>
        <v>1083.9522975697048</v>
      </c>
      <c r="H22">
        <f t="shared" si="4"/>
        <v>0.33169365757632158</v>
      </c>
      <c r="I22">
        <f t="shared" si="5"/>
        <v>359.54010221915269</v>
      </c>
    </row>
    <row r="23" spans="1:9">
      <c r="A23">
        <v>22</v>
      </c>
      <c r="B23" s="1">
        <v>47618</v>
      </c>
      <c r="C23">
        <f t="shared" si="0"/>
        <v>2.7131929208706884E-2</v>
      </c>
      <c r="D23">
        <v>1.9851348225472583</v>
      </c>
      <c r="E23" s="8">
        <f t="shared" si="1"/>
        <v>1985.1348225472582</v>
      </c>
      <c r="F23">
        <f t="shared" si="2"/>
        <v>53.860537475091114</v>
      </c>
      <c r="G23">
        <f t="shared" si="3"/>
        <v>1184.9318244520045</v>
      </c>
      <c r="H23">
        <f t="shared" si="4"/>
        <v>0.31471332230147797</v>
      </c>
      <c r="I23">
        <f t="shared" si="5"/>
        <v>372.913831174042</v>
      </c>
    </row>
    <row r="24" spans="1:9">
      <c r="A24">
        <v>23</v>
      </c>
      <c r="B24" s="1">
        <v>47802</v>
      </c>
      <c r="C24">
        <f t="shared" si="0"/>
        <v>2.7131929208706884E-2</v>
      </c>
      <c r="D24">
        <v>2.0183138410920214</v>
      </c>
      <c r="E24" s="8">
        <f t="shared" si="1"/>
        <v>2018.3138410920214</v>
      </c>
      <c r="F24">
        <f t="shared" si="2"/>
        <v>54.760748257461998</v>
      </c>
      <c r="G24">
        <f t="shared" si="3"/>
        <v>1259.4972099216259</v>
      </c>
      <c r="H24">
        <f t="shared" si="4"/>
        <v>0.29860225835413851</v>
      </c>
      <c r="I24">
        <f t="shared" si="5"/>
        <v>376.08871127333396</v>
      </c>
    </row>
    <row r="25" spans="1:9">
      <c r="A25">
        <v>24</v>
      </c>
      <c r="B25" s="1">
        <v>47983</v>
      </c>
      <c r="C25">
        <f t="shared" si="0"/>
        <v>2.7131929208706884E-2</v>
      </c>
      <c r="D25">
        <v>2.106356053115344</v>
      </c>
      <c r="E25" s="8">
        <f t="shared" si="1"/>
        <v>2106.3560531153439</v>
      </c>
      <c r="F25">
        <f t="shared" si="2"/>
        <v>57.149503321456748</v>
      </c>
      <c r="G25">
        <f t="shared" si="3"/>
        <v>1371.5880797149621</v>
      </c>
      <c r="H25">
        <f t="shared" si="4"/>
        <v>0.28331596527959552</v>
      </c>
      <c r="I25">
        <f t="shared" si="5"/>
        <v>388.59280077043127</v>
      </c>
    </row>
    <row r="26" spans="1:9">
      <c r="A26">
        <v>25</v>
      </c>
      <c r="B26" s="1">
        <v>48167</v>
      </c>
      <c r="C26">
        <f t="shared" si="0"/>
        <v>2.7131929208706884E-2</v>
      </c>
      <c r="D26">
        <v>2.1416802382282341</v>
      </c>
      <c r="E26" s="8">
        <f t="shared" si="1"/>
        <v>2141.680238228234</v>
      </c>
      <c r="F26">
        <f t="shared" si="2"/>
        <v>58.107916611294939</v>
      </c>
      <c r="G26">
        <f t="shared" si="3"/>
        <v>1452.6979152823735</v>
      </c>
      <c r="H26">
        <f t="shared" si="4"/>
        <v>0.26881222072711924</v>
      </c>
      <c r="I26">
        <f t="shared" si="5"/>
        <v>390.50295265271137</v>
      </c>
    </row>
    <row r="27" spans="1:9">
      <c r="A27">
        <v>26</v>
      </c>
      <c r="B27" s="1">
        <v>48349</v>
      </c>
      <c r="C27">
        <f t="shared" si="0"/>
        <v>2.7131929208706884E-2</v>
      </c>
      <c r="D27">
        <v>2.2353673140290939</v>
      </c>
      <c r="E27" s="8">
        <f t="shared" si="1"/>
        <v>2235.3673140290939</v>
      </c>
      <c r="F27">
        <f t="shared" si="2"/>
        <v>60.649827719694628</v>
      </c>
      <c r="G27">
        <f t="shared" si="3"/>
        <v>1576.8955207120603</v>
      </c>
      <c r="H27">
        <f t="shared" si="4"/>
        <v>0.25505096382738046</v>
      </c>
      <c r="I27">
        <f t="shared" si="5"/>
        <v>402.18872241268997</v>
      </c>
    </row>
    <row r="28" spans="1:9">
      <c r="A28">
        <v>27</v>
      </c>
      <c r="B28" s="1">
        <v>48533</v>
      </c>
      <c r="C28">
        <f t="shared" si="0"/>
        <v>2.7131929208706884E-2</v>
      </c>
      <c r="D28">
        <v>2.2729506102349109</v>
      </c>
      <c r="E28" s="8">
        <f t="shared" si="1"/>
        <v>2272.950610234911</v>
      </c>
      <c r="F28">
        <f t="shared" si="2"/>
        <v>61.66953505178072</v>
      </c>
      <c r="G28">
        <f t="shared" si="3"/>
        <v>1665.0774463980795</v>
      </c>
      <c r="H28">
        <f t="shared" si="4"/>
        <v>0.24199418454011171</v>
      </c>
      <c r="I28">
        <f t="shared" si="5"/>
        <v>402.93905883723482</v>
      </c>
    </row>
    <row r="29" spans="1:9">
      <c r="A29">
        <v>28</v>
      </c>
      <c r="B29" s="1">
        <v>48714</v>
      </c>
      <c r="C29">
        <f t="shared" si="0"/>
        <v>2.7131929208706884E-2</v>
      </c>
      <c r="D29">
        <v>2.3726085954919478</v>
      </c>
      <c r="E29" s="8">
        <f t="shared" si="1"/>
        <v>2372.6085954919477</v>
      </c>
      <c r="F29">
        <f t="shared" si="2"/>
        <v>64.373448452856991</v>
      </c>
      <c r="G29">
        <f t="shared" si="3"/>
        <v>1802.4565566799956</v>
      </c>
      <c r="H29">
        <f t="shared" si="4"/>
        <v>0.22960581866637475</v>
      </c>
      <c r="I29">
        <f t="shared" si="5"/>
        <v>413.85451330708531</v>
      </c>
    </row>
    <row r="30" spans="1:9">
      <c r="A30">
        <v>29</v>
      </c>
      <c r="B30" s="1">
        <v>48898</v>
      </c>
      <c r="C30">
        <f t="shared" si="0"/>
        <v>2.7131929208706884E-2</v>
      </c>
      <c r="D30">
        <v>2.4125833658851401</v>
      </c>
      <c r="E30" s="8">
        <f t="shared" si="1"/>
        <v>2412.5833658851402</v>
      </c>
      <c r="F30">
        <f t="shared" si="2"/>
        <v>65.4580410932994</v>
      </c>
      <c r="G30">
        <f t="shared" si="3"/>
        <v>1898.2831917056826</v>
      </c>
      <c r="H30">
        <f t="shared" si="4"/>
        <v>0.21785164823544659</v>
      </c>
      <c r="I30">
        <f t="shared" si="5"/>
        <v>413.5441221307272</v>
      </c>
    </row>
    <row r="31" spans="1:9">
      <c r="A31">
        <v>30</v>
      </c>
      <c r="B31" s="1">
        <v>49079</v>
      </c>
      <c r="C31">
        <f t="shared" si="0"/>
        <v>2.7131929208706884E-2</v>
      </c>
      <c r="D31">
        <v>2.5185683576758109</v>
      </c>
      <c r="E31" s="8">
        <f t="shared" si="1"/>
        <v>2518.5683576758111</v>
      </c>
      <c r="F31">
        <f t="shared" si="2"/>
        <v>68.333618387749269</v>
      </c>
      <c r="G31">
        <f t="shared" si="3"/>
        <v>2050.008551632478</v>
      </c>
      <c r="H31">
        <f t="shared" si="4"/>
        <v>0.20669920699118191</v>
      </c>
      <c r="I31">
        <f t="shared" si="5"/>
        <v>423.73514194757462</v>
      </c>
    </row>
    <row r="32" spans="1:9">
      <c r="A32">
        <v>31</v>
      </c>
      <c r="B32" s="1">
        <v>49263</v>
      </c>
      <c r="C32">
        <f t="shared" si="0"/>
        <v>2.7131929208706884E-2</v>
      </c>
      <c r="D32">
        <v>2.5610777389704551</v>
      </c>
      <c r="E32" s="8">
        <f t="shared" si="1"/>
        <v>2561.0777389704549</v>
      </c>
      <c r="F32">
        <f t="shared" si="2"/>
        <v>69.486979911741471</v>
      </c>
      <c r="G32">
        <f t="shared" si="3"/>
        <v>2154.0963772639857</v>
      </c>
      <c r="H32">
        <f t="shared" si="4"/>
        <v>0.19611769071679558</v>
      </c>
      <c r="I32">
        <f t="shared" si="5"/>
        <v>422.45640709042817</v>
      </c>
    </row>
    <row r="33" spans="1:9">
      <c r="A33">
        <v>32</v>
      </c>
      <c r="B33" s="1">
        <v>49444</v>
      </c>
      <c r="C33">
        <f t="shared" si="0"/>
        <v>2.7131929208706884E-2</v>
      </c>
      <c r="D33">
        <v>2.6737702727832091</v>
      </c>
      <c r="E33" s="8">
        <f t="shared" si="1"/>
        <v>2673.7702727832093</v>
      </c>
      <c r="F33">
        <f t="shared" si="2"/>
        <v>72.544545761498924</v>
      </c>
      <c r="G33">
        <f t="shared" si="3"/>
        <v>2321.4254643679656</v>
      </c>
      <c r="H33">
        <f t="shared" si="4"/>
        <v>0.18607787215037325</v>
      </c>
      <c r="I33">
        <f t="shared" si="5"/>
        <v>431.96591076528313</v>
      </c>
    </row>
    <row r="34" spans="1:9">
      <c r="A34">
        <v>33</v>
      </c>
      <c r="B34" s="1">
        <v>49628</v>
      </c>
      <c r="C34">
        <f t="shared" si="0"/>
        <v>2.7131929208706884E-2</v>
      </c>
      <c r="D34">
        <v>2.7189673968299517</v>
      </c>
      <c r="E34" s="8">
        <f t="shared" si="1"/>
        <v>2718.9673968299517</v>
      </c>
      <c r="F34">
        <f t="shared" si="2"/>
        <v>73.770830931572291</v>
      </c>
      <c r="G34">
        <f t="shared" si="3"/>
        <v>2434.4374207418855</v>
      </c>
      <c r="H34">
        <f t="shared" si="4"/>
        <v>0.17655202025609695</v>
      </c>
      <c r="I34">
        <f t="shared" si="5"/>
        <v>429.80484481902181</v>
      </c>
    </row>
    <row r="35" spans="1:9">
      <c r="A35">
        <v>34</v>
      </c>
      <c r="B35" s="1">
        <v>49810</v>
      </c>
      <c r="C35">
        <f t="shared" si="0"/>
        <v>2.7131929208706884E-2</v>
      </c>
      <c r="D35">
        <v>2.8387750913647216</v>
      </c>
      <c r="E35" s="8">
        <f t="shared" si="1"/>
        <v>2838.7750913647214</v>
      </c>
      <c r="F35">
        <f t="shared" si="2"/>
        <v>77.021444818348044</v>
      </c>
      <c r="G35">
        <f t="shared" si="3"/>
        <v>2618.7291238238336</v>
      </c>
      <c r="H35">
        <f t="shared" si="4"/>
        <v>0.16751382362820483</v>
      </c>
      <c r="I35">
        <f t="shared" si="5"/>
        <v>438.67332857826904</v>
      </c>
    </row>
    <row r="36" spans="1:9">
      <c r="A36">
        <v>35</v>
      </c>
      <c r="B36" s="1">
        <v>49994</v>
      </c>
      <c r="C36">
        <f t="shared" si="0"/>
        <v>2.7131929208706884E-2</v>
      </c>
      <c r="D36">
        <v>2.8868238094505867</v>
      </c>
      <c r="E36" s="8">
        <f t="shared" si="1"/>
        <v>2886.8238094505869</v>
      </c>
      <c r="F36">
        <f t="shared" si="2"/>
        <v>78.325099236022851</v>
      </c>
      <c r="G36">
        <f t="shared" si="3"/>
        <v>2741.3784732607996</v>
      </c>
      <c r="H36">
        <f t="shared" si="4"/>
        <v>0.15893831781611845</v>
      </c>
      <c r="I36">
        <f t="shared" si="5"/>
        <v>435.71008303739052</v>
      </c>
    </row>
    <row r="37" spans="1:9">
      <c r="A37">
        <v>36</v>
      </c>
      <c r="B37" s="1">
        <v>50175</v>
      </c>
      <c r="C37">
        <f t="shared" si="0"/>
        <v>2.7131929208706884E-2</v>
      </c>
      <c r="D37">
        <v>3.0141822143361288</v>
      </c>
      <c r="E37" s="8">
        <f t="shared" si="1"/>
        <v>3014.1822143361287</v>
      </c>
      <c r="F37">
        <f t="shared" si="2"/>
        <v>81.780578461511197</v>
      </c>
      <c r="G37">
        <f t="shared" si="3"/>
        <v>2944.1008246144029</v>
      </c>
      <c r="H37">
        <f t="shared" si="4"/>
        <v>0.15080181637000212</v>
      </c>
      <c r="I37">
        <f t="shared" si="5"/>
        <v>443.97575192827298</v>
      </c>
    </row>
    <row r="38" spans="1:9">
      <c r="A38">
        <v>37</v>
      </c>
      <c r="B38" s="1">
        <v>50359</v>
      </c>
      <c r="C38">
        <f t="shared" si="0"/>
        <v>2.7131929208706884E-2</v>
      </c>
      <c r="D38">
        <v>3.0652574831552486</v>
      </c>
      <c r="E38" s="8">
        <f t="shared" si="1"/>
        <v>3065.2574831552488</v>
      </c>
      <c r="F38">
        <f t="shared" si="2"/>
        <v>83.166349039427246</v>
      </c>
      <c r="G38">
        <f t="shared" si="3"/>
        <v>3077.154914458808</v>
      </c>
      <c r="H38">
        <f t="shared" si="4"/>
        <v>0.14308184541629509</v>
      </c>
      <c r="I38">
        <f t="shared" si="5"/>
        <v>440.28500379258793</v>
      </c>
    </row>
    <row r="39" spans="1:9">
      <c r="A39">
        <v>38</v>
      </c>
      <c r="B39" s="1">
        <v>50540</v>
      </c>
      <c r="C39">
        <f t="shared" si="0"/>
        <v>2.7131929208706884E-2</v>
      </c>
      <c r="D39">
        <v>3.2006312541936728</v>
      </c>
      <c r="E39" s="8">
        <f t="shared" si="1"/>
        <v>3200.6312541936727</v>
      </c>
      <c r="F39">
        <f t="shared" si="2"/>
        <v>86.839300611957455</v>
      </c>
      <c r="G39">
        <f t="shared" si="3"/>
        <v>3299.8934232543834</v>
      </c>
      <c r="H39">
        <f t="shared" si="4"/>
        <v>0.13575708158250668</v>
      </c>
      <c r="I39">
        <f t="shared" si="5"/>
        <v>447.98390067432257</v>
      </c>
    </row>
    <row r="40" spans="1:9">
      <c r="A40">
        <v>39</v>
      </c>
      <c r="B40" s="1">
        <v>50724</v>
      </c>
      <c r="C40">
        <f t="shared" si="0"/>
        <v>2.7131929208706884E-2</v>
      </c>
      <c r="D40">
        <v>3.2549196396034485</v>
      </c>
      <c r="E40" s="8">
        <f t="shared" si="1"/>
        <v>3254.9196396034486</v>
      </c>
      <c r="F40">
        <f t="shared" si="2"/>
        <v>88.312249241750493</v>
      </c>
      <c r="G40">
        <f t="shared" si="3"/>
        <v>3444.1777204282694</v>
      </c>
      <c r="H40">
        <f t="shared" si="4"/>
        <v>0.12880729309981659</v>
      </c>
      <c r="I40">
        <f t="shared" si="5"/>
        <v>443.63520912306222</v>
      </c>
    </row>
    <row r="41" spans="1:9">
      <c r="A41">
        <v>40</v>
      </c>
      <c r="B41" s="1">
        <v>50905</v>
      </c>
      <c r="C41">
        <f t="shared" si="0"/>
        <v>2.7131929208706884E-2</v>
      </c>
      <c r="D41">
        <v>3.3988039811057478</v>
      </c>
      <c r="E41" s="8">
        <f t="shared" si="1"/>
        <v>3398.8039811057479</v>
      </c>
      <c r="F41">
        <f t="shared" si="2"/>
        <v>92.216109009632277</v>
      </c>
      <c r="G41">
        <f t="shared" si="3"/>
        <v>3688.6443603852913</v>
      </c>
      <c r="H41">
        <f t="shared" si="4"/>
        <v>0.12221328392079973</v>
      </c>
      <c r="I41">
        <f t="shared" si="5"/>
        <v>450.80134049862431</v>
      </c>
    </row>
    <row r="42" spans="1:9">
      <c r="A42">
        <v>41</v>
      </c>
      <c r="B42" s="1">
        <v>51089</v>
      </c>
      <c r="C42">
        <f t="shared" si="0"/>
        <v>2.7131929208706884E-2</v>
      </c>
      <c r="D42">
        <v>3.4565042444040808</v>
      </c>
      <c r="E42" s="8">
        <f t="shared" si="1"/>
        <v>3456.504244404081</v>
      </c>
      <c r="F42">
        <f t="shared" si="2"/>
        <v>93.781628468766399</v>
      </c>
      <c r="G42">
        <f t="shared" si="3"/>
        <v>3845.0467672194222</v>
      </c>
      <c r="H42">
        <f t="shared" si="4"/>
        <v>0.1159568406979222</v>
      </c>
      <c r="I42">
        <f t="shared" si="5"/>
        <v>445.85947546252328</v>
      </c>
    </row>
    <row r="43" spans="1:9">
      <c r="A43">
        <v>42</v>
      </c>
      <c r="B43" s="1">
        <v>51271</v>
      </c>
      <c r="C43">
        <f t="shared" si="0"/>
        <v>2.7131929208706884E-2</v>
      </c>
      <c r="D43">
        <v>3.6094264910504372</v>
      </c>
      <c r="E43" s="8">
        <f t="shared" si="1"/>
        <v>3609.4264910504371</v>
      </c>
      <c r="F43">
        <f t="shared" si="2"/>
        <v>97.930704039211747</v>
      </c>
      <c r="G43">
        <f t="shared" si="3"/>
        <v>4113.0895696468933</v>
      </c>
      <c r="H43">
        <f t="shared" si="4"/>
        <v>0.11002068247635809</v>
      </c>
      <c r="I43">
        <f t="shared" si="5"/>
        <v>452.52492153894116</v>
      </c>
    </row>
    <row r="44" spans="1:9">
      <c r="A44">
        <v>43</v>
      </c>
      <c r="B44" s="1">
        <v>51455</v>
      </c>
      <c r="C44">
        <f t="shared" si="0"/>
        <v>2.7131929208706884E-2</v>
      </c>
      <c r="D44">
        <v>3.6707502349324694</v>
      </c>
      <c r="E44" s="8">
        <f t="shared" si="1"/>
        <v>3670.7502349324695</v>
      </c>
      <c r="F44">
        <f t="shared" si="2"/>
        <v>99.594535517031929</v>
      </c>
      <c r="G44">
        <f t="shared" si="3"/>
        <v>4282.5650272323728</v>
      </c>
      <c r="H44">
        <f t="shared" si="4"/>
        <v>0.10438841296217297</v>
      </c>
      <c r="I44">
        <f t="shared" si="5"/>
        <v>447.05016660009244</v>
      </c>
    </row>
    <row r="45" spans="1:9">
      <c r="A45">
        <v>44</v>
      </c>
      <c r="B45" s="1">
        <v>51636</v>
      </c>
      <c r="C45">
        <f t="shared" si="0"/>
        <v>2.7131929208706884E-2</v>
      </c>
      <c r="D45">
        <v>3.8332716031867839</v>
      </c>
      <c r="E45" s="8">
        <f t="shared" si="1"/>
        <v>3833.271603186784</v>
      </c>
      <c r="F45">
        <f t="shared" si="2"/>
        <v>104.00405377541017</v>
      </c>
      <c r="G45">
        <f t="shared" si="3"/>
        <v>4576.1783661180471</v>
      </c>
      <c r="H45">
        <f t="shared" si="4"/>
        <v>9.9044475234033938E-2</v>
      </c>
      <c r="I45">
        <f t="shared" si="5"/>
        <v>453.24518484950079</v>
      </c>
    </row>
    <row r="46" spans="1:9">
      <c r="A46">
        <v>45</v>
      </c>
      <c r="B46" s="1">
        <v>51820</v>
      </c>
      <c r="C46">
        <f t="shared" si="0"/>
        <v>2.7131929208706884E-2</v>
      </c>
      <c r="D46">
        <v>3.8984439999042166</v>
      </c>
      <c r="E46" s="8">
        <f t="shared" si="1"/>
        <v>3898.4439999042165</v>
      </c>
      <c r="F46">
        <f t="shared" si="2"/>
        <v>105.77230662950932</v>
      </c>
      <c r="G46">
        <f t="shared" si="3"/>
        <v>4759.753798327919</v>
      </c>
      <c r="H46">
        <f t="shared" si="4"/>
        <v>9.3974108773355172E-2</v>
      </c>
      <c r="I46">
        <f t="shared" si="5"/>
        <v>447.2936211784583</v>
      </c>
    </row>
    <row r="47" spans="1:9">
      <c r="A47">
        <v>46</v>
      </c>
      <c r="B47" s="1">
        <v>52001</v>
      </c>
      <c r="C47">
        <f t="shared" si="0"/>
        <v>2.7131929208706884E-2</v>
      </c>
      <c r="D47">
        <v>4.0711616014127738</v>
      </c>
      <c r="E47" s="8">
        <f t="shared" si="1"/>
        <v>4071.161601412774</v>
      </c>
      <c r="F47">
        <f t="shared" si="2"/>
        <v>110.45846836673714</v>
      </c>
      <c r="G47">
        <f t="shared" si="3"/>
        <v>5081.0895448699084</v>
      </c>
      <c r="H47">
        <f t="shared" si="4"/>
        <v>8.9163308694191687E-2</v>
      </c>
      <c r="I47">
        <f t="shared" si="5"/>
        <v>453.04675559206561</v>
      </c>
    </row>
    <row r="48" spans="1:9">
      <c r="A48">
        <v>47</v>
      </c>
      <c r="B48" s="1">
        <v>52185</v>
      </c>
      <c r="C48">
        <f t="shared" si="0"/>
        <v>2.7131929208706884E-2</v>
      </c>
      <c r="D48">
        <v>4.1404221913397095</v>
      </c>
      <c r="E48" s="8">
        <f t="shared" si="1"/>
        <v>4140.4221913397096</v>
      </c>
      <c r="F48">
        <f t="shared" si="2"/>
        <v>112.33764178958803</v>
      </c>
      <c r="G48">
        <f t="shared" si="3"/>
        <v>5279.8691641106379</v>
      </c>
      <c r="H48">
        <f t="shared" si="4"/>
        <v>8.4598787060269923E-2</v>
      </c>
      <c r="I48">
        <f t="shared" si="5"/>
        <v>446.67052712068119</v>
      </c>
    </row>
    <row r="49" spans="1:10">
      <c r="A49">
        <v>48</v>
      </c>
      <c r="B49" s="1">
        <v>52366</v>
      </c>
      <c r="C49">
        <f t="shared" si="0"/>
        <v>2.7131929208706884E-2</v>
      </c>
      <c r="D49">
        <v>4.3239711222275812</v>
      </c>
      <c r="E49" s="8">
        <f t="shared" si="1"/>
        <v>4323.971122227581</v>
      </c>
      <c r="F49">
        <f t="shared" si="2"/>
        <v>117.31767838877158</v>
      </c>
      <c r="G49">
        <f t="shared" si="3"/>
        <v>5631.248562661036</v>
      </c>
      <c r="H49">
        <f t="shared" si="4"/>
        <v>8.0267936182308985E-2</v>
      </c>
      <c r="I49">
        <f t="shared" si="5"/>
        <v>452.00870025439525</v>
      </c>
    </row>
    <row r="50" spans="1:10">
      <c r="A50">
        <v>49</v>
      </c>
      <c r="B50" s="1">
        <v>52550</v>
      </c>
      <c r="C50">
        <f t="shared" si="0"/>
        <v>2.7131929208706884E-2</v>
      </c>
      <c r="D50">
        <v>4.3975746528391895</v>
      </c>
      <c r="E50" s="8">
        <f t="shared" si="1"/>
        <v>4397.5746528391892</v>
      </c>
      <c r="F50">
        <f t="shared" si="2"/>
        <v>119.31468417083663</v>
      </c>
      <c r="G50">
        <f t="shared" si="3"/>
        <v>5846.4195243709946</v>
      </c>
      <c r="H50">
        <f t="shared" si="4"/>
        <v>7.6158793794255497E-2</v>
      </c>
      <c r="I50">
        <f t="shared" si="5"/>
        <v>445.25625899127988</v>
      </c>
    </row>
    <row r="51" spans="1:10">
      <c r="A51">
        <v>50</v>
      </c>
      <c r="B51" s="1">
        <v>52732</v>
      </c>
      <c r="C51">
        <f t="shared" si="0"/>
        <v>2.7131929208706884E-2</v>
      </c>
      <c r="D51">
        <v>4.5926302220966786</v>
      </c>
      <c r="E51" s="8">
        <f t="shared" si="1"/>
        <v>4592.6302220966782</v>
      </c>
      <c r="F51">
        <f t="shared" si="2"/>
        <v>124.60691806769485</v>
      </c>
      <c r="G51">
        <f t="shared" si="3"/>
        <v>6230.3459033847421</v>
      </c>
      <c r="H51">
        <f t="shared" si="4"/>
        <v>7.226001001224551E-2</v>
      </c>
      <c r="I51">
        <f t="shared" si="5"/>
        <v>450.20485735833427</v>
      </c>
    </row>
    <row r="52" spans="1:10">
      <c r="H52" t="s">
        <v>4</v>
      </c>
      <c r="I52">
        <f>SUM(I2:I51)</f>
        <v>17120.274855169791</v>
      </c>
    </row>
    <row r="53" spans="1:10">
      <c r="A53" t="s">
        <v>98</v>
      </c>
      <c r="B53" s="8">
        <v>1000</v>
      </c>
      <c r="H53" t="s">
        <v>5</v>
      </c>
      <c r="I53">
        <f>(A51*B55)*H51</f>
        <v>16593.175291562366</v>
      </c>
    </row>
    <row r="54" spans="1:10">
      <c r="A54" t="s">
        <v>79</v>
      </c>
      <c r="B54" s="10">
        <v>5.5E-2</v>
      </c>
      <c r="H54" t="s">
        <v>6</v>
      </c>
      <c r="I54">
        <f>SUM(I52:I53)</f>
        <v>33713.450146732153</v>
      </c>
    </row>
    <row r="55" spans="1:10">
      <c r="A55" t="s">
        <v>111</v>
      </c>
      <c r="B55">
        <f>B53*D51</f>
        <v>4592.6302220966782</v>
      </c>
      <c r="H55" t="s">
        <v>89</v>
      </c>
      <c r="I55">
        <f>(I54/B56)/2</f>
        <v>14.715532509644376</v>
      </c>
    </row>
    <row r="56" spans="1:10">
      <c r="A56" t="s">
        <v>90</v>
      </c>
      <c r="B56">
        <v>1145.5056119999999</v>
      </c>
      <c r="H56" t="s">
        <v>18</v>
      </c>
      <c r="I56">
        <f>I55/(1+B57)</f>
        <v>13.962202833136685</v>
      </c>
    </row>
    <row r="57" spans="1:10">
      <c r="A57" t="s">
        <v>101</v>
      </c>
      <c r="B57">
        <v>5.3954929999999998E-2</v>
      </c>
    </row>
    <row r="58" spans="1:10">
      <c r="A58" t="s">
        <v>119</v>
      </c>
      <c r="B58">
        <f>F7/B56</f>
        <v>2.9170816463108821E-2</v>
      </c>
    </row>
    <row r="59" spans="1:10" ht="18">
      <c r="J59" s="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B6BAD-2AC6-4EFE-A6D4-3DFBB2F90815}">
  <sheetPr codeName="Planilha11"/>
  <dimension ref="A1:P18"/>
  <sheetViews>
    <sheetView workbookViewId="0">
      <selection activeCell="B18" sqref="B18"/>
    </sheetView>
  </sheetViews>
  <sheetFormatPr defaultRowHeight="15"/>
  <cols>
    <col min="2" max="2" width="10.7109375" bestFit="1" customWidth="1"/>
    <col min="4" max="4" width="10.7109375" bestFit="1" customWidth="1"/>
  </cols>
  <sheetData>
    <row r="1" spans="1:16">
      <c r="A1" t="s">
        <v>96</v>
      </c>
      <c r="B1" t="s">
        <v>0</v>
      </c>
      <c r="C1" t="s">
        <v>121</v>
      </c>
      <c r="D1" t="s">
        <v>141</v>
      </c>
      <c r="E1" t="s">
        <v>128</v>
      </c>
      <c r="F1" t="s">
        <v>142</v>
      </c>
      <c r="G1" t="s">
        <v>107</v>
      </c>
      <c r="H1" t="s">
        <v>12</v>
      </c>
      <c r="I1" t="s">
        <v>3</v>
      </c>
      <c r="J1" t="s">
        <v>102</v>
      </c>
    </row>
    <row r="2" spans="1:16">
      <c r="A2">
        <v>0</v>
      </c>
      <c r="B2" s="1">
        <v>43581</v>
      </c>
      <c r="C2">
        <v>6.4000000000000001E-2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6">
      <c r="A3">
        <v>1</v>
      </c>
      <c r="B3" s="1">
        <v>43762</v>
      </c>
      <c r="C3">
        <v>5.3999999999999999E-2</v>
      </c>
      <c r="D3" s="15">
        <f>(1+C3)^((NETWORKDAYS.INTL(B2,B3))/252)-1</f>
        <v>2.7502423327571801E-2</v>
      </c>
      <c r="E3">
        <v>1.08</v>
      </c>
      <c r="F3">
        <f>E3*D3</f>
        <v>2.9702617193777547E-2</v>
      </c>
      <c r="G3">
        <f>$B$14*F3</f>
        <v>297.02617193777547</v>
      </c>
      <c r="H3">
        <f>A3*G3</f>
        <v>297.02617193777547</v>
      </c>
      <c r="I3">
        <f>(1+$B$16)^(-A3)</f>
        <v>0.95804470280653353</v>
      </c>
      <c r="J3">
        <f>H3*I3</f>
        <v>284.56435061988844</v>
      </c>
    </row>
    <row r="4" spans="1:16">
      <c r="A4">
        <v>2</v>
      </c>
      <c r="B4" s="1">
        <v>43945</v>
      </c>
      <c r="C4">
        <v>3.6499999999999998E-2</v>
      </c>
      <c r="D4" s="15">
        <f t="shared" ref="D4:D12" si="0">(1+C4)^((NETWORKDAYS.INTL(B3,B4))/252)-1</f>
        <v>1.8955812400530458E-2</v>
      </c>
      <c r="E4">
        <v>1.08</v>
      </c>
      <c r="F4">
        <f t="shared" ref="F4:F12" si="1">E4*D4</f>
        <v>2.0472277392572895E-2</v>
      </c>
      <c r="G4">
        <f t="shared" ref="G4:G12" si="2">$B$14*F4</f>
        <v>204.72277392572894</v>
      </c>
      <c r="H4">
        <f t="shared" ref="H4:H12" si="3">A4*G4</f>
        <v>409.44554785145789</v>
      </c>
      <c r="I4">
        <f t="shared" ref="I4:I12" si="4">(1+$B$16)^(-A4)</f>
        <v>0.91784965257565909</v>
      </c>
      <c r="J4">
        <f t="shared" ref="J4:J12" si="5">H4*I4</f>
        <v>375.80945384411103</v>
      </c>
    </row>
    <row r="5" spans="1:16">
      <c r="A5">
        <v>3</v>
      </c>
      <c r="B5" s="1">
        <v>44128</v>
      </c>
      <c r="C5">
        <v>1.9E-2</v>
      </c>
      <c r="D5" s="15">
        <f t="shared" si="0"/>
        <v>9.8323476256725328E-3</v>
      </c>
      <c r="E5">
        <v>1.08</v>
      </c>
      <c r="F5">
        <f t="shared" si="1"/>
        <v>1.0618935435726336E-2</v>
      </c>
      <c r="G5">
        <f t="shared" si="2"/>
        <v>106.18935435726337</v>
      </c>
      <c r="H5">
        <f t="shared" si="3"/>
        <v>318.56806307179011</v>
      </c>
      <c r="I5">
        <f t="shared" si="4"/>
        <v>0.87934099762292728</v>
      </c>
      <c r="J5">
        <f t="shared" si="5"/>
        <v>280.12995839235151</v>
      </c>
    </row>
    <row r="6" spans="1:16">
      <c r="A6">
        <v>4</v>
      </c>
      <c r="B6" s="1">
        <v>44310</v>
      </c>
      <c r="C6">
        <v>2.6499999999999999E-2</v>
      </c>
      <c r="D6" s="15">
        <f t="shared" si="0"/>
        <v>1.358407319400845E-2</v>
      </c>
      <c r="E6">
        <v>1.08</v>
      </c>
      <c r="F6">
        <f t="shared" si="1"/>
        <v>1.4670799049529127E-2</v>
      </c>
      <c r="G6">
        <f t="shared" si="2"/>
        <v>146.70799049529128</v>
      </c>
      <c r="H6">
        <f t="shared" si="3"/>
        <v>586.83196198116514</v>
      </c>
      <c r="I6">
        <f t="shared" si="4"/>
        <v>0.84244798473325799</v>
      </c>
      <c r="J6">
        <f t="shared" si="5"/>
        <v>494.37540374809646</v>
      </c>
    </row>
    <row r="7" spans="1:16">
      <c r="A7">
        <v>5</v>
      </c>
      <c r="B7" s="1">
        <v>44493</v>
      </c>
      <c r="C7">
        <v>6.1499999999999999E-2</v>
      </c>
      <c r="D7" s="15">
        <f t="shared" si="0"/>
        <v>3.1267729046084769E-2</v>
      </c>
      <c r="E7">
        <v>1.08</v>
      </c>
      <c r="F7">
        <f t="shared" si="1"/>
        <v>3.3769147369771553E-2</v>
      </c>
      <c r="G7">
        <f t="shared" si="2"/>
        <v>337.69147369771554</v>
      </c>
      <c r="H7">
        <f t="shared" si="3"/>
        <v>1688.4573684885777</v>
      </c>
      <c r="I7">
        <f t="shared" si="4"/>
        <v>0.80710282916373721</v>
      </c>
      <c r="J7">
        <f t="shared" si="5"/>
        <v>1362.7587190294898</v>
      </c>
    </row>
    <row r="8" spans="1:16">
      <c r="A8">
        <v>6</v>
      </c>
      <c r="B8" s="1">
        <v>44675</v>
      </c>
      <c r="C8">
        <v>0.11650000000000001</v>
      </c>
      <c r="D8" s="15">
        <f t="shared" si="0"/>
        <v>5.8495524391583453E-2</v>
      </c>
      <c r="E8">
        <v>1.08</v>
      </c>
      <c r="F8">
        <f t="shared" si="1"/>
        <v>6.3175166342910136E-2</v>
      </c>
      <c r="G8">
        <f t="shared" si="2"/>
        <v>631.75166342910131</v>
      </c>
      <c r="H8">
        <f t="shared" si="3"/>
        <v>3790.5099805746077</v>
      </c>
      <c r="I8">
        <f t="shared" si="4"/>
        <v>0.77324059010048485</v>
      </c>
      <c r="J8">
        <f t="shared" si="5"/>
        <v>2930.976174161287</v>
      </c>
    </row>
    <row r="9" spans="1:16">
      <c r="A9">
        <v>7</v>
      </c>
      <c r="B9" s="1">
        <v>44858</v>
      </c>
      <c r="C9">
        <v>0.13650000000000001</v>
      </c>
      <c r="D9" s="15">
        <f t="shared" si="0"/>
        <v>6.8777465213071487E-2</v>
      </c>
      <c r="E9">
        <v>1.08</v>
      </c>
      <c r="F9">
        <f t="shared" si="1"/>
        <v>7.4279662430117216E-2</v>
      </c>
      <c r="G9">
        <f t="shared" si="2"/>
        <v>742.79662430117219</v>
      </c>
      <c r="H9">
        <f t="shared" si="3"/>
        <v>5199.5763701082051</v>
      </c>
      <c r="I9">
        <f t="shared" si="4"/>
        <v>0.74079905134076762</v>
      </c>
      <c r="J9">
        <f t="shared" si="5"/>
        <v>3851.8412423500304</v>
      </c>
      <c r="P9" s="8"/>
    </row>
    <row r="10" spans="1:16">
      <c r="A10">
        <v>8</v>
      </c>
      <c r="B10" s="1">
        <v>45040</v>
      </c>
      <c r="C10">
        <v>0.13700000000000001</v>
      </c>
      <c r="D10" s="15">
        <f t="shared" si="0"/>
        <v>6.9021871708573102E-2</v>
      </c>
      <c r="E10">
        <v>1.08</v>
      </c>
      <c r="F10">
        <f t="shared" si="1"/>
        <v>7.4543621445258959E-2</v>
      </c>
      <c r="G10">
        <f t="shared" si="2"/>
        <v>745.43621445258964</v>
      </c>
      <c r="H10">
        <f t="shared" si="3"/>
        <v>5963.4897156207171</v>
      </c>
      <c r="I10">
        <f t="shared" si="4"/>
        <v>0.70971860698112765</v>
      </c>
      <c r="J10">
        <f t="shared" si="5"/>
        <v>4232.3996137166168</v>
      </c>
    </row>
    <row r="11" spans="1:16">
      <c r="A11">
        <v>9</v>
      </c>
      <c r="B11" s="1">
        <v>45223</v>
      </c>
      <c r="C11">
        <v>0.13305</v>
      </c>
      <c r="D11" s="15">
        <f t="shared" si="0"/>
        <v>6.7618724809447084E-2</v>
      </c>
      <c r="E11">
        <v>1.08</v>
      </c>
      <c r="F11">
        <f t="shared" si="1"/>
        <v>7.302822279420286E-2</v>
      </c>
      <c r="G11">
        <f t="shared" si="2"/>
        <v>730.28222794202861</v>
      </c>
      <c r="H11">
        <f t="shared" si="3"/>
        <v>6572.5400514782577</v>
      </c>
      <c r="I11">
        <f t="shared" si="4"/>
        <v>0.67994215190150142</v>
      </c>
      <c r="J11">
        <f t="shared" si="5"/>
        <v>4468.9470260609314</v>
      </c>
    </row>
    <row r="12" spans="1:16">
      <c r="A12">
        <v>10</v>
      </c>
      <c r="B12" s="1">
        <v>45406</v>
      </c>
      <c r="C12">
        <v>0.12570000000000001</v>
      </c>
      <c r="D12" s="15">
        <f t="shared" si="0"/>
        <v>6.3985433375099987E-2</v>
      </c>
      <c r="E12">
        <v>1.08</v>
      </c>
      <c r="F12">
        <f t="shared" si="1"/>
        <v>6.9104268045107997E-2</v>
      </c>
      <c r="G12">
        <f t="shared" si="2"/>
        <v>691.04268045107995</v>
      </c>
      <c r="H12">
        <f t="shared" si="3"/>
        <v>6910.4268045107992</v>
      </c>
      <c r="I12">
        <f t="shared" si="4"/>
        <v>0.65141497684410865</v>
      </c>
      <c r="J12">
        <f t="shared" si="5"/>
        <v>4501.5555168433102</v>
      </c>
    </row>
    <row r="13" spans="1:16">
      <c r="I13" t="s">
        <v>4</v>
      </c>
      <c r="J13">
        <f>SUM(J3:J12)</f>
        <v>22783.35745876611</v>
      </c>
    </row>
    <row r="14" spans="1:16">
      <c r="A14" t="s">
        <v>98</v>
      </c>
      <c r="B14" s="8">
        <v>10000</v>
      </c>
      <c r="I14" t="s">
        <v>5</v>
      </c>
      <c r="J14">
        <f>(B14*A12)*I12</f>
        <v>65141.497684410868</v>
      </c>
    </row>
    <row r="15" spans="1:16">
      <c r="A15" t="s">
        <v>90</v>
      </c>
      <c r="B15" s="8">
        <v>9985.9416330000004</v>
      </c>
      <c r="I15" t="s">
        <v>6</v>
      </c>
      <c r="J15">
        <f>SUM(J13:J14)</f>
        <v>87924.855143176974</v>
      </c>
    </row>
    <row r="16" spans="1:16">
      <c r="A16" t="s">
        <v>101</v>
      </c>
      <c r="B16">
        <v>4.3792629999999999E-2</v>
      </c>
      <c r="G16" s="8"/>
      <c r="I16" t="s">
        <v>89</v>
      </c>
      <c r="J16">
        <f>(J15/B15)/2</f>
        <v>4.4024318574332773</v>
      </c>
    </row>
    <row r="17" spans="1:10">
      <c r="A17" t="s">
        <v>119</v>
      </c>
      <c r="B17">
        <f>G9/B15</f>
        <v>7.4384234516902487E-2</v>
      </c>
      <c r="I17" t="s">
        <v>18</v>
      </c>
      <c r="J17">
        <f>J16/(1+B16)</f>
        <v>4.2177265204806798</v>
      </c>
    </row>
    <row r="18" spans="1:10">
      <c r="A18" t="s">
        <v>19</v>
      </c>
      <c r="B18" t="s">
        <v>133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53039-068F-470E-8F70-B4BF28C70CE6}">
  <sheetPr codeName="Planilha12"/>
  <dimension ref="A1:J17"/>
  <sheetViews>
    <sheetView workbookViewId="0">
      <selection activeCell="B17" sqref="B17"/>
    </sheetView>
  </sheetViews>
  <sheetFormatPr defaultRowHeight="15"/>
  <cols>
    <col min="2" max="2" width="10.7109375" bestFit="1" customWidth="1"/>
  </cols>
  <sheetData>
    <row r="1" spans="1:10">
      <c r="A1" t="s">
        <v>96</v>
      </c>
      <c r="B1" t="s">
        <v>0</v>
      </c>
      <c r="C1" t="s">
        <v>121</v>
      </c>
      <c r="D1" t="s">
        <v>141</v>
      </c>
      <c r="E1" t="s">
        <v>116</v>
      </c>
      <c r="F1" t="s">
        <v>142</v>
      </c>
      <c r="G1" t="s">
        <v>107</v>
      </c>
      <c r="H1" t="s">
        <v>12</v>
      </c>
      <c r="I1" t="s">
        <v>3</v>
      </c>
      <c r="J1" t="s">
        <v>102</v>
      </c>
    </row>
    <row r="2" spans="1:10">
      <c r="A2">
        <v>0</v>
      </c>
      <c r="B2" s="1">
        <v>43643</v>
      </c>
      <c r="C2">
        <v>6.4000000000000001E-2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</v>
      </c>
      <c r="B3" s="1">
        <v>43809</v>
      </c>
      <c r="C3">
        <v>4.3999999999999997E-2</v>
      </c>
      <c r="D3" s="13">
        <f>((1+C3)^(NETWORKDAYS.INTL(B2,B3)/252))-1</f>
        <v>2.0541784751353598E-2</v>
      </c>
      <c r="E3">
        <f>0.73/100</f>
        <v>7.3000000000000001E-3</v>
      </c>
      <c r="F3" s="13">
        <f>D3+E3</f>
        <v>2.7841784751353599E-2</v>
      </c>
      <c r="G3">
        <f>$B$14*F3</f>
        <v>27.8417847513536</v>
      </c>
      <c r="H3">
        <f>A3*G3</f>
        <v>27.8417847513536</v>
      </c>
      <c r="I3">
        <f>(1+$B$16)^(-A3)</f>
        <v>0.95889392429659048</v>
      </c>
      <c r="J3">
        <f>H3*I3</f>
        <v>26.697318239646428</v>
      </c>
    </row>
    <row r="4" spans="1:10">
      <c r="A4">
        <v>2</v>
      </c>
      <c r="B4" s="1">
        <v>43992</v>
      </c>
      <c r="C4">
        <v>2.9000000000000001E-2</v>
      </c>
      <c r="D4" s="13">
        <f t="shared" ref="D4:D12" si="0">((1+C4)^(NETWORKDAYS.INTL(B3,B4)/252))-1</f>
        <v>1.5087059945274373E-2</v>
      </c>
      <c r="E4">
        <f t="shared" ref="E4:E12" si="1">0.73/100</f>
        <v>7.3000000000000001E-3</v>
      </c>
      <c r="F4" s="13">
        <f t="shared" ref="F4:F12" si="2">D4+E4</f>
        <v>2.2387059945274373E-2</v>
      </c>
      <c r="G4">
        <f t="shared" ref="G4:G12" si="3">$B$14*F4</f>
        <v>22.387059945274373</v>
      </c>
      <c r="H4">
        <f t="shared" ref="H4:H12" si="4">A4*G4</f>
        <v>44.774119890548747</v>
      </c>
      <c r="I4">
        <f t="shared" ref="I4:I12" si="5">(1+$B$16)^(-A4)</f>
        <v>0.91947755805291542</v>
      </c>
      <c r="J4">
        <f t="shared" ref="J4:J12" si="6">H4*I4</f>
        <v>41.16879842093023</v>
      </c>
    </row>
    <row r="5" spans="1:10">
      <c r="A5">
        <v>3</v>
      </c>
      <c r="B5" s="1">
        <v>44175</v>
      </c>
      <c r="C5">
        <v>1.9E-2</v>
      </c>
      <c r="D5" s="13">
        <f t="shared" si="0"/>
        <v>9.9077743165203458E-3</v>
      </c>
      <c r="E5">
        <f t="shared" si="1"/>
        <v>7.3000000000000001E-3</v>
      </c>
      <c r="F5" s="13">
        <f t="shared" si="2"/>
        <v>1.7207774316520347E-2</v>
      </c>
      <c r="G5">
        <f t="shared" si="3"/>
        <v>17.207774316520347</v>
      </c>
      <c r="H5">
        <f t="shared" si="4"/>
        <v>51.623322949561043</v>
      </c>
      <c r="I5">
        <f t="shared" si="5"/>
        <v>0.88168144394400627</v>
      </c>
      <c r="J5">
        <f t="shared" si="6"/>
        <v>45.515325919356741</v>
      </c>
    </row>
    <row r="6" spans="1:10">
      <c r="A6">
        <v>4</v>
      </c>
      <c r="B6" s="1">
        <v>44357</v>
      </c>
      <c r="C6">
        <v>3.4000000000000002E-2</v>
      </c>
      <c r="D6" s="13">
        <f t="shared" si="0"/>
        <v>1.7532701065538836E-2</v>
      </c>
      <c r="E6">
        <f t="shared" si="1"/>
        <v>7.3000000000000001E-3</v>
      </c>
      <c r="F6" s="13">
        <f t="shared" si="2"/>
        <v>2.4832701065538837E-2</v>
      </c>
      <c r="G6">
        <f t="shared" si="3"/>
        <v>24.832701065538838</v>
      </c>
      <c r="H6">
        <f t="shared" si="4"/>
        <v>99.330804262155354</v>
      </c>
      <c r="I6">
        <f t="shared" si="5"/>
        <v>0.84543897976295235</v>
      </c>
      <c r="J6">
        <f t="shared" si="6"/>
        <v>83.978133814430137</v>
      </c>
    </row>
    <row r="7" spans="1:10">
      <c r="A7">
        <v>5</v>
      </c>
      <c r="B7" s="1">
        <v>44540</v>
      </c>
      <c r="C7">
        <v>9.1499999999999998E-2</v>
      </c>
      <c r="D7" s="13">
        <f t="shared" si="0"/>
        <v>4.692892095612633E-2</v>
      </c>
      <c r="E7">
        <f t="shared" si="1"/>
        <v>7.3000000000000001E-3</v>
      </c>
      <c r="F7" s="13">
        <f t="shared" si="2"/>
        <v>5.4228920956126331E-2</v>
      </c>
      <c r="G7">
        <f t="shared" si="3"/>
        <v>54.228920956126331</v>
      </c>
      <c r="H7">
        <f t="shared" si="4"/>
        <v>271.14460478063165</v>
      </c>
      <c r="I7">
        <f t="shared" si="5"/>
        <v>0.81068630105820327</v>
      </c>
      <c r="J7">
        <f t="shared" si="6"/>
        <v>219.8132167014987</v>
      </c>
    </row>
    <row r="8" spans="1:10">
      <c r="A8">
        <v>6</v>
      </c>
      <c r="B8" s="1">
        <v>44722</v>
      </c>
      <c r="C8">
        <v>0.1265</v>
      </c>
      <c r="D8" s="13">
        <f t="shared" si="0"/>
        <v>6.3878446991125104E-2</v>
      </c>
      <c r="E8">
        <f t="shared" si="1"/>
        <v>7.3000000000000001E-3</v>
      </c>
      <c r="F8" s="13">
        <f t="shared" si="2"/>
        <v>7.1178446991125105E-2</v>
      </c>
      <c r="G8">
        <f t="shared" si="3"/>
        <v>71.178446991125099</v>
      </c>
      <c r="H8">
        <f t="shared" si="4"/>
        <v>427.0706819467506</v>
      </c>
      <c r="I8">
        <f t="shared" si="5"/>
        <v>0.77736216859518759</v>
      </c>
      <c r="J8">
        <f t="shared" si="6"/>
        <v>331.98859146155166</v>
      </c>
    </row>
    <row r="9" spans="1:10">
      <c r="A9">
        <v>7</v>
      </c>
      <c r="B9" s="1">
        <v>44905</v>
      </c>
      <c r="C9">
        <v>0.13655999999999999</v>
      </c>
      <c r="D9" s="13">
        <f t="shared" si="0"/>
        <v>6.8806796718195784E-2</v>
      </c>
      <c r="E9">
        <f t="shared" si="1"/>
        <v>7.3000000000000001E-3</v>
      </c>
      <c r="F9" s="13">
        <f t="shared" si="2"/>
        <v>7.6106796718195785E-2</v>
      </c>
      <c r="G9">
        <f t="shared" si="3"/>
        <v>76.106796718195781</v>
      </c>
      <c r="H9">
        <f t="shared" si="4"/>
        <v>532.74757702737043</v>
      </c>
      <c r="I9">
        <f t="shared" si="5"/>
        <v>0.74540786044394725</v>
      </c>
      <c r="J9">
        <f t="shared" si="6"/>
        <v>397.11423154866918</v>
      </c>
    </row>
    <row r="10" spans="1:10">
      <c r="A10">
        <v>8</v>
      </c>
      <c r="B10" s="1">
        <v>45087</v>
      </c>
      <c r="C10">
        <v>0.13658000000000001</v>
      </c>
      <c r="D10" s="13">
        <f t="shared" si="0"/>
        <v>6.8273719922077536E-2</v>
      </c>
      <c r="E10">
        <f t="shared" si="1"/>
        <v>7.3000000000000001E-3</v>
      </c>
      <c r="F10" s="13">
        <f t="shared" si="2"/>
        <v>7.5573719922077537E-2</v>
      </c>
      <c r="G10">
        <f t="shared" si="3"/>
        <v>75.573719922077544</v>
      </c>
      <c r="H10">
        <f t="shared" si="4"/>
        <v>604.58975937662035</v>
      </c>
      <c r="I10">
        <f t="shared" si="5"/>
        <v>0.71476706850262184</v>
      </c>
      <c r="J10">
        <f t="shared" si="6"/>
        <v>432.14084995633243</v>
      </c>
    </row>
    <row r="11" spans="1:10">
      <c r="A11">
        <v>9</v>
      </c>
      <c r="B11" s="1">
        <v>45270</v>
      </c>
      <c r="C11">
        <v>0.13150999999999999</v>
      </c>
      <c r="D11" s="13">
        <f t="shared" si="0"/>
        <v>6.5812768539307287E-2</v>
      </c>
      <c r="E11">
        <f t="shared" si="1"/>
        <v>7.3000000000000001E-3</v>
      </c>
      <c r="F11" s="13">
        <f t="shared" si="2"/>
        <v>7.3112768539307288E-2</v>
      </c>
      <c r="G11">
        <f t="shared" si="3"/>
        <v>73.112768539307282</v>
      </c>
      <c r="H11">
        <f t="shared" si="4"/>
        <v>658.0149168537655</v>
      </c>
      <c r="I11">
        <f t="shared" si="5"/>
        <v>0.68538579927444898</v>
      </c>
      <c r="J11">
        <f t="shared" si="6"/>
        <v>450.99407972232814</v>
      </c>
    </row>
    <row r="12" spans="1:10">
      <c r="A12">
        <v>10</v>
      </c>
      <c r="B12" s="1">
        <v>45453</v>
      </c>
      <c r="C12">
        <v>0.12570000000000001</v>
      </c>
      <c r="D12" s="13">
        <f t="shared" si="0"/>
        <v>6.3485625154833025E-2</v>
      </c>
      <c r="E12">
        <f t="shared" si="1"/>
        <v>7.3000000000000001E-3</v>
      </c>
      <c r="F12" s="13">
        <f t="shared" si="2"/>
        <v>7.0785625154833026E-2</v>
      </c>
      <c r="G12">
        <f t="shared" si="3"/>
        <v>70.785625154833028</v>
      </c>
      <c r="H12">
        <f t="shared" si="4"/>
        <v>707.85625154833031</v>
      </c>
      <c r="I12">
        <f t="shared" si="5"/>
        <v>0.65721227872343158</v>
      </c>
      <c r="J12">
        <f t="shared" si="6"/>
        <v>465.21182008870477</v>
      </c>
    </row>
    <row r="13" spans="1:10">
      <c r="I13" t="s">
        <v>4</v>
      </c>
      <c r="J13">
        <f>SUM(J3:J12)</f>
        <v>2494.6223658734484</v>
      </c>
    </row>
    <row r="14" spans="1:10">
      <c r="A14" t="s">
        <v>106</v>
      </c>
      <c r="B14" s="8">
        <v>1000</v>
      </c>
      <c r="I14" t="s">
        <v>5</v>
      </c>
      <c r="J14">
        <f>(B14*A12)*I12</f>
        <v>6572.1227872343161</v>
      </c>
    </row>
    <row r="15" spans="1:10">
      <c r="A15" t="s">
        <v>90</v>
      </c>
      <c r="B15" s="8">
        <v>1046.334435</v>
      </c>
      <c r="I15" t="s">
        <v>6</v>
      </c>
      <c r="J15">
        <f>SUM(J13:J14)</f>
        <v>9066.7451531077641</v>
      </c>
    </row>
    <row r="16" spans="1:10">
      <c r="A16" t="s">
        <v>101</v>
      </c>
      <c r="B16">
        <v>4.2868219999999999E-2</v>
      </c>
      <c r="G16" s="6"/>
      <c r="I16" t="s">
        <v>89</v>
      </c>
      <c r="J16">
        <f>(J15/B15)/2</f>
        <v>4.332622940536103</v>
      </c>
    </row>
    <row r="17" spans="1:10">
      <c r="A17" t="s">
        <v>119</v>
      </c>
      <c r="B17">
        <f>G8/B15</f>
        <v>6.8026478542804622E-2</v>
      </c>
      <c r="I17" t="s">
        <v>18</v>
      </c>
      <c r="J17">
        <f>J16/(1+B16)</f>
        <v>4.1545258139480969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DF4D2-928E-4611-BFE1-CC2A83D131FD}">
  <sheetPr codeName="Planilha13"/>
  <dimension ref="A1:J18"/>
  <sheetViews>
    <sheetView workbookViewId="0">
      <selection activeCell="B17" sqref="B17"/>
    </sheetView>
  </sheetViews>
  <sheetFormatPr defaultRowHeight="15"/>
  <cols>
    <col min="2" max="2" width="10.7109375" bestFit="1" customWidth="1"/>
    <col min="4" max="4" width="10.7109375" bestFit="1" customWidth="1"/>
  </cols>
  <sheetData>
    <row r="1" spans="1:10">
      <c r="A1" t="s">
        <v>96</v>
      </c>
      <c r="B1" t="s">
        <v>0</v>
      </c>
      <c r="C1" t="s">
        <v>121</v>
      </c>
      <c r="D1" t="s">
        <v>141</v>
      </c>
      <c r="E1" t="s">
        <v>116</v>
      </c>
      <c r="F1" t="s">
        <v>142</v>
      </c>
      <c r="G1" t="s">
        <v>107</v>
      </c>
      <c r="H1" t="s">
        <v>12</v>
      </c>
      <c r="I1" t="s">
        <v>3</v>
      </c>
      <c r="J1" t="s">
        <v>102</v>
      </c>
    </row>
    <row r="2" spans="1:10">
      <c r="A2">
        <v>0</v>
      </c>
      <c r="B2" s="1">
        <v>43584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</v>
      </c>
      <c r="B3" s="1">
        <v>43753</v>
      </c>
      <c r="C3">
        <v>5.3999999999999999E-2</v>
      </c>
      <c r="D3" s="14">
        <f>((1+C3)^(NETWORKDAYS.INTL(B2,B3)/252))-1</f>
        <v>2.5788334967245863E-2</v>
      </c>
      <c r="E3">
        <v>1.095</v>
      </c>
      <c r="F3">
        <f>D3*E3</f>
        <v>2.8238226789134218E-2</v>
      </c>
      <c r="G3">
        <f>$B$14*F3</f>
        <v>282.38226789134217</v>
      </c>
      <c r="H3">
        <f>A3*G3</f>
        <v>282.38226789134217</v>
      </c>
      <c r="I3">
        <f>(1+$B$16)^(-A3)</f>
        <v>0.95756624656352207</v>
      </c>
      <c r="J3">
        <f>H3*I3</f>
        <v>270.3997283608075</v>
      </c>
    </row>
    <row r="4" spans="1:10">
      <c r="A4">
        <v>2</v>
      </c>
      <c r="B4" s="1">
        <v>43936</v>
      </c>
      <c r="C4">
        <v>3.6499999999999998E-2</v>
      </c>
      <c r="D4" s="14">
        <f t="shared" ref="D4:D12" si="0">((1+C4)^(NETWORKDAYS.INTL(B3,B4)/252))-1</f>
        <v>1.8955812400530458E-2</v>
      </c>
      <c r="E4">
        <v>1.095</v>
      </c>
      <c r="F4">
        <f t="shared" ref="F4:F12" si="1">D4*E4</f>
        <v>2.0756614578580853E-2</v>
      </c>
      <c r="G4">
        <f t="shared" ref="G4:G12" si="2">$B$14*F4</f>
        <v>207.56614578580852</v>
      </c>
      <c r="H4">
        <f t="shared" ref="H4:H12" si="3">A4*G4</f>
        <v>415.13229157161703</v>
      </c>
      <c r="I4">
        <f t="shared" ref="I4:I12" si="4">(1+$B$16)^(-A4)</f>
        <v>0.916933116557752</v>
      </c>
      <c r="J4">
        <f t="shared" ref="J4:J12" si="5">H4*I4</f>
        <v>380.6485458945242</v>
      </c>
    </row>
    <row r="5" spans="1:10">
      <c r="A5">
        <v>3</v>
      </c>
      <c r="B5" s="1">
        <v>44119</v>
      </c>
      <c r="C5">
        <v>1.9E-2</v>
      </c>
      <c r="D5" s="14">
        <f t="shared" si="0"/>
        <v>9.9077743165203458E-3</v>
      </c>
      <c r="E5">
        <v>1.095</v>
      </c>
      <c r="F5">
        <f t="shared" si="1"/>
        <v>1.0849012876589778E-2</v>
      </c>
      <c r="G5">
        <f t="shared" si="2"/>
        <v>108.49012876589778</v>
      </c>
      <c r="H5">
        <f t="shared" si="3"/>
        <v>325.47038629769332</v>
      </c>
      <c r="I5">
        <f t="shared" si="4"/>
        <v>0.87802420277199911</v>
      </c>
      <c r="J5">
        <f t="shared" si="5"/>
        <v>285.77087645492674</v>
      </c>
    </row>
    <row r="6" spans="1:10">
      <c r="A6">
        <v>4</v>
      </c>
      <c r="B6" s="1">
        <v>44301</v>
      </c>
      <c r="C6">
        <v>2.6499999999999999E-2</v>
      </c>
      <c r="D6" s="14">
        <f t="shared" si="0"/>
        <v>1.3689278051643772E-2</v>
      </c>
      <c r="E6">
        <v>1.095</v>
      </c>
      <c r="F6">
        <f t="shared" si="1"/>
        <v>1.4989759466549929E-2</v>
      </c>
      <c r="G6">
        <f t="shared" si="2"/>
        <v>149.8975946654993</v>
      </c>
      <c r="H6">
        <f t="shared" si="3"/>
        <v>599.59037866199719</v>
      </c>
      <c r="I6">
        <f t="shared" si="4"/>
        <v>0.84076634024031194</v>
      </c>
      <c r="J6">
        <f t="shared" si="5"/>
        <v>504.11540831095022</v>
      </c>
    </row>
    <row r="7" spans="1:10">
      <c r="A7">
        <v>5</v>
      </c>
      <c r="B7" s="1">
        <v>44484</v>
      </c>
      <c r="C7">
        <v>6.1499999999999999E-2</v>
      </c>
      <c r="D7" s="14">
        <f t="shared" si="0"/>
        <v>3.175633010592116E-2</v>
      </c>
      <c r="E7">
        <v>1.095</v>
      </c>
      <c r="F7">
        <f t="shared" si="1"/>
        <v>3.4773181465983669E-2</v>
      </c>
      <c r="G7">
        <f t="shared" si="2"/>
        <v>347.73181465983669</v>
      </c>
      <c r="H7">
        <f t="shared" si="3"/>
        <v>1738.6590732991835</v>
      </c>
      <c r="I7">
        <f t="shared" si="4"/>
        <v>0.80508946866086473</v>
      </c>
      <c r="J7">
        <f t="shared" si="5"/>
        <v>1399.7761095048311</v>
      </c>
    </row>
    <row r="8" spans="1:10">
      <c r="A8">
        <v>6</v>
      </c>
      <c r="B8" s="1">
        <v>44666</v>
      </c>
      <c r="C8">
        <v>0.11650000000000001</v>
      </c>
      <c r="D8" s="14">
        <f t="shared" si="0"/>
        <v>5.8958502313748662E-2</v>
      </c>
      <c r="E8">
        <v>1.095</v>
      </c>
      <c r="F8">
        <f t="shared" si="1"/>
        <v>6.4559560033554786E-2</v>
      </c>
      <c r="G8">
        <f t="shared" si="2"/>
        <v>645.59560033554783</v>
      </c>
      <c r="H8">
        <f t="shared" si="3"/>
        <v>3873.5736020132872</v>
      </c>
      <c r="I8">
        <f t="shared" si="4"/>
        <v>0.77092650065340451</v>
      </c>
      <c r="J8">
        <f t="shared" si="5"/>
        <v>2986.2405420235068</v>
      </c>
    </row>
    <row r="9" spans="1:10">
      <c r="A9">
        <v>7</v>
      </c>
      <c r="B9" s="1">
        <v>44849</v>
      </c>
      <c r="C9">
        <v>0.13650000000000001</v>
      </c>
      <c r="D9" s="14">
        <f t="shared" si="0"/>
        <v>6.8777465213071487E-2</v>
      </c>
      <c r="E9">
        <v>1.095</v>
      </c>
      <c r="F9">
        <f t="shared" si="1"/>
        <v>7.5311324408313271E-2</v>
      </c>
      <c r="G9">
        <f t="shared" si="2"/>
        <v>753.11324408313271</v>
      </c>
      <c r="H9">
        <f t="shared" si="3"/>
        <v>5271.7927085819292</v>
      </c>
      <c r="I9">
        <f t="shared" si="4"/>
        <v>0.73821319560703125</v>
      </c>
      <c r="J9">
        <f t="shared" si="5"/>
        <v>3891.7069419801128</v>
      </c>
    </row>
    <row r="10" spans="1:10">
      <c r="A10">
        <v>8</v>
      </c>
      <c r="B10" s="1">
        <v>45031</v>
      </c>
      <c r="C10">
        <v>0.13700000000000001</v>
      </c>
      <c r="D10" s="14">
        <f t="shared" si="0"/>
        <v>6.847734712457676E-2</v>
      </c>
      <c r="E10">
        <v>1.095</v>
      </c>
      <c r="F10">
        <f t="shared" si="1"/>
        <v>7.4982695101411548E-2</v>
      </c>
      <c r="G10">
        <f t="shared" si="2"/>
        <v>749.82695101411548</v>
      </c>
      <c r="H10">
        <f t="shared" si="3"/>
        <v>5998.6156081129238</v>
      </c>
      <c r="I10">
        <f t="shared" si="4"/>
        <v>0.70688803888108798</v>
      </c>
      <c r="J10">
        <f t="shared" si="5"/>
        <v>4240.3496232204297</v>
      </c>
    </row>
    <row r="11" spans="1:10">
      <c r="A11">
        <v>9</v>
      </c>
      <c r="B11" s="1">
        <v>45214</v>
      </c>
      <c r="C11">
        <v>0.13305</v>
      </c>
      <c r="D11" s="14">
        <f t="shared" si="0"/>
        <v>6.6560839934359128E-2</v>
      </c>
      <c r="E11">
        <v>1.095</v>
      </c>
      <c r="F11">
        <f t="shared" si="1"/>
        <v>7.2884119728123239E-2</v>
      </c>
      <c r="G11">
        <f t="shared" si="2"/>
        <v>728.84119728123244</v>
      </c>
      <c r="H11">
        <f t="shared" si="3"/>
        <v>6559.5707755310923</v>
      </c>
      <c r="I11">
        <f t="shared" si="4"/>
        <v>0.67689212613201244</v>
      </c>
      <c r="J11">
        <f t="shared" si="5"/>
        <v>4440.1218087626548</v>
      </c>
    </row>
    <row r="12" spans="1:10">
      <c r="A12">
        <v>10</v>
      </c>
      <c r="B12" s="1">
        <v>45397</v>
      </c>
      <c r="C12">
        <v>0.12570000000000001</v>
      </c>
      <c r="D12" s="14">
        <f t="shared" si="0"/>
        <v>6.3485625154833025E-2</v>
      </c>
      <c r="E12">
        <v>1.095</v>
      </c>
      <c r="F12">
        <f t="shared" si="1"/>
        <v>6.9516759544542159E-2</v>
      </c>
      <c r="G12">
        <f t="shared" si="2"/>
        <v>695.16759544542163</v>
      </c>
      <c r="H12">
        <f t="shared" si="3"/>
        <v>6951.6759544542165</v>
      </c>
      <c r="I12">
        <f t="shared" si="4"/>
        <v>0.64816905254863333</v>
      </c>
      <c r="J12">
        <f t="shared" si="5"/>
        <v>4505.8612170237056</v>
      </c>
    </row>
    <row r="13" spans="1:10">
      <c r="I13" t="s">
        <v>4</v>
      </c>
      <c r="J13">
        <f>SUM(J3:J12)</f>
        <v>22904.990801536453</v>
      </c>
    </row>
    <row r="14" spans="1:10">
      <c r="A14" t="s">
        <v>98</v>
      </c>
      <c r="B14" s="8">
        <v>10000</v>
      </c>
      <c r="I14" t="s">
        <v>5</v>
      </c>
      <c r="J14">
        <f>(A12*B14)*I12</f>
        <v>64816.905254863334</v>
      </c>
    </row>
    <row r="15" spans="1:10">
      <c r="A15" t="s">
        <v>90</v>
      </c>
      <c r="B15" s="8">
        <v>9968.9952200000007</v>
      </c>
      <c r="I15" t="s">
        <v>6</v>
      </c>
      <c r="J15">
        <f>SUM(J13:J14)</f>
        <v>87721.896056399783</v>
      </c>
    </row>
    <row r="16" spans="1:10">
      <c r="A16" t="s">
        <v>101</v>
      </c>
      <c r="B16">
        <v>4.431417E-2</v>
      </c>
      <c r="I16" t="s">
        <v>89</v>
      </c>
      <c r="J16">
        <f>(J15/B15)/2</f>
        <v>4.3997360877659135</v>
      </c>
    </row>
    <row r="17" spans="1:10">
      <c r="A17" t="s">
        <v>119</v>
      </c>
      <c r="B17">
        <f>G9/B15</f>
        <v>7.5545551729448282E-2</v>
      </c>
      <c r="I17" s="6" t="s">
        <v>18</v>
      </c>
      <c r="J17">
        <f>J16/(1+B16)</f>
        <v>4.2130387714320809</v>
      </c>
    </row>
    <row r="18" spans="1:10">
      <c r="A18" t="s">
        <v>19</v>
      </c>
      <c r="B18" t="s">
        <v>133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C26DB-24D6-4FF6-ACE9-8D337E3A8B96}">
  <sheetPr codeName="Planilha14"/>
  <dimension ref="A1:J22"/>
  <sheetViews>
    <sheetView topLeftCell="A4" workbookViewId="0">
      <selection activeCell="B21" sqref="B21"/>
    </sheetView>
  </sheetViews>
  <sheetFormatPr defaultRowHeight="15"/>
  <cols>
    <col min="2" max="2" width="10.7109375" customWidth="1"/>
    <col min="4" max="4" width="10.7109375" bestFit="1" customWidth="1"/>
  </cols>
  <sheetData>
    <row r="1" spans="1:10">
      <c r="A1" t="s">
        <v>96</v>
      </c>
      <c r="B1" t="s">
        <v>0</v>
      </c>
      <c r="C1" t="s">
        <v>121</v>
      </c>
      <c r="D1" t="s">
        <v>141</v>
      </c>
      <c r="E1" t="s">
        <v>116</v>
      </c>
      <c r="F1" t="s">
        <v>142</v>
      </c>
      <c r="G1" t="s">
        <v>107</v>
      </c>
      <c r="H1" t="s">
        <v>12</v>
      </c>
      <c r="I1" t="s">
        <v>3</v>
      </c>
      <c r="J1" t="s">
        <v>102</v>
      </c>
    </row>
    <row r="2" spans="1:10">
      <c r="A2">
        <v>0</v>
      </c>
      <c r="B2" s="1">
        <v>43584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</v>
      </c>
      <c r="B3" s="1">
        <v>43753</v>
      </c>
      <c r="C3">
        <v>5.3999999999999999E-2</v>
      </c>
      <c r="D3" s="15">
        <f>((1+C3)^((NETWORKDAYS.INTL(B2,B3))/252))-1</f>
        <v>2.5788334967245863E-2</v>
      </c>
      <c r="E3">
        <v>1.1100000000000001</v>
      </c>
      <c r="F3">
        <f>D3*E3</f>
        <v>2.8625051813642909E-2</v>
      </c>
      <c r="G3" s="8">
        <f>$B$18*F3</f>
        <v>286.25051813642909</v>
      </c>
      <c r="H3">
        <f>G3*A3</f>
        <v>286.25051813642909</v>
      </c>
      <c r="I3">
        <f>(1+$B$20)^(-A3)</f>
        <v>0.95408499361216237</v>
      </c>
      <c r="J3">
        <f>H3*I3</f>
        <v>273.10732376767311</v>
      </c>
    </row>
    <row r="4" spans="1:10">
      <c r="A4">
        <v>2</v>
      </c>
      <c r="B4" s="1">
        <v>43936</v>
      </c>
      <c r="C4">
        <v>3.6499999999999998E-2</v>
      </c>
      <c r="D4" s="15">
        <f t="shared" ref="D4:D16" si="0">((1+C4)^((NETWORKDAYS.INTL(B3,B4))/252))-1</f>
        <v>1.8955812400530458E-2</v>
      </c>
      <c r="E4">
        <v>1.1100000000000001</v>
      </c>
      <c r="F4">
        <f t="shared" ref="F4:F16" si="1">D4*E4</f>
        <v>2.1040951764588811E-2</v>
      </c>
      <c r="G4" s="8">
        <f t="shared" ref="G4:G16" si="2">$B$18*F4</f>
        <v>210.40951764588812</v>
      </c>
      <c r="H4">
        <f t="shared" ref="H4:H16" si="3">G4*A4</f>
        <v>420.81903529177623</v>
      </c>
      <c r="I4">
        <f t="shared" ref="I4:I16" si="4">(1+$B$20)^(-A4)</f>
        <v>0.91027817503591979</v>
      </c>
      <c r="J4">
        <f t="shared" ref="J4:J16" si="5">H4*I4</f>
        <v>383.06238346577442</v>
      </c>
    </row>
    <row r="5" spans="1:10">
      <c r="A5">
        <v>3</v>
      </c>
      <c r="B5" s="1">
        <v>44119</v>
      </c>
      <c r="C5">
        <v>1.9E-2</v>
      </c>
      <c r="D5" s="15">
        <f t="shared" si="0"/>
        <v>9.9077743165203458E-3</v>
      </c>
      <c r="E5">
        <v>1.1100000000000001</v>
      </c>
      <c r="F5">
        <f t="shared" si="1"/>
        <v>1.0997629491337585E-2</v>
      </c>
      <c r="G5" s="8">
        <f t="shared" si="2"/>
        <v>109.97629491337585</v>
      </c>
      <c r="H5">
        <f t="shared" si="3"/>
        <v>329.92888474012756</v>
      </c>
      <c r="I5">
        <f t="shared" si="4"/>
        <v>0.86848274681443627</v>
      </c>
      <c r="J5">
        <f t="shared" si="5"/>
        <v>286.5375440725295</v>
      </c>
    </row>
    <row r="6" spans="1:10">
      <c r="A6">
        <v>4</v>
      </c>
      <c r="B6" s="1">
        <v>44301</v>
      </c>
      <c r="C6">
        <v>2.6499999999999999E-2</v>
      </c>
      <c r="D6" s="15">
        <f t="shared" si="0"/>
        <v>1.3689278051643772E-2</v>
      </c>
      <c r="E6">
        <v>1.1100000000000001</v>
      </c>
      <c r="F6">
        <f t="shared" si="1"/>
        <v>1.5195098637324588E-2</v>
      </c>
      <c r="G6" s="8">
        <f t="shared" si="2"/>
        <v>151.95098637324588</v>
      </c>
      <c r="H6">
        <f t="shared" si="3"/>
        <v>607.80394549298353</v>
      </c>
      <c r="I6">
        <f t="shared" si="4"/>
        <v>0.8286063559467246</v>
      </c>
      <c r="J6">
        <f t="shared" si="5"/>
        <v>503.63021240498273</v>
      </c>
    </row>
    <row r="7" spans="1:10">
      <c r="A7">
        <v>5</v>
      </c>
      <c r="B7" s="1">
        <v>44484</v>
      </c>
      <c r="C7">
        <v>6.1499999999999999E-2</v>
      </c>
      <c r="D7" s="15">
        <f t="shared" si="0"/>
        <v>3.175633010592116E-2</v>
      </c>
      <c r="E7">
        <v>1.1100000000000001</v>
      </c>
      <c r="F7">
        <f t="shared" si="1"/>
        <v>3.5249526417572494E-2</v>
      </c>
      <c r="G7" s="8">
        <f t="shared" si="2"/>
        <v>352.49526417572491</v>
      </c>
      <c r="H7">
        <f t="shared" si="3"/>
        <v>1762.4763208786246</v>
      </c>
      <c r="I7">
        <f t="shared" si="4"/>
        <v>0.79056088982042794</v>
      </c>
      <c r="J7">
        <f t="shared" si="5"/>
        <v>1393.3448485212396</v>
      </c>
    </row>
    <row r="8" spans="1:10">
      <c r="A8">
        <v>6</v>
      </c>
      <c r="B8" s="1">
        <v>44666</v>
      </c>
      <c r="C8">
        <v>0.11650000000000001</v>
      </c>
      <c r="D8" s="15">
        <f t="shared" si="0"/>
        <v>5.8958502313748662E-2</v>
      </c>
      <c r="E8">
        <v>1.1100000000000001</v>
      </c>
      <c r="F8">
        <f t="shared" si="1"/>
        <v>6.5443937568261015E-2</v>
      </c>
      <c r="G8" s="8">
        <f t="shared" si="2"/>
        <v>654.43937568261015</v>
      </c>
      <c r="H8">
        <f t="shared" si="3"/>
        <v>3926.6362540956607</v>
      </c>
      <c r="I8">
        <f t="shared" si="4"/>
        <v>0.75426228151434827</v>
      </c>
      <c r="J8">
        <f t="shared" si="5"/>
        <v>2961.713619691147</v>
      </c>
    </row>
    <row r="9" spans="1:10">
      <c r="A9">
        <v>7</v>
      </c>
      <c r="B9" s="1">
        <v>44849</v>
      </c>
      <c r="C9">
        <v>0.13650000000000001</v>
      </c>
      <c r="D9" s="15">
        <f t="shared" si="0"/>
        <v>6.8777465213071487E-2</v>
      </c>
      <c r="E9">
        <v>1.1100000000000001</v>
      </c>
      <c r="F9">
        <f t="shared" si="1"/>
        <v>7.6342986386509354E-2</v>
      </c>
      <c r="G9" s="8">
        <f t="shared" si="2"/>
        <v>763.42986386509358</v>
      </c>
      <c r="H9">
        <f t="shared" si="3"/>
        <v>5344.0090470556552</v>
      </c>
      <c r="I9">
        <f t="shared" si="4"/>
        <v>0.71963032404051197</v>
      </c>
      <c r="J9">
        <f t="shared" si="5"/>
        <v>3845.7109622080889</v>
      </c>
    </row>
    <row r="10" spans="1:10">
      <c r="A10">
        <v>8</v>
      </c>
      <c r="B10" s="1">
        <v>45031</v>
      </c>
      <c r="C10">
        <v>0.13700000000000001</v>
      </c>
      <c r="D10" s="15">
        <f t="shared" si="0"/>
        <v>6.847734712457676E-2</v>
      </c>
      <c r="E10">
        <v>1.1100000000000001</v>
      </c>
      <c r="F10">
        <f t="shared" si="1"/>
        <v>7.6009855308280208E-2</v>
      </c>
      <c r="G10" s="8">
        <f t="shared" si="2"/>
        <v>760.09855308280203</v>
      </c>
      <c r="H10">
        <f t="shared" si="3"/>
        <v>6080.7884246624162</v>
      </c>
      <c r="I10">
        <f t="shared" si="4"/>
        <v>0.68658849311531001</v>
      </c>
      <c r="J10">
        <f t="shared" si="5"/>
        <v>4174.9993614419882</v>
      </c>
    </row>
    <row r="11" spans="1:10">
      <c r="A11">
        <v>9</v>
      </c>
      <c r="B11" s="1">
        <v>45214</v>
      </c>
      <c r="C11">
        <v>0.13305</v>
      </c>
      <c r="D11" s="15">
        <f t="shared" si="0"/>
        <v>6.6560839934359128E-2</v>
      </c>
      <c r="E11">
        <v>1.1100000000000001</v>
      </c>
      <c r="F11">
        <f t="shared" si="1"/>
        <v>7.3882532327138636E-2</v>
      </c>
      <c r="G11" s="8">
        <f t="shared" si="2"/>
        <v>738.82532327138631</v>
      </c>
      <c r="H11">
        <f t="shared" si="3"/>
        <v>6649.4279094424764</v>
      </c>
      <c r="I11">
        <f t="shared" si="4"/>
        <v>0.65506377806810467</v>
      </c>
      <c r="J11">
        <f t="shared" si="5"/>
        <v>4355.7993683508876</v>
      </c>
    </row>
    <row r="12" spans="1:10">
      <c r="A12">
        <v>10</v>
      </c>
      <c r="B12" s="1">
        <v>45397</v>
      </c>
      <c r="C12">
        <v>0.12570000000000001</v>
      </c>
      <c r="D12" s="15">
        <f t="shared" si="0"/>
        <v>6.3485625154833025E-2</v>
      </c>
      <c r="E12">
        <v>1.1100000000000001</v>
      </c>
      <c r="F12">
        <f t="shared" si="1"/>
        <v>7.0469043921864663E-2</v>
      </c>
      <c r="G12" s="8">
        <f t="shared" si="2"/>
        <v>704.69043921864659</v>
      </c>
      <c r="H12">
        <f t="shared" si="3"/>
        <v>7046.9043921864659</v>
      </c>
      <c r="I12">
        <f t="shared" si="4"/>
        <v>0.62498652051366654</v>
      </c>
      <c r="J12">
        <f t="shared" si="5"/>
        <v>4404.2202564650934</v>
      </c>
    </row>
    <row r="13" spans="1:10">
      <c r="A13">
        <v>11</v>
      </c>
      <c r="B13" s="1">
        <v>45580</v>
      </c>
      <c r="C13">
        <v>0.11924999999999999</v>
      </c>
      <c r="D13" s="15">
        <f t="shared" si="0"/>
        <v>6.0787717527063245E-2</v>
      </c>
      <c r="E13">
        <v>1.1100000000000001</v>
      </c>
      <c r="F13">
        <f t="shared" si="1"/>
        <v>6.7474366455040208E-2</v>
      </c>
      <c r="G13" s="8">
        <f t="shared" si="2"/>
        <v>674.74366455040206</v>
      </c>
      <c r="H13">
        <f t="shared" si="3"/>
        <v>7422.180310054423</v>
      </c>
      <c r="I13">
        <f t="shared" si="4"/>
        <v>0.59629026043196909</v>
      </c>
      <c r="J13">
        <f t="shared" si="5"/>
        <v>4425.7738300553847</v>
      </c>
    </row>
    <row r="14" spans="1:10">
      <c r="A14">
        <v>12</v>
      </c>
      <c r="B14" s="1">
        <v>45762</v>
      </c>
      <c r="C14">
        <v>0.11595</v>
      </c>
      <c r="D14" s="15">
        <f t="shared" si="0"/>
        <v>5.8687292731234741E-2</v>
      </c>
      <c r="E14">
        <v>1.1100000000000001</v>
      </c>
      <c r="F14">
        <f t="shared" si="1"/>
        <v>6.5142894931670567E-2</v>
      </c>
      <c r="G14" s="8">
        <f t="shared" si="2"/>
        <v>651.42894931670571</v>
      </c>
      <c r="H14">
        <f t="shared" si="3"/>
        <v>7817.1473918004685</v>
      </c>
      <c r="I14">
        <f t="shared" si="4"/>
        <v>0.56891158931522989</v>
      </c>
      <c r="J14">
        <f t="shared" si="5"/>
        <v>4447.2657465806087</v>
      </c>
    </row>
    <row r="15" spans="1:10">
      <c r="A15">
        <v>13</v>
      </c>
      <c r="B15" s="1">
        <v>45945</v>
      </c>
      <c r="C15">
        <v>0.11544</v>
      </c>
      <c r="D15" s="15">
        <f t="shared" si="0"/>
        <v>5.8894710677173556E-2</v>
      </c>
      <c r="E15">
        <v>1.1100000000000001</v>
      </c>
      <c r="F15">
        <f t="shared" si="1"/>
        <v>6.537312885166266E-2</v>
      </c>
      <c r="G15" s="8">
        <f t="shared" si="2"/>
        <v>653.73128851662659</v>
      </c>
      <c r="H15">
        <f t="shared" si="3"/>
        <v>8498.5067507161457</v>
      </c>
      <c r="I15">
        <f t="shared" si="4"/>
        <v>0.54279001005770622</v>
      </c>
      <c r="J15">
        <f t="shared" si="5"/>
        <v>4612.9045646967006</v>
      </c>
    </row>
    <row r="16" spans="1:10">
      <c r="A16">
        <v>14</v>
      </c>
      <c r="B16" s="1">
        <v>46127</v>
      </c>
      <c r="C16">
        <v>0.11496000000000001</v>
      </c>
      <c r="D16" s="15">
        <f t="shared" si="0"/>
        <v>5.8198953695461908E-2</v>
      </c>
      <c r="E16">
        <v>1.1100000000000001</v>
      </c>
      <c r="F16">
        <f t="shared" si="1"/>
        <v>6.4600838601962723E-2</v>
      </c>
      <c r="G16" s="8">
        <f t="shared" si="2"/>
        <v>646.00838601962721</v>
      </c>
      <c r="H16">
        <f t="shared" si="3"/>
        <v>9044.1174042747807</v>
      </c>
      <c r="I16">
        <f t="shared" si="4"/>
        <v>0.51786780327865212</v>
      </c>
      <c r="J16">
        <f t="shared" si="5"/>
        <v>4683.6572127460058</v>
      </c>
    </row>
    <row r="17" spans="1:10">
      <c r="I17" t="s">
        <v>4</v>
      </c>
      <c r="J17">
        <f>SUM(J3:J16)</f>
        <v>40751.727234468111</v>
      </c>
    </row>
    <row r="18" spans="1:10">
      <c r="A18" t="s">
        <v>98</v>
      </c>
      <c r="B18" s="8">
        <v>10000</v>
      </c>
      <c r="I18" t="s">
        <v>5</v>
      </c>
      <c r="J18">
        <f>(A16*B18)*I16</f>
        <v>72501.492459011293</v>
      </c>
    </row>
    <row r="19" spans="1:10">
      <c r="A19" t="s">
        <v>90</v>
      </c>
      <c r="B19" s="8">
        <v>10098.4869</v>
      </c>
      <c r="G19" s="6"/>
      <c r="I19" t="s">
        <v>6</v>
      </c>
      <c r="J19">
        <f>SUM(J17:J18)</f>
        <v>113253.2196934794</v>
      </c>
    </row>
    <row r="20" spans="1:10">
      <c r="A20" t="s">
        <v>101</v>
      </c>
      <c r="B20">
        <v>4.8124649999999998E-2</v>
      </c>
      <c r="I20" t="s">
        <v>143</v>
      </c>
      <c r="J20">
        <f>(J19/B19)/2</f>
        <v>5.607435094730846</v>
      </c>
    </row>
    <row r="21" spans="1:10">
      <c r="A21" t="s">
        <v>119</v>
      </c>
      <c r="B21">
        <f>G9/B19</f>
        <v>7.5598440778795642E-2</v>
      </c>
      <c r="I21" t="s">
        <v>18</v>
      </c>
      <c r="J21">
        <f>J20/(1+B20)</f>
        <v>5.3499696765368938</v>
      </c>
    </row>
    <row r="22" spans="1:10">
      <c r="A22" t="s">
        <v>19</v>
      </c>
      <c r="B22" t="s">
        <v>133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AFFAA-7459-4BFA-96A9-F84C553579A6}">
  <sheetPr codeName="Planilha15"/>
  <dimension ref="A1:I15"/>
  <sheetViews>
    <sheetView workbookViewId="0">
      <selection activeCell="B12" sqref="B12"/>
    </sheetView>
  </sheetViews>
  <sheetFormatPr defaultRowHeight="15"/>
  <cols>
    <col min="2" max="2" width="11.5703125" bestFit="1" customWidth="1"/>
    <col min="3" max="3" width="10.7109375" customWidth="1"/>
  </cols>
  <sheetData>
    <row r="1" spans="1:9">
      <c r="A1" t="s">
        <v>110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43905</v>
      </c>
      <c r="C2" s="10">
        <f>4.5/100</f>
        <v>4.4999999999999998E-2</v>
      </c>
      <c r="D2">
        <v>1.0407773076122782</v>
      </c>
      <c r="E2">
        <f>$B$8*D2</f>
        <v>1040.7773076122783</v>
      </c>
      <c r="F2">
        <f>C2*E2</f>
        <v>46.834978842552523</v>
      </c>
      <c r="G2">
        <f>A2*F2</f>
        <v>46.834978842552523</v>
      </c>
      <c r="H2">
        <f>(1+$B$11)^(-A2)</f>
        <v>0.93973409152583409</v>
      </c>
      <c r="I2">
        <f>G2*H2</f>
        <v>44.012426294237756</v>
      </c>
    </row>
    <row r="3" spans="1:9">
      <c r="A3">
        <v>2</v>
      </c>
      <c r="B3" s="1">
        <v>44270</v>
      </c>
      <c r="C3" s="10">
        <f t="shared" ref="C3:C6" si="0">4.5/100</f>
        <v>4.4999999999999998E-2</v>
      </c>
      <c r="D3">
        <v>1.1042577202814123</v>
      </c>
      <c r="E3">
        <f t="shared" ref="E3:E6" si="1">$B$8*D3</f>
        <v>1104.2577202814123</v>
      </c>
      <c r="F3">
        <f t="shared" ref="F3:F6" si="2">C3*E3</f>
        <v>49.691597412663548</v>
      </c>
      <c r="G3">
        <f t="shared" ref="G3:G6" si="3">A3*F3</f>
        <v>99.383194825327095</v>
      </c>
      <c r="H3">
        <f t="shared" ref="H3:H6" si="4">(1+$B$11)^(-A3)</f>
        <v>0.88310016277588477</v>
      </c>
      <c r="I3">
        <f t="shared" ref="I3:I6" si="5">G3*H3</f>
        <v>87.765315527433827</v>
      </c>
    </row>
    <row r="4" spans="1:9">
      <c r="A4">
        <v>3</v>
      </c>
      <c r="B4" s="1">
        <v>44635</v>
      </c>
      <c r="C4" s="10">
        <f t="shared" si="0"/>
        <v>4.4999999999999998E-2</v>
      </c>
      <c r="D4">
        <v>1.2290312892694382</v>
      </c>
      <c r="E4">
        <f t="shared" si="1"/>
        <v>1229.0312892694383</v>
      </c>
      <c r="F4">
        <f t="shared" si="2"/>
        <v>55.306408017124717</v>
      </c>
      <c r="G4">
        <f t="shared" si="3"/>
        <v>165.91922405137416</v>
      </c>
      <c r="H4">
        <f t="shared" si="4"/>
        <v>0.82987932919251239</v>
      </c>
      <c r="I4">
        <f t="shared" si="5"/>
        <v>137.69293435589657</v>
      </c>
    </row>
    <row r="5" spans="1:9">
      <c r="A5">
        <v>4</v>
      </c>
      <c r="B5" s="1">
        <v>45000</v>
      </c>
      <c r="C5" s="10">
        <f t="shared" si="0"/>
        <v>4.4999999999999998E-2</v>
      </c>
      <c r="D5">
        <v>1.312485328099561</v>
      </c>
      <c r="E5">
        <f t="shared" si="1"/>
        <v>1312.485328099561</v>
      </c>
      <c r="F5">
        <f t="shared" si="2"/>
        <v>59.06183976448024</v>
      </c>
      <c r="G5">
        <f t="shared" si="3"/>
        <v>236.24735905792096</v>
      </c>
      <c r="H5">
        <f t="shared" si="4"/>
        <v>0.77986589749479418</v>
      </c>
      <c r="I5">
        <f t="shared" si="5"/>
        <v>184.24125870248042</v>
      </c>
    </row>
    <row r="6" spans="1:9">
      <c r="A6">
        <v>5</v>
      </c>
      <c r="B6" s="1">
        <v>45366</v>
      </c>
      <c r="C6" s="10">
        <f t="shared" si="0"/>
        <v>4.4999999999999998E-2</v>
      </c>
      <c r="D6">
        <v>1.4002179496753056</v>
      </c>
      <c r="E6">
        <f t="shared" si="1"/>
        <v>1400.2179496753056</v>
      </c>
      <c r="F6">
        <f t="shared" si="2"/>
        <v>63.009807735388748</v>
      </c>
      <c r="G6">
        <f t="shared" si="3"/>
        <v>315.04903867694372</v>
      </c>
      <c r="H6">
        <f t="shared" si="4"/>
        <v>0.73286657069424965</v>
      </c>
      <c r="I6">
        <f t="shared" si="5"/>
        <v>230.88890857569177</v>
      </c>
    </row>
    <row r="7" spans="1:9">
      <c r="H7" t="s">
        <v>4</v>
      </c>
      <c r="I7">
        <f>SUM(I2:I6)</f>
        <v>684.60084345574035</v>
      </c>
    </row>
    <row r="8" spans="1:9">
      <c r="A8" t="s">
        <v>98</v>
      </c>
      <c r="B8" s="8">
        <v>1000</v>
      </c>
      <c r="H8" t="s">
        <v>5</v>
      </c>
      <c r="I8">
        <f>(B9*A6)*H6</f>
        <v>5130.8646350153731</v>
      </c>
    </row>
    <row r="9" spans="1:9">
      <c r="A9" t="s">
        <v>111</v>
      </c>
      <c r="B9">
        <f>B8*D6</f>
        <v>1400.2179496753056</v>
      </c>
      <c r="H9" t="s">
        <v>6</v>
      </c>
      <c r="I9">
        <f>SUM(I7:I8)</f>
        <v>5815.4654784711138</v>
      </c>
    </row>
    <row r="10" spans="1:9">
      <c r="A10" t="s">
        <v>90</v>
      </c>
      <c r="B10" s="12">
        <v>1253.1634799999999</v>
      </c>
      <c r="H10" t="s">
        <v>89</v>
      </c>
      <c r="I10">
        <f>I9/B10</f>
        <v>4.6406279557964094</v>
      </c>
    </row>
    <row r="11" spans="1:9">
      <c r="A11" t="s">
        <v>101</v>
      </c>
      <c r="B11">
        <v>6.4130809999999996E-2</v>
      </c>
      <c r="H11" t="s">
        <v>18</v>
      </c>
      <c r="I11">
        <f>I10/(1+B11)</f>
        <v>4.3609562961497277</v>
      </c>
    </row>
    <row r="12" spans="1:9">
      <c r="A12" t="s">
        <v>119</v>
      </c>
      <c r="B12">
        <f>F4/B10</f>
        <v>4.4133434224499363E-2</v>
      </c>
    </row>
    <row r="15" spans="1:9">
      <c r="I15" s="6"/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77E98-E726-41ED-B21A-1731145E9171}">
  <sheetPr codeName="Planilha16"/>
  <dimension ref="A1:I20"/>
  <sheetViews>
    <sheetView topLeftCell="A7" workbookViewId="0">
      <selection activeCell="B20" sqref="B20"/>
    </sheetView>
  </sheetViews>
  <sheetFormatPr defaultRowHeight="15"/>
  <cols>
    <col min="2" max="2" width="10.85546875" customWidth="1"/>
  </cols>
  <sheetData>
    <row r="1" spans="1:9">
      <c r="A1" t="s">
        <v>110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43845</v>
      </c>
      <c r="C2">
        <f>((1+$B$16)^(1/2))-1</f>
        <v>1.9313494465760472E-2</v>
      </c>
      <c r="D2">
        <v>1.020525846779456</v>
      </c>
      <c r="E2" s="8">
        <f>$B$15*D2</f>
        <v>1020.5258467794561</v>
      </c>
      <c r="F2">
        <f>C2*E2</f>
        <v>19.709920293940545</v>
      </c>
      <c r="G2">
        <f>A2*F2</f>
        <v>19.709920293940545</v>
      </c>
      <c r="H2">
        <f>(1+$B$19)^(-A2)</f>
        <v>0.96378799832971684</v>
      </c>
      <c r="I2">
        <f>G2*H2</f>
        <v>18.996184627335222</v>
      </c>
    </row>
    <row r="3" spans="1:9">
      <c r="A3">
        <v>2</v>
      </c>
      <c r="B3" s="1">
        <v>44027</v>
      </c>
      <c r="C3">
        <f t="shared" ref="C3:C13" si="0">((1+$B$16)^(1/2))-1</f>
        <v>1.9313494465760472E-2</v>
      </c>
      <c r="D3">
        <v>1.0230545139672356</v>
      </c>
      <c r="E3" s="8">
        <f t="shared" ref="E3:E13" si="1">$B$15*D3</f>
        <v>1023.0545139672356</v>
      </c>
      <c r="F3">
        <f t="shared" ref="F3:F13" si="2">C3*E3</f>
        <v>19.758757693677474</v>
      </c>
      <c r="G3">
        <f t="shared" ref="G3:G13" si="3">A3*F3</f>
        <v>39.517515387354948</v>
      </c>
      <c r="H3">
        <f t="shared" ref="H3:H13" si="4">(1+$B$19)^(-A3)</f>
        <v>0.92888730572440248</v>
      </c>
      <c r="I3">
        <f t="shared" ref="I3:I13" si="5">G3*H3</f>
        <v>36.707318397082751</v>
      </c>
    </row>
    <row r="4" spans="1:9">
      <c r="A4">
        <v>3</v>
      </c>
      <c r="B4" s="1">
        <v>44211</v>
      </c>
      <c r="C4">
        <f t="shared" si="0"/>
        <v>1.9313494465760472E-2</v>
      </c>
      <c r="D4">
        <v>1.0670522408845453</v>
      </c>
      <c r="E4" s="8">
        <f t="shared" si="1"/>
        <v>1067.0522408845452</v>
      </c>
      <c r="F4">
        <f t="shared" si="2"/>
        <v>20.608507549000976</v>
      </c>
      <c r="G4">
        <f t="shared" si="3"/>
        <v>61.825522647002927</v>
      </c>
      <c r="H4">
        <f t="shared" si="4"/>
        <v>0.89525043705800555</v>
      </c>
      <c r="I4">
        <f t="shared" si="5"/>
        <v>55.349326171068988</v>
      </c>
    </row>
    <row r="5" spans="1:9">
      <c r="A5">
        <v>4</v>
      </c>
      <c r="B5" s="1">
        <v>44392</v>
      </c>
      <c r="C5">
        <f t="shared" si="0"/>
        <v>1.9313494465760472E-2</v>
      </c>
      <c r="D5">
        <v>1.115074646418494</v>
      </c>
      <c r="E5" s="8">
        <f t="shared" si="1"/>
        <v>1115.074646418494</v>
      </c>
      <c r="F5">
        <f t="shared" si="2"/>
        <v>21.5359880125134</v>
      </c>
      <c r="G5">
        <f t="shared" si="3"/>
        <v>86.143952050053599</v>
      </c>
      <c r="H5">
        <f t="shared" si="4"/>
        <v>0.86283162673593938</v>
      </c>
      <c r="I5">
        <f t="shared" si="5"/>
        <v>74.327726280810509</v>
      </c>
    </row>
    <row r="6" spans="1:9">
      <c r="A6">
        <v>5</v>
      </c>
      <c r="B6" s="1">
        <v>44576</v>
      </c>
      <c r="C6">
        <f t="shared" si="0"/>
        <v>1.9313494465760472E-2</v>
      </c>
      <c r="D6">
        <v>1.1778062453103324</v>
      </c>
      <c r="E6" s="8">
        <f t="shared" si="1"/>
        <v>1177.8062453103323</v>
      </c>
      <c r="F6">
        <f t="shared" si="2"/>
        <v>22.747554400539226</v>
      </c>
      <c r="G6">
        <f t="shared" si="3"/>
        <v>113.73777200269613</v>
      </c>
      <c r="H6">
        <f t="shared" si="4"/>
        <v>0.83158676642740459</v>
      </c>
      <c r="I6">
        <f t="shared" si="5"/>
        <v>94.582826040379473</v>
      </c>
    </row>
    <row r="7" spans="1:9">
      <c r="A7">
        <v>6</v>
      </c>
      <c r="B7" s="1">
        <v>44757</v>
      </c>
      <c r="C7">
        <f t="shared" si="0"/>
        <v>1.9313494465760472E-2</v>
      </c>
      <c r="D7">
        <v>1.227354135202845</v>
      </c>
      <c r="E7" s="8">
        <f t="shared" si="1"/>
        <v>1227.3541352028449</v>
      </c>
      <c r="F7">
        <f t="shared" si="2"/>
        <v>23.704497297768373</v>
      </c>
      <c r="G7">
        <f t="shared" si="3"/>
        <v>142.22698378661025</v>
      </c>
      <c r="H7">
        <f t="shared" si="4"/>
        <v>0.80147334505254997</v>
      </c>
      <c r="I7">
        <f t="shared" si="5"/>
        <v>113.99113645218931</v>
      </c>
    </row>
    <row r="8" spans="1:9">
      <c r="A8">
        <v>7</v>
      </c>
      <c r="B8" s="1">
        <v>44941</v>
      </c>
      <c r="C8">
        <f t="shared" si="0"/>
        <v>1.9313494465760472E-2</v>
      </c>
      <c r="D8">
        <v>1.2697612930986548</v>
      </c>
      <c r="E8" s="8">
        <f t="shared" si="1"/>
        <v>1269.7612930986547</v>
      </c>
      <c r="F8">
        <f t="shared" si="2"/>
        <v>24.523527707097728</v>
      </c>
      <c r="G8">
        <f t="shared" si="3"/>
        <v>171.66469394968408</v>
      </c>
      <c r="H8">
        <f t="shared" si="4"/>
        <v>0.77245039094281975</v>
      </c>
      <c r="I8">
        <f t="shared" si="5"/>
        <v>132.60245995251296</v>
      </c>
    </row>
    <row r="9" spans="1:9">
      <c r="A9">
        <v>8</v>
      </c>
      <c r="B9" s="1">
        <v>45122</v>
      </c>
      <c r="C9">
        <f t="shared" si="0"/>
        <v>1.9313494465760472E-2</v>
      </c>
      <c r="D9">
        <v>1.3206860160707237</v>
      </c>
      <c r="E9" s="8">
        <f t="shared" si="1"/>
        <v>1320.6860160707238</v>
      </c>
      <c r="F9">
        <f t="shared" si="2"/>
        <v>25.507062062389171</v>
      </c>
      <c r="G9">
        <f t="shared" si="3"/>
        <v>204.05649649911336</v>
      </c>
      <c r="H9">
        <f t="shared" si="4"/>
        <v>0.74447841609578747</v>
      </c>
      <c r="I9">
        <f t="shared" si="5"/>
        <v>151.91565730771552</v>
      </c>
    </row>
    <row r="10" spans="1:9">
      <c r="A10">
        <v>9</v>
      </c>
      <c r="B10" s="1">
        <v>45306</v>
      </c>
      <c r="C10">
        <f t="shared" si="0"/>
        <v>1.9313494465760472E-2</v>
      </c>
      <c r="D10">
        <v>1.3612756168342039</v>
      </c>
      <c r="E10" s="8">
        <f t="shared" si="1"/>
        <v>1361.2756168342039</v>
      </c>
      <c r="F10">
        <f t="shared" si="2"/>
        <v>26.29098909210207</v>
      </c>
      <c r="G10">
        <f t="shared" si="3"/>
        <v>236.61890182891864</v>
      </c>
      <c r="H10">
        <f t="shared" si="4"/>
        <v>0.71751936244863701</v>
      </c>
      <c r="I10">
        <f t="shared" si="5"/>
        <v>169.77864358358232</v>
      </c>
    </row>
    <row r="11" spans="1:9">
      <c r="A11">
        <v>10</v>
      </c>
      <c r="B11" s="1">
        <v>45488</v>
      </c>
      <c r="C11">
        <f t="shared" si="0"/>
        <v>1.9313494465760472E-2</v>
      </c>
      <c r="D11">
        <v>1.4025692490237218</v>
      </c>
      <c r="E11" s="8">
        <f t="shared" si="1"/>
        <v>1402.5692490237218</v>
      </c>
      <c r="F11">
        <f t="shared" si="2"/>
        <v>27.088513428865472</v>
      </c>
      <c r="G11">
        <f t="shared" si="3"/>
        <v>270.88513428865474</v>
      </c>
      <c r="H11">
        <f t="shared" si="4"/>
        <v>0.69153655009718662</v>
      </c>
      <c r="I11">
        <f t="shared" si="5"/>
        <v>187.32697123858941</v>
      </c>
    </row>
    <row r="12" spans="1:9">
      <c r="A12">
        <v>11</v>
      </c>
      <c r="B12" s="1">
        <v>45672</v>
      </c>
      <c r="C12">
        <f t="shared" si="0"/>
        <v>1.9313494465760472E-2</v>
      </c>
      <c r="D12">
        <v>1.4439063091331503</v>
      </c>
      <c r="E12" s="8">
        <f t="shared" si="1"/>
        <v>1443.9063091331502</v>
      </c>
      <c r="F12">
        <f t="shared" si="2"/>
        <v>27.886876510519727</v>
      </c>
      <c r="G12">
        <f t="shared" si="3"/>
        <v>306.75564161571697</v>
      </c>
      <c r="H12">
        <f t="shared" si="4"/>
        <v>0.66649462739000542</v>
      </c>
      <c r="I12">
        <f t="shared" si="5"/>
        <v>204.45098705844933</v>
      </c>
    </row>
    <row r="13" spans="1:9">
      <c r="A13">
        <v>12</v>
      </c>
      <c r="B13" s="1">
        <v>45853</v>
      </c>
      <c r="C13">
        <f t="shared" si="0"/>
        <v>1.9313494465760472E-2</v>
      </c>
      <c r="D13">
        <v>1.4863748882918746</v>
      </c>
      <c r="E13" s="8">
        <f t="shared" si="1"/>
        <v>1486.3748882918746</v>
      </c>
      <c r="F13">
        <f t="shared" si="2"/>
        <v>28.707093179070462</v>
      </c>
      <c r="G13">
        <f t="shared" si="3"/>
        <v>344.48511814884557</v>
      </c>
      <c r="H13">
        <f t="shared" si="4"/>
        <v>0.64235952282972386</v>
      </c>
      <c r="I13">
        <f t="shared" si="5"/>
        <v>221.28329611603348</v>
      </c>
    </row>
    <row r="14" spans="1:9">
      <c r="H14" t="s">
        <v>4</v>
      </c>
      <c r="I14">
        <f>SUM(I2:I13)</f>
        <v>1461.3125332257491</v>
      </c>
    </row>
    <row r="15" spans="1:9">
      <c r="A15" t="s">
        <v>98</v>
      </c>
      <c r="B15" s="8">
        <v>1000</v>
      </c>
      <c r="H15" t="s">
        <v>5</v>
      </c>
      <c r="I15">
        <f>(A13*B17)*H13</f>
        <v>11457.444767871033</v>
      </c>
    </row>
    <row r="16" spans="1:9">
      <c r="A16" t="s">
        <v>79</v>
      </c>
      <c r="B16" s="10">
        <v>3.9E-2</v>
      </c>
      <c r="H16" t="s">
        <v>6</v>
      </c>
      <c r="I16">
        <f>SUM(I14:I15)</f>
        <v>12918.757301096783</v>
      </c>
    </row>
    <row r="17" spans="1:9">
      <c r="A17" t="s">
        <v>111</v>
      </c>
      <c r="B17" s="10">
        <f>B15*D13</f>
        <v>1486.3748882918746</v>
      </c>
      <c r="H17" t="s">
        <v>89</v>
      </c>
      <c r="I17">
        <f>(I16/B18)/2</f>
        <v>5.4832277628241437</v>
      </c>
    </row>
    <row r="18" spans="1:9">
      <c r="A18" t="s">
        <v>90</v>
      </c>
      <c r="B18">
        <v>1178.024866</v>
      </c>
      <c r="H18" t="s">
        <v>18</v>
      </c>
      <c r="I18">
        <f>I17/(1+B19)</f>
        <v>5.2846691099182133</v>
      </c>
    </row>
    <row r="19" spans="1:9">
      <c r="A19" t="s">
        <v>101</v>
      </c>
      <c r="B19">
        <v>3.7572580000000001E-2</v>
      </c>
    </row>
    <row r="20" spans="1:9">
      <c r="A20" t="s">
        <v>145</v>
      </c>
      <c r="B20">
        <f>F7/B18</f>
        <v>2.0122238487424574E-2</v>
      </c>
      <c r="G20" s="6"/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C5986-CF53-4F49-915D-6ABBC1B4C17B}">
  <sheetPr codeName="Planilha17"/>
  <dimension ref="A1:I23"/>
  <sheetViews>
    <sheetView topLeftCell="A7" workbookViewId="0">
      <selection activeCell="B22" sqref="B22"/>
    </sheetView>
  </sheetViews>
  <sheetFormatPr defaultRowHeight="15"/>
  <cols>
    <col min="2" max="2" width="10.7109375" customWidth="1"/>
  </cols>
  <sheetData>
    <row r="1" spans="1:9">
      <c r="A1" t="s">
        <v>110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43753</v>
      </c>
      <c r="C2">
        <f>(1+$B$18)^(1/2)-1</f>
        <v>2.1049460114445306E-2</v>
      </c>
      <c r="D2">
        <v>1.0050086654076924</v>
      </c>
      <c r="E2">
        <f>$B$17*D2</f>
        <v>1005.0086654076924</v>
      </c>
      <c r="F2">
        <f>E2*C2</f>
        <v>21.154889817171131</v>
      </c>
      <c r="G2">
        <f>A2*F2</f>
        <v>21.154889817171131</v>
      </c>
      <c r="H2">
        <f>(1+$B$21)^(-A2)</f>
        <v>0.96067853416556659</v>
      </c>
      <c r="I2">
        <f>G2*H2</f>
        <v>20.323048539994033</v>
      </c>
    </row>
    <row r="3" spans="1:9">
      <c r="A3">
        <v>2</v>
      </c>
      <c r="B3" s="1">
        <v>43936</v>
      </c>
      <c r="C3">
        <f t="shared" ref="C3:C15" si="0">(1+$B$18)^(1/2)-1</f>
        <v>2.1049460114445306E-2</v>
      </c>
      <c r="D3">
        <v>1.0239904484475022</v>
      </c>
      <c r="E3">
        <f t="shared" ref="E3:E15" si="1">$B$17*D3</f>
        <v>1023.9904484475022</v>
      </c>
      <c r="F3">
        <f t="shared" ref="F3:F15" si="2">E3*C3</f>
        <v>21.554446102168662</v>
      </c>
      <c r="G3">
        <f t="shared" ref="G3:G15" si="3">A3*F3</f>
        <v>43.108892204337323</v>
      </c>
      <c r="H3">
        <f t="shared" ref="H3:H15" si="4">(1+$B$21)^(-A3)</f>
        <v>0.92290324600650164</v>
      </c>
      <c r="I3">
        <f t="shared" ref="I3:I15" si="5">G3*H3</f>
        <v>39.785336547127287</v>
      </c>
    </row>
    <row r="4" spans="1:9">
      <c r="A4">
        <v>3</v>
      </c>
      <c r="B4" s="1">
        <v>44119</v>
      </c>
      <c r="C4">
        <f t="shared" si="0"/>
        <v>2.1049460114445306E-2</v>
      </c>
      <c r="D4">
        <v>1.0443869725298376</v>
      </c>
      <c r="E4">
        <f t="shared" si="1"/>
        <v>1044.3869725298375</v>
      </c>
      <c r="F4">
        <f t="shared" si="2"/>
        <v>21.983781922313099</v>
      </c>
      <c r="G4">
        <f t="shared" si="3"/>
        <v>65.951345766939298</v>
      </c>
      <c r="H4">
        <f t="shared" si="4"/>
        <v>0.88661333755016924</v>
      </c>
      <c r="I4">
        <f t="shared" si="5"/>
        <v>58.473342786351274</v>
      </c>
    </row>
    <row r="5" spans="1:9">
      <c r="A5">
        <v>4</v>
      </c>
      <c r="B5" s="1">
        <v>44301</v>
      </c>
      <c r="C5">
        <f t="shared" si="0"/>
        <v>2.1049460114445306E-2</v>
      </c>
      <c r="D5">
        <v>1.093203893355551</v>
      </c>
      <c r="E5">
        <f t="shared" si="1"/>
        <v>1093.2038933555509</v>
      </c>
      <c r="F5">
        <f t="shared" si="2"/>
        <v>23.011351750143991</v>
      </c>
      <c r="G5">
        <f t="shared" si="3"/>
        <v>92.045407000575963</v>
      </c>
      <c r="H5">
        <f t="shared" si="4"/>
        <v>0.85175040148933723</v>
      </c>
      <c r="I5">
        <f t="shared" si="5"/>
        <v>78.399712367990034</v>
      </c>
    </row>
    <row r="6" spans="1:9">
      <c r="A6">
        <v>5</v>
      </c>
      <c r="B6" s="1">
        <v>44484</v>
      </c>
      <c r="C6">
        <f t="shared" si="0"/>
        <v>2.1049460114445306E-2</v>
      </c>
      <c r="D6">
        <v>1.1558509512559274</v>
      </c>
      <c r="E6">
        <f t="shared" si="1"/>
        <v>1155.8509512559274</v>
      </c>
      <c r="F6">
        <f t="shared" si="2"/>
        <v>24.33003849670531</v>
      </c>
      <c r="G6">
        <f t="shared" si="3"/>
        <v>121.65019248352655</v>
      </c>
      <c r="H6">
        <f t="shared" si="4"/>
        <v>0.8182583271777093</v>
      </c>
      <c r="I6">
        <f t="shared" si="5"/>
        <v>99.541283002416776</v>
      </c>
    </row>
    <row r="7" spans="1:9">
      <c r="A7">
        <v>6</v>
      </c>
      <c r="B7" s="1">
        <v>44666</v>
      </c>
      <c r="C7">
        <f t="shared" si="0"/>
        <v>2.1049460114445306E-2</v>
      </c>
      <c r="D7">
        <v>1.2258257174163791</v>
      </c>
      <c r="E7">
        <f t="shared" si="1"/>
        <v>1225.8257174163791</v>
      </c>
      <c r="F7">
        <f t="shared" si="2"/>
        <v>25.802969546017376</v>
      </c>
      <c r="G7">
        <f t="shared" si="3"/>
        <v>154.81781727610425</v>
      </c>
      <c r="H7">
        <f t="shared" si="4"/>
        <v>0.78608321032185036</v>
      </c>
      <c r="I7">
        <f t="shared" si="5"/>
        <v>121.69968681942166</v>
      </c>
    </row>
    <row r="8" spans="1:9">
      <c r="A8">
        <v>7</v>
      </c>
      <c r="B8" s="1">
        <v>44849</v>
      </c>
      <c r="C8">
        <f t="shared" si="0"/>
        <v>2.1049460114445306E-2</v>
      </c>
      <c r="D8">
        <v>1.2274538080433754</v>
      </c>
      <c r="E8">
        <f t="shared" si="1"/>
        <v>1227.4538080433754</v>
      </c>
      <c r="F8">
        <f t="shared" si="2"/>
        <v>25.837239974733034</v>
      </c>
      <c r="G8">
        <f t="shared" si="3"/>
        <v>180.86067982313125</v>
      </c>
      <c r="H8">
        <f t="shared" si="4"/>
        <v>0.75517326622415792</v>
      </c>
      <c r="I8">
        <f t="shared" si="5"/>
        <v>136.5811503135557</v>
      </c>
    </row>
    <row r="9" spans="1:9">
      <c r="A9">
        <v>8</v>
      </c>
      <c r="B9" s="1">
        <v>45031</v>
      </c>
      <c r="C9">
        <f t="shared" si="0"/>
        <v>2.1049460114445306E-2</v>
      </c>
      <c r="D9">
        <v>1.3099378339613461</v>
      </c>
      <c r="E9">
        <f t="shared" si="1"/>
        <v>1309.9378339613461</v>
      </c>
      <c r="F9">
        <f t="shared" si="2"/>
        <v>27.573484188372234</v>
      </c>
      <c r="G9">
        <f t="shared" si="3"/>
        <v>220.58787350697787</v>
      </c>
      <c r="H9">
        <f t="shared" si="4"/>
        <v>0.72547874643724719</v>
      </c>
      <c r="I9">
        <f t="shared" si="5"/>
        <v>160.03181395110036</v>
      </c>
    </row>
    <row r="10" spans="1:9">
      <c r="A10">
        <v>9</v>
      </c>
      <c r="B10" s="1">
        <v>45214</v>
      </c>
      <c r="C10">
        <f t="shared" si="0"/>
        <v>2.1049460114445306E-2</v>
      </c>
      <c r="D10">
        <v>1.3303416326179853</v>
      </c>
      <c r="E10">
        <f t="shared" si="1"/>
        <v>1330.3416326179854</v>
      </c>
      <c r="F10">
        <f t="shared" si="2"/>
        <v>28.002973134378333</v>
      </c>
      <c r="G10">
        <f t="shared" si="3"/>
        <v>252.02675820940499</v>
      </c>
      <c r="H10">
        <f t="shared" si="4"/>
        <v>0.69695185869560738</v>
      </c>
      <c r="I10">
        <f t="shared" si="5"/>
        <v>175.65051757507322</v>
      </c>
    </row>
    <row r="11" spans="1:9">
      <c r="A11">
        <v>10</v>
      </c>
      <c r="B11" s="1">
        <v>45397</v>
      </c>
      <c r="C11">
        <f t="shared" si="0"/>
        <v>2.1049460114445306E-2</v>
      </c>
      <c r="D11">
        <v>1.392908953311524</v>
      </c>
      <c r="E11">
        <f t="shared" si="1"/>
        <v>1392.9089533115239</v>
      </c>
      <c r="F11">
        <f t="shared" si="2"/>
        <v>29.319981455784681</v>
      </c>
      <c r="G11">
        <f t="shared" si="3"/>
        <v>293.19981455784682</v>
      </c>
      <c r="H11">
        <f t="shared" si="4"/>
        <v>0.66954668999566325</v>
      </c>
      <c r="I11">
        <f t="shared" si="5"/>
        <v>196.31096534454861</v>
      </c>
    </row>
    <row r="12" spans="1:9">
      <c r="A12">
        <v>11</v>
      </c>
      <c r="B12" s="1">
        <v>45580</v>
      </c>
      <c r="C12">
        <f t="shared" si="0"/>
        <v>2.1049460114445306E-2</v>
      </c>
      <c r="D12">
        <v>1.4122040269596259</v>
      </c>
      <c r="E12">
        <f t="shared" si="1"/>
        <v>1412.2040269596259</v>
      </c>
      <c r="F12">
        <f t="shared" si="2"/>
        <v>29.726132338945689</v>
      </c>
      <c r="G12">
        <f t="shared" si="3"/>
        <v>326.98745572840255</v>
      </c>
      <c r="H12">
        <f t="shared" si="4"/>
        <v>0.64321913270044073</v>
      </c>
      <c r="I12">
        <f t="shared" si="5"/>
        <v>210.32458767754684</v>
      </c>
    </row>
    <row r="13" spans="1:9">
      <c r="A13">
        <v>12</v>
      </c>
      <c r="B13" s="1">
        <v>45762</v>
      </c>
      <c r="C13">
        <f t="shared" si="0"/>
        <v>2.1049460114445306E-2</v>
      </c>
      <c r="D13">
        <v>1.4765895066113688</v>
      </c>
      <c r="E13">
        <f t="shared" si="1"/>
        <v>1476.5895066113687</v>
      </c>
      <c r="F13">
        <f t="shared" si="2"/>
        <v>31.081411924824479</v>
      </c>
      <c r="G13">
        <f t="shared" si="3"/>
        <v>372.97694309789375</v>
      </c>
      <c r="H13">
        <f t="shared" si="4"/>
        <v>0.61792681354990642</v>
      </c>
      <c r="I13">
        <f t="shared" si="5"/>
        <v>230.47245397606625</v>
      </c>
    </row>
    <row r="14" spans="1:9">
      <c r="A14">
        <v>13</v>
      </c>
      <c r="B14" s="1">
        <v>45945</v>
      </c>
      <c r="C14">
        <f t="shared" si="0"/>
        <v>2.1049460114445306E-2</v>
      </c>
      <c r="D14">
        <v>1.4964258873826102</v>
      </c>
      <c r="E14">
        <f t="shared" si="1"/>
        <v>1496.4258873826102</v>
      </c>
      <c r="F14">
        <f t="shared" si="2"/>
        <v>31.498957030683677</v>
      </c>
      <c r="G14">
        <f t="shared" si="3"/>
        <v>409.48644139888779</v>
      </c>
      <c r="H14">
        <f t="shared" si="4"/>
        <v>0.59362902546272345</v>
      </c>
      <c r="I14">
        <f t="shared" si="5"/>
        <v>243.08303714782036</v>
      </c>
    </row>
    <row r="15" spans="1:9">
      <c r="A15">
        <v>14</v>
      </c>
      <c r="B15" s="1">
        <v>46127</v>
      </c>
      <c r="C15">
        <f t="shared" si="0"/>
        <v>2.1049460114445306E-2</v>
      </c>
      <c r="D15">
        <v>1.5645795377719514</v>
      </c>
      <c r="E15">
        <f t="shared" si="1"/>
        <v>1564.5795377719514</v>
      </c>
      <c r="F15">
        <f t="shared" si="2"/>
        <v>32.933554576207968</v>
      </c>
      <c r="G15">
        <f t="shared" si="3"/>
        <v>461.06976406691155</v>
      </c>
      <c r="H15">
        <f t="shared" si="4"/>
        <v>0.57028666201966294</v>
      </c>
      <c r="I15">
        <f t="shared" si="5"/>
        <v>262.94193670791253</v>
      </c>
    </row>
    <row r="16" spans="1:9">
      <c r="H16" t="s">
        <v>4</v>
      </c>
      <c r="I16">
        <f>SUM(I2:I15)</f>
        <v>2033.6188727569247</v>
      </c>
    </row>
    <row r="17" spans="1:9">
      <c r="A17" t="s">
        <v>98</v>
      </c>
      <c r="B17" s="8">
        <v>1000</v>
      </c>
      <c r="H17" t="s">
        <v>5</v>
      </c>
      <c r="I17">
        <f>(A15*B19)*H15</f>
        <v>12491.623788843266</v>
      </c>
    </row>
    <row r="18" spans="1:9">
      <c r="A18" t="s">
        <v>79</v>
      </c>
      <c r="B18" s="13">
        <v>4.2542000000000003E-2</v>
      </c>
      <c r="H18" t="s">
        <v>6</v>
      </c>
      <c r="I18">
        <f>SUM(I16:I17)</f>
        <v>14525.24266160019</v>
      </c>
    </row>
    <row r="19" spans="1:9">
      <c r="A19" t="s">
        <v>111</v>
      </c>
      <c r="B19">
        <f>B17*D15</f>
        <v>1564.5795377719514</v>
      </c>
      <c r="H19" t="s">
        <v>89</v>
      </c>
      <c r="I19">
        <f>(I18/B20)/2</f>
        <v>6.2190928288188223</v>
      </c>
    </row>
    <row r="20" spans="1:9">
      <c r="A20" t="s">
        <v>90</v>
      </c>
      <c r="B20">
        <v>1167.794328</v>
      </c>
      <c r="H20" t="s">
        <v>18</v>
      </c>
      <c r="I20">
        <f>I19/(1+B21)</f>
        <v>5.974548982629253</v>
      </c>
    </row>
    <row r="21" spans="1:9">
      <c r="A21" t="s">
        <v>101</v>
      </c>
      <c r="B21">
        <v>4.0930929999999997E-2</v>
      </c>
    </row>
    <row r="22" spans="1:9">
      <c r="A22" t="s">
        <v>145</v>
      </c>
      <c r="B22">
        <f>F8/B20</f>
        <v>2.2124820574340925E-2</v>
      </c>
    </row>
    <row r="23" spans="1:9">
      <c r="A23" t="s">
        <v>19</v>
      </c>
      <c r="B23" t="s">
        <v>133</v>
      </c>
      <c r="G23" s="6"/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A28C6-622C-4D91-82DA-AEB0E7BED87A}">
  <sheetPr codeName="Planilha18"/>
  <dimension ref="A1:J18"/>
  <sheetViews>
    <sheetView workbookViewId="0">
      <selection activeCell="B18" sqref="B18"/>
    </sheetView>
  </sheetViews>
  <sheetFormatPr defaultRowHeight="15"/>
  <cols>
    <col min="2" max="2" width="11" customWidth="1"/>
    <col min="4" max="4" width="10.7109375" bestFit="1" customWidth="1"/>
  </cols>
  <sheetData>
    <row r="1" spans="1:10">
      <c r="A1" t="s">
        <v>96</v>
      </c>
      <c r="B1" t="s">
        <v>0</v>
      </c>
      <c r="C1" t="s">
        <v>121</v>
      </c>
      <c r="D1" t="s">
        <v>141</v>
      </c>
      <c r="E1" t="s">
        <v>116</v>
      </c>
      <c r="F1" t="s">
        <v>142</v>
      </c>
      <c r="G1" t="s">
        <v>107</v>
      </c>
      <c r="H1" t="s">
        <v>12</v>
      </c>
      <c r="I1" t="s">
        <v>3</v>
      </c>
      <c r="J1" t="s">
        <v>102</v>
      </c>
    </row>
    <row r="2" spans="1:10">
      <c r="A2">
        <v>0</v>
      </c>
      <c r="B2" s="1">
        <v>43607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</v>
      </c>
      <c r="B3" s="1">
        <v>43753</v>
      </c>
      <c r="C3">
        <v>6.4000000000000001E-2</v>
      </c>
      <c r="D3" s="13">
        <f>((1+C3)^((NETWORKDAYS.INTL(B2,B3))/252))-1</f>
        <v>2.6185038137746641E-2</v>
      </c>
      <c r="E3">
        <v>1.0725</v>
      </c>
      <c r="F3">
        <f>D3*E3</f>
        <v>2.8083453402733272E-2</v>
      </c>
      <c r="G3">
        <f>$B$14*F3</f>
        <v>28.083453402733273</v>
      </c>
      <c r="H3">
        <f>A3*G3</f>
        <v>28.083453402733273</v>
      </c>
      <c r="I3">
        <f>(1+$B$16)^(-A3)</f>
        <v>0.95615111999048286</v>
      </c>
      <c r="J3">
        <f>H3*I3</f>
        <v>26.852025424223957</v>
      </c>
    </row>
    <row r="4" spans="1:10">
      <c r="A4">
        <v>2</v>
      </c>
      <c r="B4" s="1">
        <v>43936</v>
      </c>
      <c r="C4">
        <v>3.6499999999999998E-2</v>
      </c>
      <c r="D4" s="13">
        <f t="shared" ref="D4:D12" si="0">((1+C4)^((NETWORKDAYS.INTL(B3,B4))/252))-1</f>
        <v>1.8955812400530458E-2</v>
      </c>
      <c r="E4">
        <v>1.0725</v>
      </c>
      <c r="F4">
        <f t="shared" ref="F4:F12" si="1">D4*E4</f>
        <v>2.0330108799568918E-2</v>
      </c>
      <c r="G4">
        <f t="shared" ref="G4:G12" si="2">$B$14*F4</f>
        <v>20.330108799568919</v>
      </c>
      <c r="H4">
        <f t="shared" ref="H4:H12" si="3">A4*G4</f>
        <v>40.660217599137837</v>
      </c>
      <c r="I4">
        <f t="shared" ref="I4:I12" si="4">(1+$B$16)^(-A4)</f>
        <v>0.91422496425905475</v>
      </c>
      <c r="J4">
        <f t="shared" ref="J4:J12" si="5">H4*I4</f>
        <v>37.172585981337178</v>
      </c>
    </row>
    <row r="5" spans="1:10">
      <c r="A5">
        <v>3</v>
      </c>
      <c r="B5" s="1">
        <v>44119</v>
      </c>
      <c r="C5">
        <v>1.9E-2</v>
      </c>
      <c r="D5" s="13">
        <f t="shared" si="0"/>
        <v>9.9077743165203458E-3</v>
      </c>
      <c r="E5">
        <v>1.0725</v>
      </c>
      <c r="F5">
        <f t="shared" si="1"/>
        <v>1.0626087954468072E-2</v>
      </c>
      <c r="G5">
        <f t="shared" si="2"/>
        <v>10.626087954468071</v>
      </c>
      <c r="H5">
        <f t="shared" si="3"/>
        <v>31.878263863404214</v>
      </c>
      <c r="I5">
        <f t="shared" si="4"/>
        <v>0.87413722349955436</v>
      </c>
      <c r="J5">
        <f t="shared" si="5"/>
        <v>27.865977063542338</v>
      </c>
    </row>
    <row r="6" spans="1:10">
      <c r="A6">
        <v>4</v>
      </c>
      <c r="B6" s="1">
        <v>44301</v>
      </c>
      <c r="C6">
        <v>2.6499999999999999E-2</v>
      </c>
      <c r="D6" s="13">
        <f t="shared" si="0"/>
        <v>1.3689278051643772E-2</v>
      </c>
      <c r="E6">
        <v>1.0725</v>
      </c>
      <c r="F6">
        <f t="shared" si="1"/>
        <v>1.4681750710387945E-2</v>
      </c>
      <c r="G6">
        <f t="shared" si="2"/>
        <v>14.681750710387945</v>
      </c>
      <c r="H6">
        <f t="shared" si="3"/>
        <v>58.72700284155178</v>
      </c>
      <c r="I6">
        <f t="shared" si="4"/>
        <v>0.83580728527447001</v>
      </c>
      <c r="J6">
        <f t="shared" si="5"/>
        <v>49.084456817303483</v>
      </c>
    </row>
    <row r="7" spans="1:10">
      <c r="A7">
        <v>5</v>
      </c>
      <c r="B7" s="1">
        <v>44484</v>
      </c>
      <c r="C7">
        <v>6.1499999999999999E-2</v>
      </c>
      <c r="D7" s="13">
        <f t="shared" si="0"/>
        <v>3.175633010592116E-2</v>
      </c>
      <c r="E7">
        <v>1.0725</v>
      </c>
      <c r="F7">
        <f t="shared" si="1"/>
        <v>3.4058664038600445E-2</v>
      </c>
      <c r="G7">
        <f t="shared" si="2"/>
        <v>34.058664038600448</v>
      </c>
      <c r="H7">
        <f t="shared" si="3"/>
        <v>170.29332019300224</v>
      </c>
      <c r="I7">
        <f t="shared" si="4"/>
        <v>0.79915807191138943</v>
      </c>
      <c r="J7">
        <f t="shared" si="5"/>
        <v>136.09128142482857</v>
      </c>
    </row>
    <row r="8" spans="1:10">
      <c r="A8">
        <v>6</v>
      </c>
      <c r="B8" s="1">
        <v>44666</v>
      </c>
      <c r="C8">
        <v>0.11650000000000001</v>
      </c>
      <c r="D8" s="13">
        <f t="shared" si="0"/>
        <v>5.8958502313748662E-2</v>
      </c>
      <c r="E8">
        <v>1.0725</v>
      </c>
      <c r="F8">
        <f t="shared" si="1"/>
        <v>6.3232993731495435E-2</v>
      </c>
      <c r="G8">
        <f t="shared" si="2"/>
        <v>63.232993731495434</v>
      </c>
      <c r="H8">
        <f t="shared" si="3"/>
        <v>379.39796238897259</v>
      </c>
      <c r="I8">
        <f t="shared" si="4"/>
        <v>0.76411588550750997</v>
      </c>
      <c r="J8">
        <f t="shared" si="5"/>
        <v>289.90400999059477</v>
      </c>
    </row>
    <row r="9" spans="1:10">
      <c r="A9">
        <v>7</v>
      </c>
      <c r="B9" s="1">
        <v>44849</v>
      </c>
      <c r="C9">
        <v>0.13650000000000001</v>
      </c>
      <c r="D9" s="13">
        <f t="shared" si="0"/>
        <v>6.8777465213071487E-2</v>
      </c>
      <c r="E9">
        <v>1.0725</v>
      </c>
      <c r="F9">
        <f t="shared" si="1"/>
        <v>7.3763831441019168E-2</v>
      </c>
      <c r="G9">
        <f t="shared" si="2"/>
        <v>73.763831441019164</v>
      </c>
      <c r="H9">
        <f t="shared" si="3"/>
        <v>516.34682008713412</v>
      </c>
      <c r="I9">
        <f t="shared" si="4"/>
        <v>0.73061025973052518</v>
      </c>
      <c r="J9">
        <f t="shared" si="5"/>
        <v>377.24828433489182</v>
      </c>
    </row>
    <row r="10" spans="1:10">
      <c r="A10">
        <v>8</v>
      </c>
      <c r="B10" s="1">
        <v>45031</v>
      </c>
      <c r="C10">
        <v>0.13700000000000001</v>
      </c>
      <c r="D10" s="13">
        <f t="shared" si="0"/>
        <v>6.847734712457676E-2</v>
      </c>
      <c r="E10">
        <v>1.0725</v>
      </c>
      <c r="F10">
        <f t="shared" si="1"/>
        <v>7.3441954791108571E-2</v>
      </c>
      <c r="G10">
        <f t="shared" si="2"/>
        <v>73.441954791108571</v>
      </c>
      <c r="H10">
        <f t="shared" si="3"/>
        <v>587.53563832886857</v>
      </c>
      <c r="I10">
        <f t="shared" si="4"/>
        <v>0.69857381811787933</v>
      </c>
      <c r="J10">
        <f t="shared" si="5"/>
        <v>410.43701414772318</v>
      </c>
    </row>
    <row r="11" spans="1:10">
      <c r="A11">
        <v>9</v>
      </c>
      <c r="B11" s="1">
        <v>45214</v>
      </c>
      <c r="C11">
        <v>0.13305</v>
      </c>
      <c r="D11" s="13">
        <f t="shared" si="0"/>
        <v>6.6560839934359128E-2</v>
      </c>
      <c r="E11">
        <v>1.0725</v>
      </c>
      <c r="F11">
        <f t="shared" si="1"/>
        <v>7.1386500829600172E-2</v>
      </c>
      <c r="G11">
        <f t="shared" si="2"/>
        <v>71.386500829600166</v>
      </c>
      <c r="H11">
        <f t="shared" si="3"/>
        <v>642.47850746640154</v>
      </c>
      <c r="I11">
        <f t="shared" si="4"/>
        <v>0.66794213858943818</v>
      </c>
      <c r="J11">
        <f t="shared" si="5"/>
        <v>429.13846827485855</v>
      </c>
    </row>
    <row r="12" spans="1:10">
      <c r="A12">
        <v>10</v>
      </c>
      <c r="B12" s="1">
        <v>45397</v>
      </c>
      <c r="C12">
        <v>0.12570000000000001</v>
      </c>
      <c r="D12" s="13">
        <f t="shared" si="0"/>
        <v>6.3485625154833025E-2</v>
      </c>
      <c r="E12">
        <v>1.0725</v>
      </c>
      <c r="F12">
        <f t="shared" si="1"/>
        <v>6.8088332978558416E-2</v>
      </c>
      <c r="G12">
        <f t="shared" si="2"/>
        <v>68.088332978558412</v>
      </c>
      <c r="H12">
        <f t="shared" si="3"/>
        <v>680.88332978558412</v>
      </c>
      <c r="I12">
        <f t="shared" si="4"/>
        <v>0.63865362390112967</v>
      </c>
      <c r="J12">
        <f t="shared" si="5"/>
        <v>434.84860602143129</v>
      </c>
    </row>
    <row r="13" spans="1:10">
      <c r="I13" t="s">
        <v>4</v>
      </c>
      <c r="J13">
        <f>SUM(J3:J12)</f>
        <v>2218.642709480735</v>
      </c>
    </row>
    <row r="14" spans="1:10">
      <c r="A14" t="s">
        <v>98</v>
      </c>
      <c r="B14" s="8">
        <v>1000</v>
      </c>
      <c r="I14" t="s">
        <v>5</v>
      </c>
      <c r="J14">
        <f>(A12*B14)*I12</f>
        <v>6386.5362390112969</v>
      </c>
    </row>
    <row r="15" spans="1:10">
      <c r="A15" t="s">
        <v>90</v>
      </c>
      <c r="B15" s="8">
        <v>977.65015500000004</v>
      </c>
      <c r="I15" t="s">
        <v>6</v>
      </c>
      <c r="J15">
        <f>SUM(J13:J14)</f>
        <v>8605.1789484920319</v>
      </c>
    </row>
    <row r="16" spans="1:10">
      <c r="A16" t="s">
        <v>101</v>
      </c>
      <c r="B16">
        <v>4.5859780000000003E-2</v>
      </c>
      <c r="I16" t="s">
        <v>89</v>
      </c>
      <c r="J16">
        <f>(J15/B15)/2</f>
        <v>4.4009500251611131</v>
      </c>
    </row>
    <row r="17" spans="1:10">
      <c r="A17" t="s">
        <v>119</v>
      </c>
      <c r="B17">
        <f>G9/B15</f>
        <v>7.5450130155218106E-2</v>
      </c>
      <c r="I17" t="s">
        <v>18</v>
      </c>
      <c r="J17">
        <f>J16/(1+B16)</f>
        <v>4.2079732955799418</v>
      </c>
    </row>
    <row r="18" spans="1:10">
      <c r="A18" t="s">
        <v>19</v>
      </c>
      <c r="B18" t="s">
        <v>133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448C1-EC93-402A-8841-95EE04CEF9F5}">
  <sheetPr codeName="Planilha19"/>
  <dimension ref="A1:J18"/>
  <sheetViews>
    <sheetView workbookViewId="0">
      <selection activeCell="J17" sqref="J17"/>
    </sheetView>
  </sheetViews>
  <sheetFormatPr defaultRowHeight="15"/>
  <cols>
    <col min="2" max="2" width="10.7109375" customWidth="1"/>
    <col min="4" max="4" width="10.7109375" bestFit="1" customWidth="1"/>
    <col min="6" max="6" width="10.5703125" bestFit="1" customWidth="1"/>
    <col min="9" max="9" width="10" bestFit="1" customWidth="1"/>
  </cols>
  <sheetData>
    <row r="1" spans="1:10">
      <c r="A1" t="s">
        <v>96</v>
      </c>
      <c r="B1" t="s">
        <v>0</v>
      </c>
      <c r="C1" t="s">
        <v>121</v>
      </c>
      <c r="D1" t="s">
        <v>141</v>
      </c>
      <c r="E1" t="s">
        <v>116</v>
      </c>
      <c r="F1" t="s">
        <v>142</v>
      </c>
      <c r="G1" t="s">
        <v>107</v>
      </c>
      <c r="H1" t="s">
        <v>12</v>
      </c>
      <c r="I1" t="s">
        <v>3</v>
      </c>
      <c r="J1" t="s">
        <v>102</v>
      </c>
    </row>
    <row r="2" spans="1:10">
      <c r="A2">
        <v>0</v>
      </c>
      <c r="B2" s="1">
        <v>43642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</v>
      </c>
      <c r="B3" s="1">
        <v>43809</v>
      </c>
      <c r="C3">
        <v>4.3999999999999997E-2</v>
      </c>
      <c r="D3" s="15">
        <f>(1+C3)^(NETWORKDAYS.INTL(B2,B3)/252)-1</f>
        <v>2.0716180635545589E-2</v>
      </c>
      <c r="E3">
        <f>0.95/100</f>
        <v>9.4999999999999998E-3</v>
      </c>
      <c r="F3" s="15">
        <f>D3+E3</f>
        <v>3.0216180635545591E-2</v>
      </c>
      <c r="G3">
        <f>$B$14*F3</f>
        <v>30.216180635545591</v>
      </c>
      <c r="H3">
        <f>A3*G3</f>
        <v>30.216180635545591</v>
      </c>
      <c r="I3">
        <f>(1+$B$16)^(-A3)</f>
        <v>0.95694921833182067</v>
      </c>
      <c r="J3">
        <f>H3*I3</f>
        <v>28.915350440158448</v>
      </c>
    </row>
    <row r="4" spans="1:10">
      <c r="A4">
        <v>2</v>
      </c>
      <c r="B4" s="1">
        <v>43992</v>
      </c>
      <c r="C4">
        <v>2.9000000000000001E-2</v>
      </c>
      <c r="D4" s="15">
        <f t="shared" ref="D4:D12" si="0">(1+C4)^(NETWORKDAYS.INTL(B3,B4)/252)-1</f>
        <v>1.5087059945274373E-2</v>
      </c>
      <c r="E4">
        <f t="shared" ref="E4:E12" si="1">0.95/100</f>
        <v>9.4999999999999998E-3</v>
      </c>
      <c r="F4" s="15">
        <f t="shared" ref="F4:F12" si="2">D4+E4</f>
        <v>2.4587059945274374E-2</v>
      </c>
      <c r="G4">
        <f t="shared" ref="G4:G12" si="3">$B$14*F4</f>
        <v>24.587059945274373</v>
      </c>
      <c r="H4">
        <f t="shared" ref="H4:H12" si="4">A4*G4</f>
        <v>49.174119890548745</v>
      </c>
      <c r="I4">
        <f t="shared" ref="I4:I12" si="5">(1+$B$16)^(-A4)</f>
        <v>0.91575180646588261</v>
      </c>
      <c r="J4">
        <f t="shared" ref="J4:J12" si="6">H4*I4</f>
        <v>45.031289121139906</v>
      </c>
    </row>
    <row r="5" spans="1:10">
      <c r="A5">
        <v>3</v>
      </c>
      <c r="B5" s="1">
        <v>44175</v>
      </c>
      <c r="C5">
        <v>1.9E-2</v>
      </c>
      <c r="D5" s="15">
        <f t="shared" si="0"/>
        <v>9.9077743165203458E-3</v>
      </c>
      <c r="E5">
        <f t="shared" si="1"/>
        <v>9.4999999999999998E-3</v>
      </c>
      <c r="F5" s="15">
        <f t="shared" si="2"/>
        <v>1.9407774316520347E-2</v>
      </c>
      <c r="G5">
        <f t="shared" si="3"/>
        <v>19.407774316520346</v>
      </c>
      <c r="H5">
        <f t="shared" si="4"/>
        <v>58.223322949561037</v>
      </c>
      <c r="I5">
        <f t="shared" si="5"/>
        <v>0.87632797538347906</v>
      </c>
      <c r="J5">
        <f t="shared" si="6"/>
        <v>51.022726720487277</v>
      </c>
    </row>
    <row r="6" spans="1:10">
      <c r="A6">
        <v>4</v>
      </c>
      <c r="B6" s="1">
        <v>44357</v>
      </c>
      <c r="C6">
        <v>3.4000000000000002E-2</v>
      </c>
      <c r="D6" s="15">
        <f t="shared" si="0"/>
        <v>1.7532701065538836E-2</v>
      </c>
      <c r="E6">
        <f t="shared" si="1"/>
        <v>9.4999999999999998E-3</v>
      </c>
      <c r="F6" s="15">
        <f t="shared" si="2"/>
        <v>2.7032701065538838E-2</v>
      </c>
      <c r="G6">
        <f t="shared" si="3"/>
        <v>27.032701065538838</v>
      </c>
      <c r="H6">
        <f t="shared" si="4"/>
        <v>108.13080426215535</v>
      </c>
      <c r="I6">
        <f t="shared" si="5"/>
        <v>0.83860137104552734</v>
      </c>
      <c r="J6">
        <f t="shared" si="6"/>
        <v>90.678640706499024</v>
      </c>
    </row>
    <row r="7" spans="1:10">
      <c r="A7">
        <v>5</v>
      </c>
      <c r="B7" s="1">
        <v>44540</v>
      </c>
      <c r="C7">
        <v>9.1499999999999998E-2</v>
      </c>
      <c r="D7" s="15">
        <f t="shared" si="0"/>
        <v>4.692892095612633E-2</v>
      </c>
      <c r="E7">
        <f t="shared" si="1"/>
        <v>9.4999999999999998E-3</v>
      </c>
      <c r="F7" s="15">
        <f t="shared" si="2"/>
        <v>5.6428920956126331E-2</v>
      </c>
      <c r="G7">
        <f t="shared" si="3"/>
        <v>56.428920956126333</v>
      </c>
      <c r="H7">
        <f t="shared" si="4"/>
        <v>282.14460478063165</v>
      </c>
      <c r="I7">
        <f t="shared" si="5"/>
        <v>0.80249892651401056</v>
      </c>
      <c r="J7">
        <f t="shared" si="6"/>
        <v>226.42074245817668</v>
      </c>
    </row>
    <row r="8" spans="1:10">
      <c r="A8">
        <v>6</v>
      </c>
      <c r="B8" s="1">
        <v>44722</v>
      </c>
      <c r="C8">
        <v>0.1265</v>
      </c>
      <c r="D8" s="15">
        <f t="shared" si="0"/>
        <v>6.3878446991125104E-2</v>
      </c>
      <c r="E8">
        <f t="shared" si="1"/>
        <v>9.4999999999999998E-3</v>
      </c>
      <c r="F8" s="15">
        <f t="shared" si="2"/>
        <v>7.3378446991125099E-2</v>
      </c>
      <c r="G8">
        <f t="shared" si="3"/>
        <v>73.378446991125102</v>
      </c>
      <c r="H8">
        <f t="shared" si="4"/>
        <v>440.27068194675064</v>
      </c>
      <c r="I8">
        <f t="shared" si="5"/>
        <v>0.76795072043970747</v>
      </c>
      <c r="J8">
        <f t="shared" si="6"/>
        <v>338.10618738948847</v>
      </c>
    </row>
    <row r="9" spans="1:10">
      <c r="A9">
        <v>7</v>
      </c>
      <c r="B9" s="1">
        <v>44905</v>
      </c>
      <c r="C9">
        <v>0.13655999999999999</v>
      </c>
      <c r="D9" s="15">
        <f t="shared" si="0"/>
        <v>6.8806796718195784E-2</v>
      </c>
      <c r="E9">
        <f t="shared" si="1"/>
        <v>9.4999999999999998E-3</v>
      </c>
      <c r="F9" s="15">
        <f t="shared" si="2"/>
        <v>7.8306796718195779E-2</v>
      </c>
      <c r="G9">
        <f t="shared" si="3"/>
        <v>78.306796718195784</v>
      </c>
      <c r="H9">
        <f t="shared" si="4"/>
        <v>548.14757702737052</v>
      </c>
      <c r="I9">
        <f t="shared" si="5"/>
        <v>0.73488984164213655</v>
      </c>
      <c r="J9">
        <f t="shared" si="6"/>
        <v>402.82808607816514</v>
      </c>
    </row>
    <row r="10" spans="1:10">
      <c r="A10">
        <v>8</v>
      </c>
      <c r="B10" s="1">
        <v>45087</v>
      </c>
      <c r="C10">
        <v>0.13658000000000001</v>
      </c>
      <c r="D10" s="15">
        <f t="shared" si="0"/>
        <v>6.8273719922077536E-2</v>
      </c>
      <c r="E10">
        <f t="shared" si="1"/>
        <v>9.4999999999999998E-3</v>
      </c>
      <c r="F10" s="15">
        <f t="shared" si="2"/>
        <v>7.777371992207753E-2</v>
      </c>
      <c r="G10">
        <f t="shared" si="3"/>
        <v>77.773719922077532</v>
      </c>
      <c r="H10">
        <f t="shared" si="4"/>
        <v>622.18975937662026</v>
      </c>
      <c r="I10">
        <f t="shared" si="5"/>
        <v>0.70325225951943815</v>
      </c>
      <c r="J10">
        <f t="shared" si="6"/>
        <v>437.55635413146371</v>
      </c>
    </row>
    <row r="11" spans="1:10">
      <c r="A11">
        <v>9</v>
      </c>
      <c r="B11" s="1">
        <v>45270</v>
      </c>
      <c r="C11">
        <v>0.13150999999999999</v>
      </c>
      <c r="D11" s="15">
        <f t="shared" si="0"/>
        <v>6.5812768539307287E-2</v>
      </c>
      <c r="E11">
        <f t="shared" si="1"/>
        <v>9.4999999999999998E-3</v>
      </c>
      <c r="F11" s="15">
        <f t="shared" si="2"/>
        <v>7.5312768539307282E-2</v>
      </c>
      <c r="G11">
        <f t="shared" si="3"/>
        <v>75.312768539307285</v>
      </c>
      <c r="H11">
        <f t="shared" si="4"/>
        <v>677.81491685376557</v>
      </c>
      <c r="I11">
        <f t="shared" si="5"/>
        <v>0.6729767000372131</v>
      </c>
      <c r="J11">
        <f t="shared" si="6"/>
        <v>456.15364598024513</v>
      </c>
    </row>
    <row r="12" spans="1:10">
      <c r="A12">
        <v>10</v>
      </c>
      <c r="B12" s="1">
        <v>45453</v>
      </c>
      <c r="C12">
        <v>0.12570000000000001</v>
      </c>
      <c r="D12" s="15">
        <f t="shared" si="0"/>
        <v>6.3485625154833025E-2</v>
      </c>
      <c r="E12">
        <f t="shared" si="1"/>
        <v>9.4999999999999998E-3</v>
      </c>
      <c r="F12" s="15">
        <f t="shared" si="2"/>
        <v>7.298562515483302E-2</v>
      </c>
      <c r="G12">
        <f t="shared" si="3"/>
        <v>72.985625154833016</v>
      </c>
      <c r="H12">
        <f t="shared" si="4"/>
        <v>729.85625154833019</v>
      </c>
      <c r="I12">
        <f t="shared" si="5"/>
        <v>0.64400452705613931</v>
      </c>
      <c r="J12">
        <f t="shared" si="6"/>
        <v>470.03073009734902</v>
      </c>
    </row>
    <row r="13" spans="1:10">
      <c r="I13" t="s">
        <v>4</v>
      </c>
      <c r="J13">
        <f>SUM(J3:J12)</f>
        <v>2546.7437531231726</v>
      </c>
    </row>
    <row r="14" spans="1:10">
      <c r="A14" t="s">
        <v>98</v>
      </c>
      <c r="B14" s="8">
        <v>1000</v>
      </c>
      <c r="I14" t="s">
        <v>5</v>
      </c>
      <c r="J14">
        <f>(A12*B14)*I12</f>
        <v>6440.0452705613934</v>
      </c>
    </row>
    <row r="15" spans="1:10">
      <c r="A15" t="s">
        <v>90</v>
      </c>
      <c r="B15">
        <v>1046.694898</v>
      </c>
      <c r="I15" t="s">
        <v>6</v>
      </c>
      <c r="J15">
        <f>SUM(J13:J14)</f>
        <v>8986.7890236845669</v>
      </c>
    </row>
    <row r="16" spans="1:10">
      <c r="A16" t="s">
        <v>101</v>
      </c>
      <c r="B16">
        <v>4.4987529999999998E-2</v>
      </c>
      <c r="I16" t="s">
        <v>89</v>
      </c>
      <c r="J16">
        <f>(J15/B15)/2</f>
        <v>4.2929362896753931</v>
      </c>
    </row>
    <row r="17" spans="1:10">
      <c r="A17" t="s">
        <v>119</v>
      </c>
      <c r="B17">
        <f>G8/B15</f>
        <v>7.0104905575956195E-2</v>
      </c>
      <c r="I17" t="s">
        <v>18</v>
      </c>
      <c r="J17">
        <f>J16/(1+B16)</f>
        <v>4.1081220267531737</v>
      </c>
    </row>
    <row r="18" spans="1:10" ht="18">
      <c r="I18" s="16"/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BA586-AC03-4AF7-AEAA-C1153D02B800}">
  <sheetPr codeName="Planilha20"/>
  <dimension ref="A1:J21"/>
  <sheetViews>
    <sheetView topLeftCell="A4" workbookViewId="0">
      <selection activeCell="B21" sqref="B21"/>
    </sheetView>
  </sheetViews>
  <sheetFormatPr defaultRowHeight="15"/>
  <cols>
    <col min="2" max="2" width="11" customWidth="1"/>
    <col min="4" max="4" width="10.7109375" bestFit="1" customWidth="1"/>
    <col min="6" max="6" width="10.5703125" bestFit="1" customWidth="1"/>
  </cols>
  <sheetData>
    <row r="1" spans="1:10">
      <c r="A1" t="s">
        <v>96</v>
      </c>
      <c r="B1" t="s">
        <v>0</v>
      </c>
      <c r="C1" t="s">
        <v>121</v>
      </c>
      <c r="D1" t="s">
        <v>141</v>
      </c>
      <c r="E1" t="s">
        <v>116</v>
      </c>
      <c r="F1" t="s">
        <v>142</v>
      </c>
      <c r="G1" t="s">
        <v>107</v>
      </c>
      <c r="H1" t="s">
        <v>12</v>
      </c>
      <c r="I1" t="s">
        <v>3</v>
      </c>
      <c r="J1" t="s">
        <v>102</v>
      </c>
    </row>
    <row r="2" spans="1:10">
      <c r="A2">
        <v>0</v>
      </c>
      <c r="B2" s="1">
        <v>43642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</v>
      </c>
      <c r="B3" s="1">
        <v>43809</v>
      </c>
      <c r="C3">
        <v>4.3999999999999997E-2</v>
      </c>
      <c r="D3" s="15">
        <f>(1+C3)^(NETWORKDAYS.INTL(B2,B3)/252)-1</f>
        <v>2.0716180635545589E-2</v>
      </c>
      <c r="E3">
        <f>1.15/100</f>
        <v>1.15E-2</v>
      </c>
      <c r="F3" s="15">
        <f>D3+E3</f>
        <v>3.2216180635545585E-2</v>
      </c>
      <c r="G3">
        <f>$B$18*F3</f>
        <v>32.216180635545584</v>
      </c>
      <c r="H3">
        <f>A3*G3</f>
        <v>32.216180635545584</v>
      </c>
      <c r="I3">
        <f>(1+$B$20)^(-A3)</f>
        <v>0.95014615433189775</v>
      </c>
      <c r="J3">
        <f>H3*I3</f>
        <v>30.61008013812539</v>
      </c>
    </row>
    <row r="4" spans="1:10">
      <c r="A4">
        <v>2</v>
      </c>
      <c r="B4" s="1">
        <v>43992</v>
      </c>
      <c r="C4">
        <v>2.9000000000000001E-2</v>
      </c>
      <c r="D4" s="15">
        <f t="shared" ref="D4:D16" si="0">(1+C4)^(NETWORKDAYS.INTL(B3,B4)/252)-1</f>
        <v>1.5087059945274373E-2</v>
      </c>
      <c r="E4">
        <f t="shared" ref="E4:E16" si="1">1.15/100</f>
        <v>1.15E-2</v>
      </c>
      <c r="F4" s="15">
        <f t="shared" ref="F4:F16" si="2">D4+E4</f>
        <v>2.6587059945274372E-2</v>
      </c>
      <c r="G4">
        <f t="shared" ref="G4:G16" si="3">$B$18*F4</f>
        <v>26.587059945274373</v>
      </c>
      <c r="H4">
        <f t="shared" ref="H4:H16" si="4">A4*G4</f>
        <v>53.174119890548745</v>
      </c>
      <c r="I4">
        <f t="shared" ref="I4:I16" si="5">(1+$B$20)^(-A4)</f>
        <v>0.90277771459169431</v>
      </c>
      <c r="J4">
        <f t="shared" ref="J4:J16" si="6">H4*I4</f>
        <v>48.00441043021435</v>
      </c>
    </row>
    <row r="5" spans="1:10">
      <c r="A5">
        <v>3</v>
      </c>
      <c r="B5" s="1">
        <v>44175</v>
      </c>
      <c r="C5">
        <v>1.9E-2</v>
      </c>
      <c r="D5" s="15">
        <f t="shared" si="0"/>
        <v>9.9077743165203458E-3</v>
      </c>
      <c r="E5">
        <f t="shared" si="1"/>
        <v>1.15E-2</v>
      </c>
      <c r="F5" s="15">
        <f t="shared" si="2"/>
        <v>2.1407774316520346E-2</v>
      </c>
      <c r="G5">
        <f t="shared" si="3"/>
        <v>21.407774316520346</v>
      </c>
      <c r="H5">
        <f t="shared" si="4"/>
        <v>64.223322949561037</v>
      </c>
      <c r="I5">
        <f t="shared" si="5"/>
        <v>0.85777077373583799</v>
      </c>
      <c r="J5">
        <f t="shared" si="6"/>
        <v>55.088889418331568</v>
      </c>
    </row>
    <row r="6" spans="1:10">
      <c r="A6">
        <v>4</v>
      </c>
      <c r="B6" s="1">
        <v>44357</v>
      </c>
      <c r="C6">
        <v>3.4000000000000002E-2</v>
      </c>
      <c r="D6" s="15">
        <f t="shared" si="0"/>
        <v>1.7532701065538836E-2</v>
      </c>
      <c r="E6">
        <f t="shared" si="1"/>
        <v>1.15E-2</v>
      </c>
      <c r="F6" s="15">
        <f t="shared" si="2"/>
        <v>2.9032701065538836E-2</v>
      </c>
      <c r="G6">
        <f t="shared" si="3"/>
        <v>29.032701065538834</v>
      </c>
      <c r="H6">
        <f t="shared" si="4"/>
        <v>116.13080426215534</v>
      </c>
      <c r="I6">
        <f t="shared" si="5"/>
        <v>0.81500760196340272</v>
      </c>
      <c r="J6">
        <f t="shared" si="6"/>
        <v>94.647488295780533</v>
      </c>
    </row>
    <row r="7" spans="1:10">
      <c r="A7">
        <v>5</v>
      </c>
      <c r="B7" s="1">
        <v>44540</v>
      </c>
      <c r="C7">
        <v>9.1499999999999998E-2</v>
      </c>
      <c r="D7" s="15">
        <f t="shared" si="0"/>
        <v>4.692892095612633E-2</v>
      </c>
      <c r="E7">
        <f t="shared" si="1"/>
        <v>1.15E-2</v>
      </c>
      <c r="F7" s="15">
        <f t="shared" si="2"/>
        <v>5.8428920956126326E-2</v>
      </c>
      <c r="G7">
        <f t="shared" si="3"/>
        <v>58.428920956126326</v>
      </c>
      <c r="H7">
        <f t="shared" si="4"/>
        <v>292.14460478063165</v>
      </c>
      <c r="I7">
        <f t="shared" si="5"/>
        <v>0.77437633875678902</v>
      </c>
      <c r="J7">
        <f t="shared" si="6"/>
        <v>226.22986943757465</v>
      </c>
    </row>
    <row r="8" spans="1:10">
      <c r="A8">
        <v>6</v>
      </c>
      <c r="B8" s="1">
        <v>44722</v>
      </c>
      <c r="C8">
        <v>0.1265</v>
      </c>
      <c r="D8" s="15">
        <f t="shared" si="0"/>
        <v>6.3878446991125104E-2</v>
      </c>
      <c r="E8">
        <f t="shared" si="1"/>
        <v>1.15E-2</v>
      </c>
      <c r="F8" s="15">
        <f t="shared" si="2"/>
        <v>7.53784469911251E-2</v>
      </c>
      <c r="G8">
        <f t="shared" si="3"/>
        <v>75.378446991125102</v>
      </c>
      <c r="H8">
        <f t="shared" si="4"/>
        <v>452.27068194675064</v>
      </c>
      <c r="I8">
        <f t="shared" si="5"/>
        <v>0.73577070027537805</v>
      </c>
      <c r="J8">
        <f t="shared" si="6"/>
        <v>332.76751636998353</v>
      </c>
    </row>
    <row r="9" spans="1:10">
      <c r="A9">
        <v>7</v>
      </c>
      <c r="B9" s="1">
        <v>44905</v>
      </c>
      <c r="C9">
        <v>0.13655999999999999</v>
      </c>
      <c r="D9" s="15">
        <f t="shared" si="0"/>
        <v>6.8806796718195784E-2</v>
      </c>
      <c r="E9">
        <f t="shared" si="1"/>
        <v>1.15E-2</v>
      </c>
      <c r="F9" s="15">
        <f t="shared" si="2"/>
        <v>8.030679671819578E-2</v>
      </c>
      <c r="G9">
        <f t="shared" si="3"/>
        <v>80.306796718195784</v>
      </c>
      <c r="H9">
        <f t="shared" si="4"/>
        <v>562.14757702737052</v>
      </c>
      <c r="I9">
        <f t="shared" si="5"/>
        <v>0.69908970133673776</v>
      </c>
      <c r="J9">
        <f t="shared" si="6"/>
        <v>392.99158173123521</v>
      </c>
    </row>
    <row r="10" spans="1:10">
      <c r="A10">
        <v>8</v>
      </c>
      <c r="B10" s="1">
        <v>45087</v>
      </c>
      <c r="C10">
        <v>0.13658000000000001</v>
      </c>
      <c r="D10" s="15">
        <f t="shared" si="0"/>
        <v>6.8273719922077536E-2</v>
      </c>
      <c r="E10">
        <f t="shared" si="1"/>
        <v>1.15E-2</v>
      </c>
      <c r="F10" s="15">
        <f t="shared" si="2"/>
        <v>7.9773719922077532E-2</v>
      </c>
      <c r="G10">
        <f t="shared" si="3"/>
        <v>79.773719922077532</v>
      </c>
      <c r="H10">
        <f t="shared" si="4"/>
        <v>638.18975937662026</v>
      </c>
      <c r="I10">
        <f t="shared" si="5"/>
        <v>0.66423739125813619</v>
      </c>
      <c r="J10">
        <f t="shared" si="6"/>
        <v>423.90950089598391</v>
      </c>
    </row>
    <row r="11" spans="1:10">
      <c r="A11">
        <v>9</v>
      </c>
      <c r="B11" s="1">
        <v>45270</v>
      </c>
      <c r="C11">
        <v>0.13150999999999999</v>
      </c>
      <c r="D11" s="15">
        <f t="shared" si="0"/>
        <v>6.5812768539307287E-2</v>
      </c>
      <c r="E11">
        <f t="shared" si="1"/>
        <v>1.15E-2</v>
      </c>
      <c r="F11" s="15">
        <f t="shared" si="2"/>
        <v>7.7312768539307283E-2</v>
      </c>
      <c r="G11">
        <f t="shared" si="3"/>
        <v>77.312768539307285</v>
      </c>
      <c r="H11">
        <f t="shared" si="4"/>
        <v>695.81491685376557</v>
      </c>
      <c r="I11">
        <f t="shared" si="5"/>
        <v>0.63112260286737021</v>
      </c>
      <c r="J11">
        <f t="shared" si="6"/>
        <v>439.1445214386913</v>
      </c>
    </row>
    <row r="12" spans="1:10">
      <c r="A12">
        <v>10</v>
      </c>
      <c r="B12" s="1">
        <v>45453</v>
      </c>
      <c r="C12">
        <v>0.12570000000000001</v>
      </c>
      <c r="D12" s="15">
        <f t="shared" si="0"/>
        <v>6.3485625154833025E-2</v>
      </c>
      <c r="E12">
        <f t="shared" si="1"/>
        <v>1.15E-2</v>
      </c>
      <c r="F12" s="15">
        <f t="shared" si="2"/>
        <v>7.4985625154833022E-2</v>
      </c>
      <c r="G12">
        <f t="shared" si="3"/>
        <v>74.985625154833016</v>
      </c>
      <c r="H12">
        <f t="shared" si="4"/>
        <v>749.85625154833019</v>
      </c>
      <c r="I12">
        <f t="shared" si="5"/>
        <v>0.59965871402636939</v>
      </c>
      <c r="J12">
        <f t="shared" si="6"/>
        <v>449.65783550810545</v>
      </c>
    </row>
    <row r="13" spans="1:10">
      <c r="A13">
        <v>11</v>
      </c>
      <c r="B13" s="1">
        <v>45636</v>
      </c>
      <c r="C13">
        <v>0.11924999999999999</v>
      </c>
      <c r="D13" s="15">
        <f t="shared" si="0"/>
        <v>6.0787717527063245E-2</v>
      </c>
      <c r="E13">
        <f t="shared" si="1"/>
        <v>1.15E-2</v>
      </c>
      <c r="F13" s="15">
        <f t="shared" si="2"/>
        <v>7.2287717527063242E-2</v>
      </c>
      <c r="G13">
        <f t="shared" si="3"/>
        <v>72.287717527063236</v>
      </c>
      <c r="H13">
        <f t="shared" si="4"/>
        <v>795.16489279769564</v>
      </c>
      <c r="I13">
        <f t="shared" si="5"/>
        <v>0.56976342104376609</v>
      </c>
      <c r="J13">
        <f t="shared" si="6"/>
        <v>453.05586961431459</v>
      </c>
    </row>
    <row r="14" spans="1:10">
      <c r="A14">
        <v>12</v>
      </c>
      <c r="B14" s="1">
        <v>45818</v>
      </c>
      <c r="C14">
        <v>0.11595</v>
      </c>
      <c r="D14" s="15">
        <f t="shared" si="0"/>
        <v>5.8687292731234741E-2</v>
      </c>
      <c r="E14">
        <f t="shared" si="1"/>
        <v>1.15E-2</v>
      </c>
      <c r="F14" s="15">
        <f t="shared" si="2"/>
        <v>7.0187292731234738E-2</v>
      </c>
      <c r="G14">
        <f t="shared" si="3"/>
        <v>70.187292731234734</v>
      </c>
      <c r="H14">
        <f t="shared" si="4"/>
        <v>842.24751277481687</v>
      </c>
      <c r="I14">
        <f t="shared" si="5"/>
        <v>0.54135852338372004</v>
      </c>
      <c r="J14">
        <f t="shared" si="6"/>
        <v>455.95786983938575</v>
      </c>
    </row>
    <row r="15" spans="1:10">
      <c r="A15">
        <v>13</v>
      </c>
      <c r="B15" s="1">
        <v>46001</v>
      </c>
      <c r="C15">
        <v>0.11544</v>
      </c>
      <c r="D15" s="15">
        <f t="shared" si="0"/>
        <v>5.8894710677173556E-2</v>
      </c>
      <c r="E15">
        <f t="shared" si="1"/>
        <v>1.15E-2</v>
      </c>
      <c r="F15" s="15">
        <f t="shared" si="2"/>
        <v>7.0394710677173553E-2</v>
      </c>
      <c r="G15">
        <f t="shared" si="3"/>
        <v>70.394710677173549</v>
      </c>
      <c r="H15">
        <f t="shared" si="4"/>
        <v>915.13123880325611</v>
      </c>
      <c r="I15">
        <f t="shared" si="5"/>
        <v>0.51436971910783635</v>
      </c>
      <c r="J15">
        <f t="shared" si="6"/>
        <v>470.71579825003715</v>
      </c>
    </row>
    <row r="16" spans="1:10">
      <c r="A16">
        <v>14</v>
      </c>
      <c r="B16" s="1">
        <v>46183</v>
      </c>
      <c r="C16">
        <v>0.11496000000000001</v>
      </c>
      <c r="D16" s="15">
        <f t="shared" si="0"/>
        <v>5.8198953695461908E-2</v>
      </c>
      <c r="E16">
        <f t="shared" si="1"/>
        <v>1.15E-2</v>
      </c>
      <c r="F16" s="15">
        <f t="shared" si="2"/>
        <v>6.9698953695461904E-2</v>
      </c>
      <c r="G16">
        <f t="shared" si="3"/>
        <v>69.69895369546191</v>
      </c>
      <c r="H16">
        <f t="shared" si="4"/>
        <v>975.78535173646674</v>
      </c>
      <c r="I16">
        <f t="shared" si="5"/>
        <v>0.48872641051508914</v>
      </c>
      <c r="J16">
        <f t="shared" si="6"/>
        <v>476.89207238736708</v>
      </c>
    </row>
    <row r="17" spans="1:10">
      <c r="I17" t="s">
        <v>4</v>
      </c>
      <c r="J17">
        <f>SUM(J3:J16)</f>
        <v>4349.6733037551303</v>
      </c>
    </row>
    <row r="18" spans="1:10">
      <c r="A18" t="s">
        <v>98</v>
      </c>
      <c r="B18" s="8">
        <v>1000</v>
      </c>
      <c r="I18" t="s">
        <v>5</v>
      </c>
      <c r="J18">
        <f>(A16*B18)*I16</f>
        <v>6842.1697472112483</v>
      </c>
    </row>
    <row r="19" spans="1:10">
      <c r="A19" t="s">
        <v>90</v>
      </c>
      <c r="B19" s="8">
        <v>1038.387917</v>
      </c>
      <c r="I19" t="s">
        <v>6</v>
      </c>
      <c r="J19">
        <f>SUM(J17:J18)</f>
        <v>11191.843050966378</v>
      </c>
    </row>
    <row r="20" spans="1:10">
      <c r="A20" t="s">
        <v>101</v>
      </c>
      <c r="B20">
        <v>5.2469660000000001E-2</v>
      </c>
      <c r="I20" t="s">
        <v>89</v>
      </c>
      <c r="J20">
        <f>(J19/B19)/2</f>
        <v>5.3890472277935695</v>
      </c>
    </row>
    <row r="21" spans="1:10">
      <c r="A21" t="s">
        <v>119</v>
      </c>
      <c r="B21">
        <f>G8/B19</f>
        <v>7.2591799034892948E-2</v>
      </c>
      <c r="I21" t="s">
        <v>18</v>
      </c>
      <c r="J21">
        <f>J20/(1+B20)</f>
        <v>5.1203824990010345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8DA7-C2CA-4F01-B9C2-AEC41EBFF603}">
  <sheetPr codeName="Planilha21"/>
  <dimension ref="A1:J19"/>
  <sheetViews>
    <sheetView workbookViewId="0">
      <selection activeCell="B17" sqref="B17"/>
    </sheetView>
  </sheetViews>
  <sheetFormatPr defaultRowHeight="15"/>
  <cols>
    <col min="2" max="2" width="10.7109375" bestFit="1" customWidth="1"/>
    <col min="4" max="4" width="10.7109375" bestFit="1" customWidth="1"/>
  </cols>
  <sheetData>
    <row r="1" spans="1:10">
      <c r="A1" t="s">
        <v>96</v>
      </c>
      <c r="B1" t="s">
        <v>0</v>
      </c>
      <c r="C1" t="s">
        <v>121</v>
      </c>
      <c r="D1" t="s">
        <v>141</v>
      </c>
      <c r="E1" t="s">
        <v>116</v>
      </c>
      <c r="F1" t="s">
        <v>142</v>
      </c>
      <c r="G1" t="s">
        <v>107</v>
      </c>
      <c r="H1" t="s">
        <v>12</v>
      </c>
      <c r="I1" t="s">
        <v>3</v>
      </c>
      <c r="J1" t="s">
        <v>102</v>
      </c>
    </row>
    <row r="2" spans="1:10">
      <c r="A2">
        <v>0</v>
      </c>
      <c r="B2" s="1">
        <v>43564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</v>
      </c>
      <c r="B3" s="1">
        <v>43738</v>
      </c>
      <c r="C3">
        <v>5.8999999999999997E-2</v>
      </c>
      <c r="D3" s="14">
        <f>(1+C3)^(NETWORKDAYS.INTL(B2,B3)/252)-1</f>
        <v>2.8843188269302322E-2</v>
      </c>
      <c r="E3">
        <v>1.0660000000000001</v>
      </c>
      <c r="F3">
        <f>D3*E3</f>
        <v>3.0746838695076276E-2</v>
      </c>
      <c r="G3">
        <f>F3*$B$14</f>
        <v>30.746838695076278</v>
      </c>
      <c r="H3">
        <f>A3*G3</f>
        <v>30.746838695076278</v>
      </c>
      <c r="I3">
        <f>(1+$B$16)^(-A3)</f>
        <v>0.96036698926322195</v>
      </c>
      <c r="J3">
        <f>H3*I3</f>
        <v>29.528248906952335</v>
      </c>
    </row>
    <row r="4" spans="1:10">
      <c r="A4">
        <v>2</v>
      </c>
      <c r="B4" s="1">
        <v>43920</v>
      </c>
      <c r="C4">
        <v>4.1500000000000002E-2</v>
      </c>
      <c r="D4" s="14">
        <f t="shared" ref="D4:D12" si="0">(1+C4)^(NETWORKDAYS.INTL(B3,B4)/252)-1</f>
        <v>2.1362761435412159E-2</v>
      </c>
      <c r="E4">
        <v>1.0660000000000001</v>
      </c>
      <c r="F4">
        <f t="shared" ref="F4:F12" si="1">D4*E4</f>
        <v>2.2772703690149363E-2</v>
      </c>
      <c r="G4">
        <f t="shared" ref="G4:G12" si="2">F4*$B$14</f>
        <v>22.772703690149363</v>
      </c>
      <c r="H4">
        <f t="shared" ref="H4:H12" si="3">A4*G4</f>
        <v>45.545407380298727</v>
      </c>
      <c r="I4">
        <f t="shared" ref="I4:I12" si="4">(1+$B$16)^(-A4)</f>
        <v>0.92230475406650547</v>
      </c>
      <c r="J4">
        <f t="shared" ref="J4:J12" si="5">H4*I4</f>
        <v>42.006745752745218</v>
      </c>
    </row>
    <row r="5" spans="1:10">
      <c r="A5">
        <v>3</v>
      </c>
      <c r="B5" s="1">
        <v>44104</v>
      </c>
      <c r="C5">
        <v>1.9E-2</v>
      </c>
      <c r="D5" s="14">
        <f t="shared" si="0"/>
        <v>9.9832066411607023E-3</v>
      </c>
      <c r="E5">
        <v>1.0660000000000001</v>
      </c>
      <c r="F5">
        <f t="shared" si="1"/>
        <v>1.0642098279477308E-2</v>
      </c>
      <c r="G5">
        <f t="shared" si="2"/>
        <v>10.642098279477308</v>
      </c>
      <c r="H5">
        <f t="shared" si="3"/>
        <v>31.926294838431922</v>
      </c>
      <c r="I5">
        <f t="shared" si="4"/>
        <v>0.88575103984600623</v>
      </c>
      <c r="J5">
        <f t="shared" si="5"/>
        <v>28.278748851571255</v>
      </c>
    </row>
    <row r="6" spans="1:10">
      <c r="A6">
        <v>4</v>
      </c>
      <c r="B6" s="1">
        <v>44285</v>
      </c>
      <c r="C6">
        <v>1.9E-2</v>
      </c>
      <c r="D6" s="14">
        <f t="shared" si="0"/>
        <v>9.7569265681960449E-3</v>
      </c>
      <c r="E6">
        <v>1.0660000000000001</v>
      </c>
      <c r="F6">
        <f t="shared" si="1"/>
        <v>1.0400883721696985E-2</v>
      </c>
      <c r="G6">
        <f t="shared" si="2"/>
        <v>10.400883721696985</v>
      </c>
      <c r="H6">
        <f t="shared" si="3"/>
        <v>41.603534886787941</v>
      </c>
      <c r="I6">
        <f t="shared" si="4"/>
        <v>0.8506460593736771</v>
      </c>
      <c r="J6">
        <f t="shared" si="5"/>
        <v>35.389883007461464</v>
      </c>
    </row>
    <row r="7" spans="1:10">
      <c r="A7">
        <v>5</v>
      </c>
      <c r="B7" s="1">
        <v>44469</v>
      </c>
      <c r="C7">
        <v>5.1499999999999997E-2</v>
      </c>
      <c r="D7" s="14">
        <f t="shared" si="0"/>
        <v>2.6858143811610669E-2</v>
      </c>
      <c r="E7">
        <v>1.0660000000000001</v>
      </c>
      <c r="F7">
        <f t="shared" si="1"/>
        <v>2.8630781303176974E-2</v>
      </c>
      <c r="G7">
        <f t="shared" si="2"/>
        <v>28.630781303176974</v>
      </c>
      <c r="H7">
        <f t="shared" si="3"/>
        <v>143.15390651588487</v>
      </c>
      <c r="I7">
        <f t="shared" si="4"/>
        <v>0.81693239496932224</v>
      </c>
      <c r="J7">
        <f t="shared" si="5"/>
        <v>116.9470636992363</v>
      </c>
    </row>
    <row r="8" spans="1:10">
      <c r="A8">
        <v>6</v>
      </c>
      <c r="B8" s="1">
        <v>44650</v>
      </c>
      <c r="C8">
        <v>0.1065</v>
      </c>
      <c r="D8" s="14">
        <f t="shared" si="0"/>
        <v>5.3594150284956621E-2</v>
      </c>
      <c r="E8">
        <v>1.0660000000000001</v>
      </c>
      <c r="F8">
        <f t="shared" si="1"/>
        <v>5.713136420376376E-2</v>
      </c>
      <c r="G8">
        <f t="shared" si="2"/>
        <v>57.131364203763759</v>
      </c>
      <c r="H8">
        <f t="shared" si="3"/>
        <v>342.78818522258257</v>
      </c>
      <c r="I8">
        <f t="shared" si="4"/>
        <v>0.78455490458828125</v>
      </c>
      <c r="J8">
        <f t="shared" si="5"/>
        <v>268.93615195129337</v>
      </c>
    </row>
    <row r="9" spans="1:10">
      <c r="A9">
        <v>7</v>
      </c>
      <c r="B9" s="1">
        <v>44834</v>
      </c>
      <c r="C9">
        <v>0.13650000000000001</v>
      </c>
      <c r="D9" s="14">
        <f t="shared" si="0"/>
        <v>6.9863363092107056E-2</v>
      </c>
      <c r="E9">
        <v>1.0660000000000001</v>
      </c>
      <c r="F9">
        <f t="shared" si="1"/>
        <v>7.4474345056186123E-2</v>
      </c>
      <c r="G9">
        <f t="shared" si="2"/>
        <v>74.474345056186124</v>
      </c>
      <c r="H9">
        <f t="shared" si="3"/>
        <v>521.32041539330282</v>
      </c>
      <c r="I9">
        <f t="shared" si="4"/>
        <v>0.75346063163114207</v>
      </c>
      <c r="J9">
        <f t="shared" si="5"/>
        <v>392.79440946444731</v>
      </c>
    </row>
    <row r="10" spans="1:10">
      <c r="A10">
        <v>8</v>
      </c>
      <c r="B10" s="1">
        <v>45015</v>
      </c>
      <c r="C10">
        <v>0.13705000000000001</v>
      </c>
      <c r="D10" s="14">
        <f t="shared" si="0"/>
        <v>6.850158603241141E-2</v>
      </c>
      <c r="E10">
        <v>1.0660000000000001</v>
      </c>
      <c r="F10">
        <f t="shared" si="1"/>
        <v>7.3022690710550564E-2</v>
      </c>
      <c r="G10">
        <f t="shared" si="2"/>
        <v>73.022690710550563</v>
      </c>
      <c r="H10">
        <f t="shared" si="3"/>
        <v>584.18152568440451</v>
      </c>
      <c r="I10">
        <f t="shared" si="4"/>
        <v>0.72359871832796541</v>
      </c>
      <c r="J10">
        <f t="shared" si="5"/>
        <v>422.71300325611048</v>
      </c>
    </row>
    <row r="11" spans="1:10">
      <c r="A11">
        <v>9</v>
      </c>
      <c r="B11" s="1">
        <v>45199</v>
      </c>
      <c r="C11">
        <v>0.13413</v>
      </c>
      <c r="D11" s="14">
        <f t="shared" si="0"/>
        <v>6.8151649357999888E-2</v>
      </c>
      <c r="E11">
        <v>1.0660000000000001</v>
      </c>
      <c r="F11">
        <f t="shared" si="1"/>
        <v>7.2649658215627883E-2</v>
      </c>
      <c r="G11">
        <f t="shared" si="2"/>
        <v>72.649658215627881</v>
      </c>
      <c r="H11">
        <f t="shared" si="3"/>
        <v>653.84692394065087</v>
      </c>
      <c r="I11">
        <f t="shared" si="4"/>
        <v>0.6949203225553543</v>
      </c>
      <c r="J11">
        <f t="shared" si="5"/>
        <v>454.37151528666328</v>
      </c>
    </row>
    <row r="12" spans="1:10">
      <c r="A12">
        <v>10</v>
      </c>
      <c r="B12" s="1">
        <v>45381</v>
      </c>
      <c r="C12">
        <v>0.12934999999999999</v>
      </c>
      <c r="D12" s="14">
        <f t="shared" si="0"/>
        <v>6.476269452685246E-2</v>
      </c>
      <c r="E12">
        <v>1.0660000000000001</v>
      </c>
      <c r="F12">
        <f t="shared" si="1"/>
        <v>6.9037032365624723E-2</v>
      </c>
      <c r="G12">
        <f t="shared" si="2"/>
        <v>69.037032365624725</v>
      </c>
      <c r="H12">
        <f t="shared" si="3"/>
        <v>690.37032365624725</v>
      </c>
      <c r="I12">
        <f t="shared" si="4"/>
        <v>0.66737853795031266</v>
      </c>
      <c r="J12">
        <f t="shared" si="5"/>
        <v>460.73833724599046</v>
      </c>
    </row>
    <row r="13" spans="1:10">
      <c r="I13" t="s">
        <v>4</v>
      </c>
      <c r="J13">
        <f>SUM(J3:J12)</f>
        <v>2251.7041074224717</v>
      </c>
    </row>
    <row r="14" spans="1:10">
      <c r="A14" t="s">
        <v>98</v>
      </c>
      <c r="B14" s="8">
        <v>1000</v>
      </c>
      <c r="I14" t="s">
        <v>5</v>
      </c>
      <c r="J14">
        <f>(A12*B14)*I12</f>
        <v>6673.7853795031269</v>
      </c>
    </row>
    <row r="15" spans="1:10">
      <c r="A15" t="s">
        <v>90</v>
      </c>
      <c r="B15" s="8">
        <v>1010.8650259999999</v>
      </c>
      <c r="I15" t="s">
        <v>6</v>
      </c>
      <c r="J15">
        <f>SUM(J13:J14)</f>
        <v>8925.4894869255986</v>
      </c>
    </row>
    <row r="16" spans="1:10">
      <c r="A16" t="s">
        <v>101</v>
      </c>
      <c r="B16">
        <v>4.1268609999999997E-2</v>
      </c>
      <c r="I16" t="s">
        <v>89</v>
      </c>
      <c r="J16">
        <f>(J15/B15)/2</f>
        <v>4.4147780650023201</v>
      </c>
    </row>
    <row r="17" spans="1:10">
      <c r="A17" t="s">
        <v>119</v>
      </c>
      <c r="B17">
        <f>G9/B15</f>
        <v>7.3673876472788488E-2</v>
      </c>
      <c r="I17" t="s">
        <v>18</v>
      </c>
      <c r="J17">
        <f>J16/(1+B16)</f>
        <v>4.2398071185515906</v>
      </c>
    </row>
    <row r="19" spans="1:10">
      <c r="I19" s="6"/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4C37-BC5E-4FB5-A75A-FCDEF7C9B5C7}">
  <sheetPr codeName="Planilha22"/>
  <dimension ref="A1:I28"/>
  <sheetViews>
    <sheetView topLeftCell="A7" workbookViewId="0">
      <selection activeCell="B26" sqref="B26"/>
    </sheetView>
  </sheetViews>
  <sheetFormatPr defaultRowHeight="15"/>
  <cols>
    <col min="2" max="2" width="10.85546875" customWidth="1"/>
  </cols>
  <sheetData>
    <row r="1" spans="1:9">
      <c r="A1" t="s">
        <v>110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44392</v>
      </c>
      <c r="C2">
        <f>(1+$B$21)^(1/2)-1</f>
        <v>1.8331969448077245E-2</v>
      </c>
      <c r="D2">
        <v>1.1261017555979391</v>
      </c>
      <c r="E2">
        <f>$B$20*D2</f>
        <v>1126.101755597939</v>
      </c>
      <c r="F2">
        <f>E2*C2</f>
        <v>20.643662979047566</v>
      </c>
      <c r="G2">
        <f>F2*A2</f>
        <v>20.643662979047566</v>
      </c>
      <c r="H2">
        <f>(1+$B$24)^(-A2)</f>
        <v>0.95116183466943038</v>
      </c>
      <c r="I2">
        <f>G2*H2</f>
        <v>19.635464353448281</v>
      </c>
    </row>
    <row r="3" spans="1:9">
      <c r="A3">
        <v>2</v>
      </c>
      <c r="B3" s="1">
        <v>44576</v>
      </c>
      <c r="C3">
        <f t="shared" ref="C3:C18" si="0">(1+$B$21)^(1/2)-1</f>
        <v>1.8331969448077245E-2</v>
      </c>
      <c r="D3">
        <v>1.189453714922331</v>
      </c>
      <c r="E3">
        <f t="shared" ref="E3:E18" si="1">$B$20*D3</f>
        <v>1189.4537149223311</v>
      </c>
      <c r="F3">
        <f t="shared" ref="F3:F18" si="2">E3*C3</f>
        <v>21.805029161858155</v>
      </c>
      <c r="G3">
        <f t="shared" ref="G3:G18" si="3">F3*A3</f>
        <v>43.610058323716309</v>
      </c>
      <c r="H3">
        <f t="shared" ref="H3:H18" si="4">(1+$B$24)^(-A3)</f>
        <v>0.9047088357317169</v>
      </c>
      <c r="I3">
        <f t="shared" ref="I3:I18" si="5">G3*H3</f>
        <v>39.45440509224165</v>
      </c>
    </row>
    <row r="4" spans="1:9">
      <c r="A4">
        <v>3</v>
      </c>
      <c r="B4" s="1">
        <v>44757</v>
      </c>
      <c r="C4">
        <f t="shared" si="0"/>
        <v>1.8331969448077245E-2</v>
      </c>
      <c r="D4">
        <v>1.2394915899411403</v>
      </c>
      <c r="E4">
        <f t="shared" si="1"/>
        <v>1239.4915899411403</v>
      </c>
      <c r="F4">
        <f t="shared" si="2"/>
        <v>22.722321957949674</v>
      </c>
      <c r="G4">
        <f t="shared" si="3"/>
        <v>68.166965873849023</v>
      </c>
      <c r="H4">
        <f t="shared" si="4"/>
        <v>0.86052451603622404</v>
      </c>
      <c r="I4">
        <f t="shared" si="5"/>
        <v>58.659345318251731</v>
      </c>
    </row>
    <row r="5" spans="1:9">
      <c r="A5">
        <v>4</v>
      </c>
      <c r="B5" s="1">
        <v>44941</v>
      </c>
      <c r="C5">
        <f t="shared" si="0"/>
        <v>1.8331969448077245E-2</v>
      </c>
      <c r="D5">
        <v>1.2823181173936065</v>
      </c>
      <c r="E5">
        <f t="shared" si="1"/>
        <v>1282.3181173936064</v>
      </c>
      <c r="F5">
        <f t="shared" si="2"/>
        <v>23.507416550775524</v>
      </c>
      <c r="G5">
        <f t="shared" si="3"/>
        <v>94.029666203102096</v>
      </c>
      <c r="H5">
        <f t="shared" si="4"/>
        <v>0.81849807745103864</v>
      </c>
      <c r="I5">
        <f t="shared" si="5"/>
        <v>76.963101010601974</v>
      </c>
    </row>
    <row r="6" spans="1:9">
      <c r="A6">
        <v>5</v>
      </c>
      <c r="B6" s="1">
        <v>45122</v>
      </c>
      <c r="C6">
        <f t="shared" si="0"/>
        <v>1.8331969448077245E-2</v>
      </c>
      <c r="D6">
        <v>1.3337464411622224</v>
      </c>
      <c r="E6">
        <f t="shared" si="1"/>
        <v>1333.7464411622225</v>
      </c>
      <c r="F6">
        <f t="shared" si="2"/>
        <v>24.450199010867617</v>
      </c>
      <c r="G6">
        <f t="shared" si="3"/>
        <v>122.25099505433809</v>
      </c>
      <c r="H6">
        <f t="shared" si="4"/>
        <v>0.7785241330217314</v>
      </c>
      <c r="I6">
        <f t="shared" si="5"/>
        <v>95.175349935722537</v>
      </c>
    </row>
    <row r="7" spans="1:9">
      <c r="A7">
        <v>6</v>
      </c>
      <c r="B7" s="1">
        <v>45306</v>
      </c>
      <c r="C7">
        <f t="shared" si="0"/>
        <v>1.8331969448077245E-2</v>
      </c>
      <c r="D7">
        <v>1.3747374374381971</v>
      </c>
      <c r="E7">
        <f t="shared" si="1"/>
        <v>1374.737437438197</v>
      </c>
      <c r="F7">
        <f t="shared" si="2"/>
        <v>25.201644702245034</v>
      </c>
      <c r="G7">
        <f t="shared" si="3"/>
        <v>151.2098682134702</v>
      </c>
      <c r="H7">
        <f t="shared" si="4"/>
        <v>0.74050244269937782</v>
      </c>
      <c r="I7">
        <f t="shared" si="5"/>
        <v>111.97127677232569</v>
      </c>
    </row>
    <row r="8" spans="1:9">
      <c r="A8">
        <v>7</v>
      </c>
      <c r="B8" s="1">
        <v>45488</v>
      </c>
      <c r="C8">
        <f t="shared" si="0"/>
        <v>1.8331969448077245E-2</v>
      </c>
      <c r="D8">
        <v>1.4164394273928498</v>
      </c>
      <c r="E8">
        <f t="shared" si="1"/>
        <v>1416.4394273928499</v>
      </c>
      <c r="F8">
        <f t="shared" si="2"/>
        <v>25.966124308017751</v>
      </c>
      <c r="G8">
        <f t="shared" si="3"/>
        <v>181.76287015612425</v>
      </c>
      <c r="H8">
        <f t="shared" si="4"/>
        <v>0.70433766197513481</v>
      </c>
      <c r="I8">
        <f t="shared" si="5"/>
        <v>128.02243499965456</v>
      </c>
    </row>
    <row r="9" spans="1:9">
      <c r="A9">
        <v>8</v>
      </c>
      <c r="B9" s="1">
        <v>45672</v>
      </c>
      <c r="C9">
        <f t="shared" si="0"/>
        <v>1.8331969448077245E-2</v>
      </c>
      <c r="D9">
        <v>1.4581852747314099</v>
      </c>
      <c r="E9">
        <f t="shared" si="1"/>
        <v>1458.1852747314099</v>
      </c>
      <c r="F9">
        <f t="shared" si="2"/>
        <v>26.731407906012329</v>
      </c>
      <c r="G9">
        <f t="shared" si="3"/>
        <v>213.85126324809863</v>
      </c>
      <c r="H9">
        <f t="shared" si="4"/>
        <v>0.6699391027910464</v>
      </c>
      <c r="I9">
        <f t="shared" si="5"/>
        <v>143.26732343116308</v>
      </c>
    </row>
    <row r="10" spans="1:9">
      <c r="A10">
        <v>9</v>
      </c>
      <c r="B10" s="1">
        <v>45853</v>
      </c>
      <c r="C10">
        <f t="shared" si="0"/>
        <v>1.8331969448077245E-2</v>
      </c>
      <c r="D10">
        <v>1.5010738308491509</v>
      </c>
      <c r="E10">
        <f t="shared" si="1"/>
        <v>1501.0738308491509</v>
      </c>
      <c r="F10">
        <f t="shared" si="2"/>
        <v>27.517639606434905</v>
      </c>
      <c r="G10">
        <f t="shared" si="3"/>
        <v>247.65875645791414</v>
      </c>
      <c r="H10">
        <f t="shared" si="4"/>
        <v>0.63722050612752379</v>
      </c>
      <c r="I10">
        <f t="shared" si="5"/>
        <v>157.81323813702519</v>
      </c>
    </row>
    <row r="11" spans="1:9">
      <c r="A11">
        <v>10</v>
      </c>
      <c r="B11" s="1">
        <v>46037</v>
      </c>
      <c r="C11">
        <f t="shared" si="0"/>
        <v>1.8331969448077245E-2</v>
      </c>
      <c r="D11">
        <v>1.545108930646574</v>
      </c>
      <c r="E11">
        <f t="shared" si="1"/>
        <v>1545.108930646574</v>
      </c>
      <c r="F11">
        <f t="shared" si="2"/>
        <v>28.324889710564296</v>
      </c>
      <c r="G11">
        <f t="shared" si="3"/>
        <v>283.24889710564298</v>
      </c>
      <c r="H11">
        <f t="shared" si="4"/>
        <v>0.60609982569723853</v>
      </c>
      <c r="I11">
        <f t="shared" si="5"/>
        <v>171.67710716466527</v>
      </c>
    </row>
    <row r="12" spans="1:9">
      <c r="A12">
        <v>11</v>
      </c>
      <c r="B12" s="1">
        <v>46218</v>
      </c>
      <c r="C12">
        <f t="shared" si="0"/>
        <v>1.8331969448077245E-2</v>
      </c>
      <c r="D12">
        <v>1.5905066557550349</v>
      </c>
      <c r="E12">
        <f t="shared" si="1"/>
        <v>1590.5066557550349</v>
      </c>
      <c r="F12">
        <f t="shared" si="2"/>
        <v>29.157119420264813</v>
      </c>
      <c r="G12">
        <f t="shared" si="3"/>
        <v>320.72831362291294</v>
      </c>
      <c r="H12">
        <f t="shared" si="4"/>
        <v>0.57649902220300731</v>
      </c>
      <c r="I12">
        <f t="shared" si="5"/>
        <v>184.89955919642878</v>
      </c>
    </row>
    <row r="13" spans="1:9">
      <c r="A13">
        <v>12</v>
      </c>
      <c r="B13" s="1">
        <v>46402</v>
      </c>
      <c r="C13">
        <f t="shared" si="0"/>
        <v>1.8331969448077245E-2</v>
      </c>
      <c r="D13">
        <v>1.6373946101790997</v>
      </c>
      <c r="E13">
        <f t="shared" si="1"/>
        <v>1637.3946101790998</v>
      </c>
      <c r="F13">
        <f t="shared" si="2"/>
        <v>30.01666796824961</v>
      </c>
      <c r="G13">
        <f t="shared" si="3"/>
        <v>360.20001561899534</v>
      </c>
      <c r="H13">
        <f t="shared" si="4"/>
        <v>0.54834386764374521</v>
      </c>
      <c r="I13">
        <f t="shared" si="5"/>
        <v>197.51346968985735</v>
      </c>
    </row>
    <row r="14" spans="1:9">
      <c r="A14">
        <v>13</v>
      </c>
      <c r="B14" s="1">
        <v>46583</v>
      </c>
      <c r="C14">
        <f t="shared" si="0"/>
        <v>1.8331969448077245E-2</v>
      </c>
      <c r="D14">
        <v>1.6857795962936473</v>
      </c>
      <c r="E14">
        <f t="shared" si="1"/>
        <v>1685.7795962936473</v>
      </c>
      <c r="F14">
        <f t="shared" si="2"/>
        <v>30.903660055447133</v>
      </c>
      <c r="G14">
        <f t="shared" si="3"/>
        <v>401.74758072081272</v>
      </c>
      <c r="H14">
        <f t="shared" si="4"/>
        <v>0.52156375917775599</v>
      </c>
      <c r="I14">
        <f t="shared" si="5"/>
        <v>209.53697844131605</v>
      </c>
    </row>
    <row r="15" spans="1:9">
      <c r="A15">
        <v>14</v>
      </c>
      <c r="B15" s="1">
        <v>46767</v>
      </c>
      <c r="C15">
        <f t="shared" si="0"/>
        <v>1.8331969448077245E-2</v>
      </c>
      <c r="D15">
        <v>1.7357811358092132</v>
      </c>
      <c r="E15">
        <f t="shared" si="1"/>
        <v>1735.7811358092133</v>
      </c>
      <c r="F15">
        <f t="shared" si="2"/>
        <v>31.820286750203319</v>
      </c>
      <c r="G15">
        <f t="shared" si="3"/>
        <v>445.48401450284649</v>
      </c>
      <c r="H15">
        <f t="shared" si="4"/>
        <v>0.49609154207659945</v>
      </c>
      <c r="I15">
        <f t="shared" si="5"/>
        <v>221.0008517251913</v>
      </c>
    </row>
    <row r="16" spans="1:9">
      <c r="A16">
        <v>15</v>
      </c>
      <c r="B16" s="1">
        <v>46949</v>
      </c>
      <c r="C16">
        <f t="shared" si="0"/>
        <v>1.8331969448077245E-2</v>
      </c>
      <c r="D16">
        <v>1.7873915869839765</v>
      </c>
      <c r="E16">
        <f t="shared" si="1"/>
        <v>1787.3915869839766</v>
      </c>
      <c r="F16">
        <f t="shared" si="2"/>
        <v>32.766407964340559</v>
      </c>
      <c r="G16">
        <f t="shared" si="3"/>
        <v>491.49611946510839</v>
      </c>
      <c r="H16">
        <f t="shared" si="4"/>
        <v>0.47186334132556512</v>
      </c>
      <c r="I16">
        <f t="shared" si="5"/>
        <v>231.91900117935518</v>
      </c>
    </row>
    <row r="17" spans="1:9">
      <c r="A17">
        <v>16</v>
      </c>
      <c r="B17" s="1">
        <v>47133</v>
      </c>
      <c r="C17">
        <f t="shared" si="0"/>
        <v>1.8331969448077245E-2</v>
      </c>
      <c r="D17">
        <v>1.8406941879160281</v>
      </c>
      <c r="E17">
        <f t="shared" si="1"/>
        <v>1840.6941879160281</v>
      </c>
      <c r="F17">
        <f t="shared" si="2"/>
        <v>33.743549616129982</v>
      </c>
      <c r="G17">
        <f t="shared" si="3"/>
        <v>539.89679385807972</v>
      </c>
      <c r="H17">
        <f t="shared" si="4"/>
        <v>0.44881840144847229</v>
      </c>
      <c r="I17">
        <f t="shared" si="5"/>
        <v>242.3156159665387</v>
      </c>
    </row>
    <row r="18" spans="1:9">
      <c r="A18">
        <v>17</v>
      </c>
      <c r="B18" s="1">
        <v>47314</v>
      </c>
      <c r="C18">
        <f t="shared" si="0"/>
        <v>1.8331969448077245E-2</v>
      </c>
      <c r="D18">
        <v>1.8957152833985182</v>
      </c>
      <c r="E18">
        <f t="shared" si="1"/>
        <v>1895.7152833985183</v>
      </c>
      <c r="F18">
        <f t="shared" si="2"/>
        <v>34.752194657514735</v>
      </c>
      <c r="G18">
        <f t="shared" si="3"/>
        <v>590.78730917775056</v>
      </c>
      <c r="H18">
        <f t="shared" si="4"/>
        <v>0.42689893415512986</v>
      </c>
      <c r="I18">
        <f t="shared" si="5"/>
        <v>252.20647260035889</v>
      </c>
    </row>
    <row r="19" spans="1:9">
      <c r="H19" t="s">
        <v>4</v>
      </c>
      <c r="I19">
        <f>SUM(I2:I18)</f>
        <v>2542.0309950141464</v>
      </c>
    </row>
    <row r="20" spans="1:9">
      <c r="A20" t="s">
        <v>98</v>
      </c>
      <c r="B20" s="8">
        <v>1000</v>
      </c>
      <c r="H20" t="s">
        <v>5</v>
      </c>
      <c r="I20">
        <f>(A18*B22)*H18</f>
        <v>13757.740177055095</v>
      </c>
    </row>
    <row r="21" spans="1:9">
      <c r="A21" t="s">
        <v>79</v>
      </c>
      <c r="B21" s="10">
        <v>3.6999999999999998E-2</v>
      </c>
      <c r="H21" t="s">
        <v>6</v>
      </c>
      <c r="I21">
        <f>SUM(I19:I20)</f>
        <v>16299.771172069242</v>
      </c>
    </row>
    <row r="22" spans="1:9">
      <c r="A22" t="s">
        <v>111</v>
      </c>
      <c r="B22">
        <f>B20*D18</f>
        <v>1895.7152833985183</v>
      </c>
      <c r="H22" t="s">
        <v>89</v>
      </c>
      <c r="I22">
        <f>(I21/B23)/2</f>
        <v>7.3651640963700675</v>
      </c>
    </row>
    <row r="23" spans="1:9">
      <c r="A23" t="s">
        <v>90</v>
      </c>
      <c r="B23">
        <v>1106.5450109999999</v>
      </c>
      <c r="H23" t="s">
        <v>18</v>
      </c>
      <c r="I23">
        <f>I22/(1+B24)</f>
        <v>7.0054629945447706</v>
      </c>
    </row>
    <row r="24" spans="1:9">
      <c r="A24" t="s">
        <v>101</v>
      </c>
      <c r="B24">
        <v>5.1345799999999997E-2</v>
      </c>
    </row>
    <row r="25" spans="1:9">
      <c r="A25" t="s">
        <v>145</v>
      </c>
      <c r="B25">
        <f>F4/B23</f>
        <v>2.0534475987935816E-2</v>
      </c>
    </row>
    <row r="26" spans="1:9">
      <c r="A26" t="s">
        <v>19</v>
      </c>
      <c r="B26" t="s">
        <v>109</v>
      </c>
    </row>
    <row r="28" spans="1:9">
      <c r="G28" s="6"/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2B00F-712E-432B-8F73-C3299C5F16C6}">
  <sheetPr codeName="Planilha23"/>
  <dimension ref="A1:J22"/>
  <sheetViews>
    <sheetView workbookViewId="0">
      <selection activeCell="B18" sqref="B18"/>
    </sheetView>
  </sheetViews>
  <sheetFormatPr defaultRowHeight="15"/>
  <cols>
    <col min="2" max="2" width="10.42578125" customWidth="1"/>
    <col min="4" max="4" width="10.7109375" bestFit="1" customWidth="1"/>
  </cols>
  <sheetData>
    <row r="1" spans="1:10">
      <c r="A1" t="s">
        <v>96</v>
      </c>
      <c r="B1" t="s">
        <v>0</v>
      </c>
      <c r="C1" t="s">
        <v>121</v>
      </c>
      <c r="D1" t="s">
        <v>141</v>
      </c>
      <c r="E1" t="s">
        <v>116</v>
      </c>
      <c r="F1" t="s">
        <v>142</v>
      </c>
      <c r="G1" t="s">
        <v>107</v>
      </c>
      <c r="H1" t="s">
        <v>12</v>
      </c>
      <c r="I1" t="s">
        <v>3</v>
      </c>
      <c r="J1" t="s">
        <v>102</v>
      </c>
    </row>
    <row r="2" spans="1:10">
      <c r="A2">
        <v>0</v>
      </c>
      <c r="B2" s="1">
        <v>43564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</v>
      </c>
      <c r="B3" s="1">
        <v>43738</v>
      </c>
      <c r="C3">
        <v>5.8999999999999997E-2</v>
      </c>
      <c r="D3" s="14">
        <f>(1+C3)^(NETWORKDAYS.INTL(B2,B3)/252)-1</f>
        <v>2.8843188269302322E-2</v>
      </c>
      <c r="E3">
        <v>1.069</v>
      </c>
      <c r="F3">
        <f>D3*E3</f>
        <v>3.083336825988418E-2</v>
      </c>
      <c r="G3">
        <f>$B$14*F3</f>
        <v>30.833368259884178</v>
      </c>
      <c r="H3">
        <f>A3*G3</f>
        <v>30.833368259884178</v>
      </c>
      <c r="I3">
        <f>(1+$B$16)^(-A3)</f>
        <v>0.96015577260004814</v>
      </c>
      <c r="J3">
        <f>H3*I3</f>
        <v>29.604836523430894</v>
      </c>
    </row>
    <row r="4" spans="1:10">
      <c r="A4">
        <v>2</v>
      </c>
      <c r="B4" s="1">
        <v>43920</v>
      </c>
      <c r="C4">
        <v>4.1500000000000002E-2</v>
      </c>
      <c r="D4" s="14">
        <f t="shared" ref="D4:D12" si="0">(1+C4)^(NETWORKDAYS.INTL(B3,B4)/252)-1</f>
        <v>2.1362761435412159E-2</v>
      </c>
      <c r="E4">
        <v>1.069</v>
      </c>
      <c r="F4">
        <f t="shared" ref="F4:F12" si="1">D4*E4</f>
        <v>2.2836791974455598E-2</v>
      </c>
      <c r="G4">
        <f t="shared" ref="G4:G12" si="2">$B$14*F4</f>
        <v>22.836791974455597</v>
      </c>
      <c r="H4">
        <f t="shared" ref="H4:H12" si="3">A4*G4</f>
        <v>45.673583948911194</v>
      </c>
      <c r="I4">
        <f t="shared" ref="I4:I12" si="4">(1+$B$16)^(-A4)</f>
        <v>0.92189910765719518</v>
      </c>
      <c r="J4">
        <f t="shared" ref="J4:J12" si="5">H4*I4</f>
        <v>42.106436286007224</v>
      </c>
    </row>
    <row r="5" spans="1:10">
      <c r="A5">
        <v>3</v>
      </c>
      <c r="B5" s="1">
        <v>44104</v>
      </c>
      <c r="C5">
        <v>1.9E-2</v>
      </c>
      <c r="D5" s="14">
        <f t="shared" si="0"/>
        <v>9.9832066411607023E-3</v>
      </c>
      <c r="E5">
        <v>1.069</v>
      </c>
      <c r="F5">
        <f t="shared" si="1"/>
        <v>1.067204789940079E-2</v>
      </c>
      <c r="G5">
        <f t="shared" si="2"/>
        <v>10.672047899400791</v>
      </c>
      <c r="H5">
        <f t="shared" si="3"/>
        <v>32.01614369820237</v>
      </c>
      <c r="I5">
        <f t="shared" si="4"/>
        <v>0.88516674997188916</v>
      </c>
      <c r="J5">
        <f t="shared" si="5"/>
        <v>28.33962586397077</v>
      </c>
    </row>
    <row r="6" spans="1:10">
      <c r="A6">
        <v>4</v>
      </c>
      <c r="B6" s="1">
        <v>44285</v>
      </c>
      <c r="C6">
        <v>1.9E-2</v>
      </c>
      <c r="D6" s="14">
        <f t="shared" si="0"/>
        <v>9.7569265681960449E-3</v>
      </c>
      <c r="E6">
        <v>1.069</v>
      </c>
      <c r="F6">
        <f t="shared" si="1"/>
        <v>1.0430154501401572E-2</v>
      </c>
      <c r="G6">
        <f t="shared" si="2"/>
        <v>10.430154501401573</v>
      </c>
      <c r="H6">
        <f t="shared" si="3"/>
        <v>41.720618005606291</v>
      </c>
      <c r="I6">
        <f t="shared" si="4"/>
        <v>0.84989796469913292</v>
      </c>
      <c r="J6">
        <f t="shared" si="5"/>
        <v>35.458268328954787</v>
      </c>
    </row>
    <row r="7" spans="1:10">
      <c r="A7">
        <v>5</v>
      </c>
      <c r="B7" s="1">
        <v>44469</v>
      </c>
      <c r="C7">
        <v>5.1499999999999997E-2</v>
      </c>
      <c r="D7" s="14">
        <f t="shared" si="0"/>
        <v>2.6858143811610669E-2</v>
      </c>
      <c r="E7">
        <v>1.069</v>
      </c>
      <c r="F7">
        <f t="shared" si="1"/>
        <v>2.8711355734611803E-2</v>
      </c>
      <c r="G7">
        <f t="shared" si="2"/>
        <v>28.711355734611804</v>
      </c>
      <c r="H7">
        <f t="shared" si="3"/>
        <v>143.55677867305903</v>
      </c>
      <c r="I7">
        <f t="shared" si="4"/>
        <v>0.81603443692690447</v>
      </c>
      <c r="J7">
        <f t="shared" si="5"/>
        <v>117.14727505150998</v>
      </c>
    </row>
    <row r="8" spans="1:10">
      <c r="A8">
        <v>6</v>
      </c>
      <c r="B8" s="1">
        <v>44650</v>
      </c>
      <c r="C8">
        <v>0.1065</v>
      </c>
      <c r="D8" s="14">
        <f t="shared" si="0"/>
        <v>5.3594150284956621E-2</v>
      </c>
      <c r="E8">
        <v>1.069</v>
      </c>
      <c r="F8">
        <f t="shared" si="1"/>
        <v>5.7292146654618625E-2</v>
      </c>
      <c r="G8">
        <f t="shared" si="2"/>
        <v>57.292146654618627</v>
      </c>
      <c r="H8">
        <f t="shared" si="3"/>
        <v>343.75287992771177</v>
      </c>
      <c r="I8">
        <f t="shared" si="4"/>
        <v>0.78352017525579709</v>
      </c>
      <c r="J8">
        <f t="shared" si="5"/>
        <v>269.33731672564568</v>
      </c>
    </row>
    <row r="9" spans="1:10">
      <c r="A9">
        <v>7</v>
      </c>
      <c r="B9" s="1">
        <v>44834</v>
      </c>
      <c r="C9">
        <v>0.13650000000000001</v>
      </c>
      <c r="D9" s="14">
        <f t="shared" si="0"/>
        <v>6.9863363092107056E-2</v>
      </c>
      <c r="E9">
        <v>1.069</v>
      </c>
      <c r="F9">
        <f t="shared" si="1"/>
        <v>7.4683935145462441E-2</v>
      </c>
      <c r="G9">
        <f t="shared" si="2"/>
        <v>74.683935145462442</v>
      </c>
      <c r="H9">
        <f t="shared" si="3"/>
        <v>522.78754601823709</v>
      </c>
      <c r="I9">
        <f t="shared" si="4"/>
        <v>0.75230141922045479</v>
      </c>
      <c r="J9">
        <f t="shared" si="5"/>
        <v>393.29381282029857</v>
      </c>
    </row>
    <row r="10" spans="1:10">
      <c r="A10">
        <v>8</v>
      </c>
      <c r="B10" s="1">
        <v>45015</v>
      </c>
      <c r="C10">
        <v>0.13705000000000001</v>
      </c>
      <c r="D10" s="14">
        <f t="shared" si="0"/>
        <v>6.850158603241141E-2</v>
      </c>
      <c r="E10">
        <v>1.069</v>
      </c>
      <c r="F10">
        <f t="shared" si="1"/>
        <v>7.3228195468647797E-2</v>
      </c>
      <c r="G10">
        <f t="shared" si="2"/>
        <v>73.228195468647797</v>
      </c>
      <c r="H10">
        <f t="shared" si="3"/>
        <v>585.82556374918238</v>
      </c>
      <c r="I10">
        <f t="shared" si="4"/>
        <v>0.72232655039972848</v>
      </c>
      <c r="J10">
        <f t="shared" si="5"/>
        <v>423.15735859892311</v>
      </c>
    </row>
    <row r="11" spans="1:10">
      <c r="A11">
        <v>9</v>
      </c>
      <c r="B11" s="1">
        <v>45199</v>
      </c>
      <c r="C11">
        <v>0.13413</v>
      </c>
      <c r="D11" s="14">
        <f t="shared" si="0"/>
        <v>6.8151649357999888E-2</v>
      </c>
      <c r="E11">
        <v>1.069</v>
      </c>
      <c r="F11">
        <f t="shared" si="1"/>
        <v>7.2854113163701884E-2</v>
      </c>
      <c r="G11">
        <f t="shared" si="2"/>
        <v>72.854113163701882</v>
      </c>
      <c r="H11">
        <f t="shared" si="3"/>
        <v>655.68701847331693</v>
      </c>
      <c r="I11">
        <f t="shared" si="4"/>
        <v>0.69354600706857894</v>
      </c>
      <c r="J11">
        <f t="shared" si="5"/>
        <v>454.74911354887053</v>
      </c>
    </row>
    <row r="12" spans="1:10">
      <c r="A12">
        <v>10</v>
      </c>
      <c r="B12" s="1">
        <v>45381</v>
      </c>
      <c r="C12">
        <v>0.12934999999999999</v>
      </c>
      <c r="D12" s="14">
        <f t="shared" si="0"/>
        <v>6.476269452685246E-2</v>
      </c>
      <c r="E12">
        <v>1.069</v>
      </c>
      <c r="F12">
        <f t="shared" si="1"/>
        <v>6.9231320449205283E-2</v>
      </c>
      <c r="G12">
        <f t="shared" si="2"/>
        <v>69.231320449205285</v>
      </c>
      <c r="H12">
        <f t="shared" si="3"/>
        <v>692.31320449205282</v>
      </c>
      <c r="I12">
        <f t="shared" si="4"/>
        <v>0.66591220225060976</v>
      </c>
      <c r="J12">
        <f t="shared" si="5"/>
        <v>461.01981065047966</v>
      </c>
    </row>
    <row r="13" spans="1:10">
      <c r="I13" t="s">
        <v>4</v>
      </c>
      <c r="J13">
        <f>SUM(J3:J12)</f>
        <v>2254.2138543980914</v>
      </c>
    </row>
    <row r="14" spans="1:10">
      <c r="A14" t="s">
        <v>98</v>
      </c>
      <c r="B14" s="8">
        <v>1000</v>
      </c>
      <c r="I14" t="s">
        <v>5</v>
      </c>
      <c r="J14">
        <f>(A12*B14)*I12</f>
        <v>6659.1220225060979</v>
      </c>
    </row>
    <row r="15" spans="1:10">
      <c r="A15" t="s">
        <v>90</v>
      </c>
      <c r="B15" s="8">
        <v>1010.0250579999999</v>
      </c>
      <c r="I15" t="s">
        <v>6</v>
      </c>
      <c r="J15">
        <f>SUM(J13:J14)</f>
        <v>8913.3358769041897</v>
      </c>
    </row>
    <row r="16" spans="1:10">
      <c r="A16" t="s">
        <v>101</v>
      </c>
      <c r="B16">
        <v>4.149767E-2</v>
      </c>
      <c r="I16" t="s">
        <v>89</v>
      </c>
      <c r="J16">
        <f>(J15/B15)/2</f>
        <v>4.4124330412920258</v>
      </c>
    </row>
    <row r="17" spans="1:10">
      <c r="A17" t="s">
        <v>119</v>
      </c>
      <c r="B17">
        <f>G9/B15</f>
        <v>7.3942655733064439E-2</v>
      </c>
      <c r="I17" t="s">
        <v>18</v>
      </c>
      <c r="J17">
        <f>J16/(1+B16)</f>
        <v>4.2366230558077254</v>
      </c>
    </row>
    <row r="18" spans="1:10">
      <c r="A18" t="s">
        <v>19</v>
      </c>
      <c r="B18" t="s">
        <v>133</v>
      </c>
    </row>
    <row r="22" spans="1:10">
      <c r="J22" s="6">
        <v>1010.0250579999999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9324-23A9-4A1F-925A-F7D93E043AFE}">
  <sheetPr codeName="Planilha24"/>
  <dimension ref="A1:J17"/>
  <sheetViews>
    <sheetView workbookViewId="0">
      <selection activeCell="B17" sqref="B17"/>
    </sheetView>
  </sheetViews>
  <sheetFormatPr defaultRowHeight="15"/>
  <cols>
    <col min="2" max="2" width="10.7109375" bestFit="1" customWidth="1"/>
    <col min="4" max="4" width="10.7109375" bestFit="1" customWidth="1"/>
    <col min="6" max="6" width="10.5703125" bestFit="1" customWidth="1"/>
  </cols>
  <sheetData>
    <row r="1" spans="1:10">
      <c r="A1" t="s">
        <v>96</v>
      </c>
      <c r="B1" t="s">
        <v>0</v>
      </c>
      <c r="C1" t="s">
        <v>121</v>
      </c>
      <c r="D1" t="s">
        <v>141</v>
      </c>
      <c r="E1" t="s">
        <v>116</v>
      </c>
      <c r="F1" t="s">
        <v>142</v>
      </c>
      <c r="G1" t="s">
        <v>107</v>
      </c>
      <c r="H1" t="s">
        <v>12</v>
      </c>
      <c r="I1" t="s">
        <v>3</v>
      </c>
      <c r="J1" t="s">
        <v>102</v>
      </c>
    </row>
    <row r="2" spans="1:10">
      <c r="A2">
        <v>0</v>
      </c>
      <c r="B2" s="1">
        <v>43642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</v>
      </c>
      <c r="B3" s="1">
        <v>43809</v>
      </c>
      <c r="C3">
        <v>4.3999999999999997E-2</v>
      </c>
      <c r="D3" s="15">
        <f>(1+C3)^(NETWORKDAYS.INTL(B2,B3)/252)-1</f>
        <v>2.0716180635545589E-2</v>
      </c>
      <c r="E3">
        <f>0.73/100</f>
        <v>7.3000000000000001E-3</v>
      </c>
      <c r="F3" s="15">
        <f>D3+E3</f>
        <v>2.801618063554559E-2</v>
      </c>
      <c r="G3">
        <f>$B$14*F3</f>
        <v>28.016180635545592</v>
      </c>
      <c r="H3">
        <f>A3*G3</f>
        <v>28.016180635545592</v>
      </c>
      <c r="I3">
        <f>(1+$B$16)^(-A3)</f>
        <v>0.95886117362459811</v>
      </c>
      <c r="J3">
        <f>H3*I3</f>
        <v>26.863627844677985</v>
      </c>
    </row>
    <row r="4" spans="1:10">
      <c r="A4">
        <v>2</v>
      </c>
      <c r="B4" s="1">
        <v>43992</v>
      </c>
      <c r="C4">
        <v>2.9000000000000001E-2</v>
      </c>
      <c r="D4" s="15">
        <f t="shared" ref="D4:D12" si="0">(1+C4)^(NETWORKDAYS.INTL(B3,B4)/252)-1</f>
        <v>1.5087059945274373E-2</v>
      </c>
      <c r="E4">
        <f t="shared" ref="E4:E12" si="1">0.73/100</f>
        <v>7.3000000000000001E-3</v>
      </c>
      <c r="F4" s="15">
        <f t="shared" ref="F4:F12" si="2">D4+E4</f>
        <v>2.2387059945274373E-2</v>
      </c>
      <c r="G4">
        <f t="shared" ref="G4:G12" si="3">$B$14*F4</f>
        <v>22.387059945274373</v>
      </c>
      <c r="H4">
        <f t="shared" ref="H4:H12" si="4">A4*G4</f>
        <v>44.774119890548747</v>
      </c>
      <c r="I4">
        <f t="shared" ref="I4:I12" si="5">(1+$B$16)^(-A4)</f>
        <v>0.91941475028474162</v>
      </c>
      <c r="J4">
        <f t="shared" ref="J4:J12" si="6">H4*I4</f>
        <v>41.16598625838796</v>
      </c>
    </row>
    <row r="5" spans="1:10">
      <c r="A5">
        <v>3</v>
      </c>
      <c r="B5" s="1">
        <v>44175</v>
      </c>
      <c r="C5">
        <v>1.9E-2</v>
      </c>
      <c r="D5" s="15">
        <f t="shared" si="0"/>
        <v>9.9077743165203458E-3</v>
      </c>
      <c r="E5">
        <f t="shared" si="1"/>
        <v>7.3000000000000001E-3</v>
      </c>
      <c r="F5" s="15">
        <f t="shared" si="2"/>
        <v>1.7207774316520347E-2</v>
      </c>
      <c r="G5">
        <f t="shared" si="3"/>
        <v>17.207774316520347</v>
      </c>
      <c r="H5">
        <f t="shared" si="4"/>
        <v>51.623322949561043</v>
      </c>
      <c r="I5">
        <f t="shared" si="5"/>
        <v>0.8815911065057942</v>
      </c>
      <c r="J5">
        <f t="shared" si="6"/>
        <v>45.510662400609476</v>
      </c>
    </row>
    <row r="6" spans="1:10">
      <c r="A6">
        <v>4</v>
      </c>
      <c r="B6" s="1">
        <v>44357</v>
      </c>
      <c r="C6">
        <v>3.4000000000000002E-2</v>
      </c>
      <c r="D6" s="15">
        <f t="shared" si="0"/>
        <v>1.7532701065538836E-2</v>
      </c>
      <c r="E6">
        <f t="shared" si="1"/>
        <v>7.3000000000000001E-3</v>
      </c>
      <c r="F6" s="15">
        <f t="shared" si="2"/>
        <v>2.4832701065538837E-2</v>
      </c>
      <c r="G6">
        <f t="shared" si="3"/>
        <v>24.832701065538838</v>
      </c>
      <c r="H6">
        <f t="shared" si="4"/>
        <v>99.330804262155354</v>
      </c>
      <c r="I6">
        <f t="shared" si="5"/>
        <v>0.84532348304115368</v>
      </c>
      <c r="J6">
        <f t="shared" si="6"/>
        <v>83.96666143216423</v>
      </c>
    </row>
    <row r="7" spans="1:10">
      <c r="A7">
        <v>5</v>
      </c>
      <c r="B7" s="1">
        <v>44540</v>
      </c>
      <c r="C7">
        <v>9.1499999999999998E-2</v>
      </c>
      <c r="D7" s="15">
        <f t="shared" si="0"/>
        <v>4.692892095612633E-2</v>
      </c>
      <c r="E7">
        <f t="shared" si="1"/>
        <v>7.3000000000000001E-3</v>
      </c>
      <c r="F7" s="15">
        <f t="shared" si="2"/>
        <v>5.4228920956126331E-2</v>
      </c>
      <c r="G7">
        <f t="shared" si="3"/>
        <v>54.228920956126331</v>
      </c>
      <c r="H7">
        <f t="shared" si="4"/>
        <v>271.14460478063165</v>
      </c>
      <c r="I7">
        <f t="shared" si="5"/>
        <v>0.81054786704127368</v>
      </c>
      <c r="J7">
        <f t="shared" si="6"/>
        <v>219.77568106469013</v>
      </c>
    </row>
    <row r="8" spans="1:10">
      <c r="A8">
        <v>6</v>
      </c>
      <c r="B8" s="1">
        <v>44722</v>
      </c>
      <c r="C8">
        <v>0.1265</v>
      </c>
      <c r="D8" s="15">
        <f t="shared" si="0"/>
        <v>6.3878446991125104E-2</v>
      </c>
      <c r="E8">
        <f t="shared" si="1"/>
        <v>7.3000000000000001E-3</v>
      </c>
      <c r="F8" s="15">
        <f t="shared" si="2"/>
        <v>7.1178446991125105E-2</v>
      </c>
      <c r="G8">
        <f t="shared" si="3"/>
        <v>71.178446991125099</v>
      </c>
      <c r="H8">
        <f t="shared" si="4"/>
        <v>427.0706819467506</v>
      </c>
      <c r="I8">
        <f t="shared" si="5"/>
        <v>0.77720287907011032</v>
      </c>
      <c r="J8">
        <f t="shared" si="6"/>
        <v>331.92056357544993</v>
      </c>
    </row>
    <row r="9" spans="1:10">
      <c r="A9">
        <v>7</v>
      </c>
      <c r="B9" s="1">
        <v>44905</v>
      </c>
      <c r="C9">
        <v>0.13655999999999999</v>
      </c>
      <c r="D9" s="15">
        <f t="shared" si="0"/>
        <v>6.8806796718195784E-2</v>
      </c>
      <c r="E9">
        <f t="shared" si="1"/>
        <v>7.3000000000000001E-3</v>
      </c>
      <c r="F9" s="15">
        <f t="shared" si="2"/>
        <v>7.6106796718195785E-2</v>
      </c>
      <c r="G9">
        <f t="shared" si="3"/>
        <v>76.106796718195781</v>
      </c>
      <c r="H9">
        <f t="shared" si="4"/>
        <v>532.74757702737043</v>
      </c>
      <c r="I9">
        <f t="shared" si="5"/>
        <v>0.74522966476958263</v>
      </c>
      <c r="J9">
        <f t="shared" si="6"/>
        <v>397.01929823491469</v>
      </c>
    </row>
    <row r="10" spans="1:10">
      <c r="A10">
        <v>8</v>
      </c>
      <c r="B10" s="1">
        <v>45087</v>
      </c>
      <c r="C10">
        <v>0.13658000000000001</v>
      </c>
      <c r="D10" s="15">
        <f t="shared" si="0"/>
        <v>6.8273719922077536E-2</v>
      </c>
      <c r="E10">
        <f t="shared" si="1"/>
        <v>7.3000000000000001E-3</v>
      </c>
      <c r="F10" s="15">
        <f t="shared" si="2"/>
        <v>7.5573719922077537E-2</v>
      </c>
      <c r="G10">
        <f t="shared" si="3"/>
        <v>75.573719922077544</v>
      </c>
      <c r="H10">
        <f t="shared" si="4"/>
        <v>604.58975937662035</v>
      </c>
      <c r="I10">
        <f t="shared" si="5"/>
        <v>0.71457179098082768</v>
      </c>
      <c r="J10">
        <f t="shared" si="6"/>
        <v>432.02278716641928</v>
      </c>
    </row>
    <row r="11" spans="1:10">
      <c r="A11">
        <v>9</v>
      </c>
      <c r="B11" s="1">
        <v>45270</v>
      </c>
      <c r="C11">
        <v>0.13150999999999999</v>
      </c>
      <c r="D11" s="15">
        <f t="shared" si="0"/>
        <v>6.5812768539307287E-2</v>
      </c>
      <c r="E11">
        <f t="shared" si="1"/>
        <v>7.3000000000000001E-3</v>
      </c>
      <c r="F11" s="15">
        <f t="shared" si="2"/>
        <v>7.3112768539307288E-2</v>
      </c>
      <c r="G11">
        <f t="shared" si="3"/>
        <v>73.112768539307282</v>
      </c>
      <c r="H11">
        <f t="shared" si="4"/>
        <v>658.0149168537655</v>
      </c>
      <c r="I11">
        <f t="shared" si="5"/>
        <v>0.6851751461389074</v>
      </c>
      <c r="J11">
        <f t="shared" si="6"/>
        <v>450.8554668168598</v>
      </c>
    </row>
    <row r="12" spans="1:10">
      <c r="A12">
        <v>10</v>
      </c>
      <c r="B12" s="1">
        <v>45453</v>
      </c>
      <c r="C12">
        <v>0.12570000000000001</v>
      </c>
      <c r="D12" s="15">
        <f t="shared" si="0"/>
        <v>6.3485625154833025E-2</v>
      </c>
      <c r="E12">
        <f t="shared" si="1"/>
        <v>7.3000000000000001E-3</v>
      </c>
      <c r="F12" s="15">
        <f t="shared" si="2"/>
        <v>7.0785625154833026E-2</v>
      </c>
      <c r="G12">
        <f t="shared" si="3"/>
        <v>70.785625154833028</v>
      </c>
      <c r="H12">
        <f t="shared" si="4"/>
        <v>707.85625154833031</v>
      </c>
      <c r="I12">
        <f t="shared" si="5"/>
        <v>0.65698784476515826</v>
      </c>
      <c r="J12">
        <f t="shared" si="6"/>
        <v>465.05295310828126</v>
      </c>
    </row>
    <row r="13" spans="1:10">
      <c r="I13" t="s">
        <v>4</v>
      </c>
      <c r="J13">
        <f>SUM(J3:J12)</f>
        <v>2494.1536879024547</v>
      </c>
    </row>
    <row r="14" spans="1:10">
      <c r="A14" t="s">
        <v>98</v>
      </c>
      <c r="B14" s="8">
        <v>1000</v>
      </c>
      <c r="I14" t="s">
        <v>5</v>
      </c>
      <c r="J14">
        <f>(A12*B14)*I12</f>
        <v>6569.878447651583</v>
      </c>
    </row>
    <row r="15" spans="1:10">
      <c r="A15" t="s">
        <v>90</v>
      </c>
      <c r="B15" s="8">
        <v>1046.2124020000001</v>
      </c>
      <c r="I15" t="s">
        <v>6</v>
      </c>
      <c r="J15">
        <f>SUM(J13:J14)</f>
        <v>9064.0321355540382</v>
      </c>
    </row>
    <row r="16" spans="1:10">
      <c r="A16" t="s">
        <v>101</v>
      </c>
      <c r="B16">
        <v>4.2903839999999999E-2</v>
      </c>
      <c r="I16" t="s">
        <v>89</v>
      </c>
      <c r="J16">
        <f>(J15/B15)/2</f>
        <v>4.3318317189830244</v>
      </c>
    </row>
    <row r="17" spans="1:10">
      <c r="A17" t="s">
        <v>119</v>
      </c>
      <c r="B17">
        <f>G8/B15</f>
        <v>6.8034413332375213E-2</v>
      </c>
      <c r="I17" t="s">
        <v>18</v>
      </c>
      <c r="J17">
        <f>J16/(1+B16)</f>
        <v>4.1536252460083229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4FC4C-60A1-4C7C-B837-B77051A1281C}">
  <sheetPr codeName="Planilha25"/>
  <dimension ref="A1:J38"/>
  <sheetViews>
    <sheetView topLeftCell="A16" workbookViewId="0">
      <selection activeCell="B30" sqref="B30"/>
    </sheetView>
  </sheetViews>
  <sheetFormatPr defaultRowHeight="15"/>
  <cols>
    <col min="2" max="2" width="11.7109375" customWidth="1"/>
    <col min="4" max="4" width="10.7109375" bestFit="1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43966</v>
      </c>
      <c r="C2">
        <f>(1+$B$26)^(1/2)-1</f>
        <v>2.4451072526160189E-2</v>
      </c>
      <c r="D2" s="13">
        <v>1.0259138506664391</v>
      </c>
      <c r="E2">
        <f>$B$25*D2</f>
        <v>1025.9138506664392</v>
      </c>
      <c r="F2">
        <f>C2*E2</f>
        <v>25.084693968237378</v>
      </c>
      <c r="G2">
        <f>A2*F2</f>
        <v>25.084693968237378</v>
      </c>
      <c r="H2">
        <f>(1+$B$29)^(-A2)</f>
        <v>0.94849847711455759</v>
      </c>
      <c r="I2">
        <f>G2*H2</f>
        <v>23.792794027757882</v>
      </c>
    </row>
    <row r="3" spans="1:9">
      <c r="A3">
        <v>2</v>
      </c>
      <c r="B3" s="1">
        <v>44150</v>
      </c>
      <c r="C3">
        <f t="shared" ref="C3:C23" si="0">(1+$B$26)^(1/2)-1</f>
        <v>2.4451072526160189E-2</v>
      </c>
      <c r="D3" s="13">
        <v>1.0596880040798893</v>
      </c>
      <c r="E3">
        <f t="shared" ref="E3:E23" si="1">$B$25*D3</f>
        <v>1059.6880040798892</v>
      </c>
      <c r="F3">
        <f t="shared" ref="F3:F23" si="2">C3*E3</f>
        <v>25.910508242859304</v>
      </c>
      <c r="G3">
        <f t="shared" ref="G3:G23" si="3">A3*F3</f>
        <v>51.821016485718609</v>
      </c>
      <c r="H3">
        <f t="shared" ref="H3:H23" si="4">(1+$B$29)^(-A3)</f>
        <v>0.89964936108863491</v>
      </c>
      <c r="I3">
        <f t="shared" ref="I3:I23" si="5">G3*H3</f>
        <v>46.620744372340361</v>
      </c>
    </row>
    <row r="4" spans="1:9">
      <c r="A4">
        <v>3</v>
      </c>
      <c r="B4" s="1">
        <v>44331</v>
      </c>
      <c r="C4">
        <f t="shared" si="0"/>
        <v>2.4451072526160189E-2</v>
      </c>
      <c r="D4" s="13">
        <v>1.1085604673387228</v>
      </c>
      <c r="E4">
        <f t="shared" si="1"/>
        <v>1108.5604673387229</v>
      </c>
      <c r="F4">
        <f t="shared" si="2"/>
        <v>27.105492386533147</v>
      </c>
      <c r="G4">
        <f t="shared" si="3"/>
        <v>81.316477159599444</v>
      </c>
      <c r="H4">
        <f t="shared" si="4"/>
        <v>0.85331604892965485</v>
      </c>
      <c r="I4">
        <f t="shared" si="5"/>
        <v>69.388655002707921</v>
      </c>
    </row>
    <row r="5" spans="1:9">
      <c r="A5">
        <v>4</v>
      </c>
      <c r="B5" s="1">
        <v>44515</v>
      </c>
      <c r="C5">
        <f t="shared" si="0"/>
        <v>2.4451072526160189E-2</v>
      </c>
      <c r="D5" s="13">
        <v>1.1734824750440274</v>
      </c>
      <c r="E5">
        <f t="shared" si="1"/>
        <v>1173.4824750440273</v>
      </c>
      <c r="F5">
        <f t="shared" si="2"/>
        <v>28.692905105479475</v>
      </c>
      <c r="G5">
        <f t="shared" si="3"/>
        <v>114.7716204219179</v>
      </c>
      <c r="H5">
        <f t="shared" si="4"/>
        <v>0.80936897290718901</v>
      </c>
      <c r="I5">
        <f t="shared" si="5"/>
        <v>92.892588539781457</v>
      </c>
    </row>
    <row r="6" spans="1:9">
      <c r="A6">
        <v>5</v>
      </c>
      <c r="B6" s="1">
        <v>44696</v>
      </c>
      <c r="C6">
        <f t="shared" si="0"/>
        <v>2.4451072526160189E-2</v>
      </c>
      <c r="D6" s="13">
        <v>1.2386071447484779</v>
      </c>
      <c r="E6">
        <f t="shared" si="1"/>
        <v>1238.6071447484778</v>
      </c>
      <c r="F6">
        <f t="shared" si="2"/>
        <v>30.285273127665224</v>
      </c>
      <c r="G6">
        <f t="shared" si="3"/>
        <v>151.42636563832613</v>
      </c>
      <c r="H6">
        <f t="shared" si="4"/>
        <v>0.76768523822624246</v>
      </c>
      <c r="I6">
        <f t="shared" si="5"/>
        <v>116.24778557879249</v>
      </c>
    </row>
    <row r="7" spans="1:9">
      <c r="A7">
        <v>6</v>
      </c>
      <c r="B7" s="1">
        <v>44880</v>
      </c>
      <c r="C7">
        <f t="shared" si="0"/>
        <v>2.4451072526160189E-2</v>
      </c>
      <c r="D7" s="13">
        <v>1.2461329471885774</v>
      </c>
      <c r="E7">
        <f t="shared" si="1"/>
        <v>1246.1329471885774</v>
      </c>
      <c r="F7">
        <f t="shared" si="2"/>
        <v>30.469287068945651</v>
      </c>
      <c r="G7">
        <f t="shared" si="3"/>
        <v>182.81572241367391</v>
      </c>
      <c r="H7">
        <f t="shared" si="4"/>
        <v>0.72814827936091731</v>
      </c>
      <c r="I7">
        <f t="shared" si="5"/>
        <v>133.11695371563974</v>
      </c>
    </row>
    <row r="8" spans="1:9">
      <c r="A8">
        <v>7</v>
      </c>
      <c r="B8" s="1">
        <v>45061</v>
      </c>
      <c r="C8">
        <f t="shared" si="0"/>
        <v>2.4451072526160189E-2</v>
      </c>
      <c r="D8" s="13">
        <v>1.3228710495030869</v>
      </c>
      <c r="E8">
        <f t="shared" si="1"/>
        <v>1322.8710495030869</v>
      </c>
      <c r="F8">
        <f t="shared" si="2"/>
        <v>32.345615974157624</v>
      </c>
      <c r="G8">
        <f t="shared" si="3"/>
        <v>226.41931181910337</v>
      </c>
      <c r="H8">
        <f t="shared" si="4"/>
        <v>0.69064753408741542</v>
      </c>
      <c r="I8">
        <f t="shared" si="5"/>
        <v>156.37593937763333</v>
      </c>
    </row>
    <row r="9" spans="1:9">
      <c r="A9">
        <v>8</v>
      </c>
      <c r="B9" s="1">
        <v>45245</v>
      </c>
      <c r="C9">
        <f t="shared" si="0"/>
        <v>2.4451072526160189E-2</v>
      </c>
      <c r="D9" s="13">
        <v>1.3468558257075662</v>
      </c>
      <c r="E9">
        <f t="shared" si="1"/>
        <v>1346.8558257075663</v>
      </c>
      <c r="F9">
        <f t="shared" si="2"/>
        <v>32.93206947665707</v>
      </c>
      <c r="G9">
        <f t="shared" si="3"/>
        <v>263.45655581325656</v>
      </c>
      <c r="H9">
        <f t="shared" si="4"/>
        <v>0.65507813430483797</v>
      </c>
      <c r="I9">
        <f t="shared" si="5"/>
        <v>172.58462905252651</v>
      </c>
    </row>
    <row r="10" spans="1:9">
      <c r="A10">
        <v>9</v>
      </c>
      <c r="B10" s="1">
        <v>45427</v>
      </c>
      <c r="C10">
        <f t="shared" si="0"/>
        <v>2.4451072526160189E-2</v>
      </c>
      <c r="D10" s="13">
        <v>1.4060215891408478</v>
      </c>
      <c r="E10">
        <f t="shared" si="1"/>
        <v>1406.0215891408479</v>
      </c>
      <c r="F10">
        <f t="shared" si="2"/>
        <v>34.378735849429873</v>
      </c>
      <c r="G10">
        <f t="shared" si="3"/>
        <v>309.40862264486884</v>
      </c>
      <c r="H10">
        <f t="shared" si="4"/>
        <v>0.6213406127791844</v>
      </c>
      <c r="I10">
        <f t="shared" si="5"/>
        <v>192.24814319332623</v>
      </c>
    </row>
    <row r="11" spans="1:9">
      <c r="A11">
        <v>10</v>
      </c>
      <c r="B11" s="1">
        <v>45611</v>
      </c>
      <c r="C11">
        <f t="shared" si="0"/>
        <v>2.4451072526160189E-2</v>
      </c>
      <c r="D11" s="13">
        <v>1.4294495367072526</v>
      </c>
      <c r="E11">
        <f t="shared" si="1"/>
        <v>1429.4495367072527</v>
      </c>
      <c r="F11">
        <f t="shared" si="2"/>
        <v>34.951574294515119</v>
      </c>
      <c r="G11">
        <f t="shared" si="3"/>
        <v>349.5157429451512</v>
      </c>
      <c r="H11">
        <f t="shared" si="4"/>
        <v>0.58934062499048245</v>
      </c>
      <c r="I11">
        <f t="shared" si="5"/>
        <v>205.98382639130821</v>
      </c>
    </row>
    <row r="12" spans="1:9">
      <c r="A12">
        <v>11</v>
      </c>
      <c r="B12" s="1">
        <v>45792</v>
      </c>
      <c r="C12">
        <f t="shared" si="0"/>
        <v>2.4451072526160189E-2</v>
      </c>
      <c r="D12" s="13">
        <v>1.4903251192402494</v>
      </c>
      <c r="E12">
        <f t="shared" si="1"/>
        <v>1490.3251192402493</v>
      </c>
      <c r="F12">
        <f t="shared" si="2"/>
        <v>36.44004757810167</v>
      </c>
      <c r="G12">
        <f t="shared" si="3"/>
        <v>400.84052335911838</v>
      </c>
      <c r="H12">
        <f t="shared" si="4"/>
        <v>0.55898868530521417</v>
      </c>
      <c r="I12">
        <f t="shared" si="5"/>
        <v>224.06531716956758</v>
      </c>
    </row>
    <row r="13" spans="1:9">
      <c r="A13">
        <v>12</v>
      </c>
      <c r="B13" s="1">
        <v>45976</v>
      </c>
      <c r="C13">
        <f t="shared" si="0"/>
        <v>2.4451072526160189E-2</v>
      </c>
      <c r="D13" s="13">
        <v>1.5146898382459686</v>
      </c>
      <c r="E13">
        <f t="shared" si="1"/>
        <v>1514.6898382459685</v>
      </c>
      <c r="F13">
        <f t="shared" si="2"/>
        <v>37.03579108959002</v>
      </c>
      <c r="G13">
        <f t="shared" si="3"/>
        <v>444.42949307508025</v>
      </c>
      <c r="H13">
        <f t="shared" si="4"/>
        <v>0.53019991673626432</v>
      </c>
      <c r="I13">
        <f t="shared" si="5"/>
        <v>235.63648022354769</v>
      </c>
    </row>
    <row r="14" spans="1:9">
      <c r="A14">
        <v>13</v>
      </c>
      <c r="B14" s="1">
        <v>46157</v>
      </c>
      <c r="C14">
        <f t="shared" si="0"/>
        <v>2.4451072526160189E-2</v>
      </c>
      <c r="D14" s="13">
        <v>1.579127839417283</v>
      </c>
      <c r="E14">
        <f t="shared" si="1"/>
        <v>1579.127839417283</v>
      </c>
      <c r="F14">
        <f t="shared" si="2"/>
        <v>38.61136932967063</v>
      </c>
      <c r="G14">
        <f t="shared" si="3"/>
        <v>501.94780128571819</v>
      </c>
      <c r="H14">
        <f t="shared" si="4"/>
        <v>0.50289381359061203</v>
      </c>
      <c r="I14">
        <f t="shared" si="5"/>
        <v>252.42644401199752</v>
      </c>
    </row>
    <row r="15" spans="1:9">
      <c r="A15">
        <v>14</v>
      </c>
      <c r="B15" s="1">
        <v>46341</v>
      </c>
      <c r="C15">
        <f t="shared" si="0"/>
        <v>2.4451072526160189E-2</v>
      </c>
      <c r="D15" s="13">
        <v>1.6049866267404655</v>
      </c>
      <c r="E15">
        <f t="shared" si="1"/>
        <v>1604.9866267404655</v>
      </c>
      <c r="F15">
        <f t="shared" si="2"/>
        <v>39.24364441394831</v>
      </c>
      <c r="G15">
        <f t="shared" si="3"/>
        <v>549.41102179527638</v>
      </c>
      <c r="H15">
        <f t="shared" si="4"/>
        <v>0.47699401634102762</v>
      </c>
      <c r="I15">
        <f t="shared" si="5"/>
        <v>262.06576990815677</v>
      </c>
    </row>
    <row r="16" spans="1:9">
      <c r="A16">
        <v>15</v>
      </c>
      <c r="B16" s="1">
        <v>46522</v>
      </c>
      <c r="C16">
        <f t="shared" si="0"/>
        <v>2.4451072526160189E-2</v>
      </c>
      <c r="D16" s="13">
        <v>1.6736593449694115</v>
      </c>
      <c r="E16">
        <f t="shared" si="1"/>
        <v>1673.6593449694114</v>
      </c>
      <c r="F16">
        <f t="shared" si="2"/>
        <v>40.922766027932838</v>
      </c>
      <c r="G16">
        <f t="shared" si="3"/>
        <v>613.84149041899252</v>
      </c>
      <c r="H16">
        <f t="shared" si="4"/>
        <v>0.45242809809222106</v>
      </c>
      <c r="I16">
        <f t="shared" si="5"/>
        <v>277.7191380403591</v>
      </c>
    </row>
    <row r="17" spans="1:10">
      <c r="A17">
        <v>16</v>
      </c>
      <c r="B17" s="1">
        <v>46706</v>
      </c>
      <c r="C17">
        <f t="shared" si="0"/>
        <v>2.4451072526160189E-2</v>
      </c>
      <c r="D17" s="13">
        <v>1.7012274381634336</v>
      </c>
      <c r="E17">
        <f t="shared" si="1"/>
        <v>1701.2274381634336</v>
      </c>
      <c r="F17">
        <f t="shared" si="2"/>
        <v>41.596835474027813</v>
      </c>
      <c r="G17">
        <f t="shared" si="3"/>
        <v>665.54936758444501</v>
      </c>
      <c r="H17">
        <f t="shared" si="4"/>
        <v>0.4291273620443074</v>
      </c>
      <c r="I17">
        <f t="shared" si="5"/>
        <v>285.60544442176996</v>
      </c>
    </row>
    <row r="18" spans="1:10">
      <c r="A18">
        <v>17</v>
      </c>
      <c r="B18" s="1">
        <v>46888</v>
      </c>
      <c r="C18">
        <f t="shared" si="0"/>
        <v>2.4451072526160189E-2</v>
      </c>
      <c r="D18" s="13">
        <v>1.7744717488461708</v>
      </c>
      <c r="E18">
        <f t="shared" si="1"/>
        <v>1774.4717488461708</v>
      </c>
      <c r="F18">
        <f t="shared" si="2"/>
        <v>43.387737426660031</v>
      </c>
      <c r="G18">
        <f t="shared" si="3"/>
        <v>737.59153625322051</v>
      </c>
      <c r="H18">
        <f t="shared" si="4"/>
        <v>0.40702664938721295</v>
      </c>
      <c r="I18">
        <f t="shared" si="5"/>
        <v>300.21941161751533</v>
      </c>
    </row>
    <row r="19" spans="1:10">
      <c r="A19">
        <v>18</v>
      </c>
      <c r="B19" s="1">
        <v>47072</v>
      </c>
      <c r="C19">
        <f t="shared" si="0"/>
        <v>2.4451072526160189E-2</v>
      </c>
      <c r="D19" s="13">
        <v>1.8038704451461447</v>
      </c>
      <c r="E19">
        <f t="shared" si="1"/>
        <v>1803.8704451461447</v>
      </c>
      <c r="F19">
        <f t="shared" si="2"/>
        <v>44.106567082065247</v>
      </c>
      <c r="G19">
        <f t="shared" si="3"/>
        <v>793.91820747717441</v>
      </c>
      <c r="H19">
        <f t="shared" si="4"/>
        <v>0.38606415708881248</v>
      </c>
      <c r="I19">
        <f t="shared" si="5"/>
        <v>306.50336356713626</v>
      </c>
    </row>
    <row r="20" spans="1:10">
      <c r="A20">
        <v>19</v>
      </c>
      <c r="B20" s="1">
        <v>47253</v>
      </c>
      <c r="C20">
        <f t="shared" si="0"/>
        <v>2.4451072526160189E-2</v>
      </c>
      <c r="D20" s="13">
        <v>1.8819492604626089</v>
      </c>
      <c r="E20">
        <f t="shared" si="1"/>
        <v>1881.9492604626089</v>
      </c>
      <c r="F20">
        <f t="shared" si="2"/>
        <v>46.015677858124782</v>
      </c>
      <c r="G20">
        <f t="shared" si="3"/>
        <v>874.29787930437089</v>
      </c>
      <c r="H20">
        <f t="shared" si="4"/>
        <v>0.3661812650672539</v>
      </c>
      <c r="I20">
        <f t="shared" si="5"/>
        <v>320.15150348929183</v>
      </c>
    </row>
    <row r="21" spans="1:10">
      <c r="A21">
        <v>20</v>
      </c>
      <c r="B21" s="1">
        <v>47437</v>
      </c>
      <c r="C21">
        <f t="shared" si="0"/>
        <v>2.4451072526160189E-2</v>
      </c>
      <c r="D21" s="13">
        <v>1.9132805227029384</v>
      </c>
      <c r="E21">
        <f t="shared" si="1"/>
        <v>1913.2805227029385</v>
      </c>
      <c r="F21">
        <f t="shared" si="2"/>
        <v>46.781760823499226</v>
      </c>
      <c r="G21">
        <f t="shared" si="3"/>
        <v>935.63521646998447</v>
      </c>
      <c r="H21">
        <f t="shared" si="4"/>
        <v>0.34732237226417251</v>
      </c>
      <c r="I21">
        <f t="shared" si="5"/>
        <v>324.96704295825759</v>
      </c>
    </row>
    <row r="22" spans="1:10">
      <c r="A22">
        <v>21</v>
      </c>
      <c r="B22" s="1">
        <v>47618</v>
      </c>
      <c r="C22">
        <f t="shared" si="0"/>
        <v>2.4451072526160189E-2</v>
      </c>
      <c r="D22" s="13">
        <v>1.9964500910357748</v>
      </c>
      <c r="E22">
        <f t="shared" si="1"/>
        <v>1996.4500910357747</v>
      </c>
      <c r="F22">
        <f t="shared" si="2"/>
        <v>48.815345970774835</v>
      </c>
      <c r="G22">
        <f t="shared" si="3"/>
        <v>1025.1222653862715</v>
      </c>
      <c r="H22">
        <f t="shared" si="4"/>
        <v>0.32943474116038307</v>
      </c>
      <c r="I22">
        <f t="shared" si="5"/>
        <v>337.71088815527185</v>
      </c>
    </row>
    <row r="23" spans="1:10">
      <c r="A23">
        <v>22</v>
      </c>
      <c r="B23" s="1">
        <v>47802</v>
      </c>
      <c r="C23">
        <f t="shared" si="0"/>
        <v>2.4451072526160189E-2</v>
      </c>
      <c r="D23" s="13">
        <v>2.0298182299862431</v>
      </c>
      <c r="E23">
        <f t="shared" si="1"/>
        <v>2029.8182299862431</v>
      </c>
      <c r="F23">
        <f t="shared" si="2"/>
        <v>49.631232756315733</v>
      </c>
      <c r="G23">
        <f t="shared" si="3"/>
        <v>1091.887120638946</v>
      </c>
      <c r="H23">
        <f t="shared" si="4"/>
        <v>0.3124683502992518</v>
      </c>
      <c r="I23">
        <f t="shared" si="5"/>
        <v>341.18016729905162</v>
      </c>
    </row>
    <row r="24" spans="1:10">
      <c r="B24" s="1"/>
      <c r="D24" s="13"/>
      <c r="H24" t="s">
        <v>4</v>
      </c>
      <c r="I24">
        <f>SUM(I2:I23)</f>
        <v>4677.5030301137376</v>
      </c>
    </row>
    <row r="25" spans="1:10">
      <c r="A25" t="s">
        <v>98</v>
      </c>
      <c r="B25" s="8">
        <v>1000</v>
      </c>
      <c r="D25" s="13"/>
      <c r="H25" t="s">
        <v>5</v>
      </c>
      <c r="I25">
        <f>(A23*B27)*H23</f>
        <v>13953.586982085269</v>
      </c>
    </row>
    <row r="26" spans="1:10">
      <c r="A26" t="s">
        <v>79</v>
      </c>
      <c r="B26" s="11">
        <v>4.9500000000000002E-2</v>
      </c>
      <c r="D26" s="13"/>
      <c r="H26" t="s">
        <v>6</v>
      </c>
      <c r="I26">
        <f>SUM(I24:I25)</f>
        <v>18631.090012199005</v>
      </c>
    </row>
    <row r="27" spans="1:10">
      <c r="A27" t="s">
        <v>111</v>
      </c>
      <c r="B27" s="8">
        <f>B25*D23</f>
        <v>2029.8182299862431</v>
      </c>
      <c r="D27" s="13"/>
      <c r="H27" t="s">
        <v>89</v>
      </c>
      <c r="I27">
        <f>(I26/B28)/2</f>
        <v>8.683711837138242</v>
      </c>
    </row>
    <row r="28" spans="1:10">
      <c r="A28" t="s">
        <v>90</v>
      </c>
      <c r="B28" s="8">
        <v>1072.7607250000001</v>
      </c>
      <c r="D28" s="13"/>
      <c r="H28" t="s">
        <v>18</v>
      </c>
      <c r="I28">
        <f>I27/(1+B29)</f>
        <v>8.23648745322728</v>
      </c>
    </row>
    <row r="29" spans="1:10">
      <c r="A29" t="s">
        <v>101</v>
      </c>
      <c r="B29" s="13">
        <v>5.4297949999999998E-2</v>
      </c>
      <c r="D29" s="13"/>
    </row>
    <row r="30" spans="1:10">
      <c r="A30" t="s">
        <v>145</v>
      </c>
      <c r="B30" s="13">
        <f>F6/B28</f>
        <v>2.8231153902157653E-2</v>
      </c>
      <c r="D30" s="13"/>
    </row>
    <row r="31" spans="1:10">
      <c r="B31" s="1"/>
      <c r="D31" s="13"/>
    </row>
    <row r="32" spans="1:10">
      <c r="B32" s="1"/>
      <c r="D32" s="13"/>
      <c r="J32" s="6"/>
    </row>
    <row r="33" spans="2:4">
      <c r="B33" s="1"/>
      <c r="D33" s="13"/>
    </row>
    <row r="34" spans="2:4">
      <c r="B34" s="1"/>
      <c r="D34" s="13"/>
    </row>
    <row r="35" spans="2:4">
      <c r="B35" s="1"/>
      <c r="D35" s="13"/>
    </row>
    <row r="36" spans="2:4">
      <c r="B36" s="1"/>
      <c r="D36" s="13"/>
    </row>
    <row r="37" spans="2:4">
      <c r="B37" s="1"/>
      <c r="D37" s="13"/>
    </row>
    <row r="38" spans="2:4">
      <c r="B38" s="1"/>
      <c r="D38" s="13"/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4159F-4417-4A9F-AEA5-C5DBC0D41770}">
  <dimension ref="A1:J18"/>
  <sheetViews>
    <sheetView workbookViewId="0">
      <selection activeCell="B17" sqref="B17"/>
    </sheetView>
  </sheetViews>
  <sheetFormatPr defaultRowHeight="15"/>
  <cols>
    <col min="2" max="2" width="10.7109375" bestFit="1" customWidth="1"/>
    <col min="4" max="4" width="10.7109375" bestFit="1" customWidth="1"/>
  </cols>
  <sheetData>
    <row r="1" spans="1:10">
      <c r="A1" t="s">
        <v>96</v>
      </c>
      <c r="B1" t="s">
        <v>0</v>
      </c>
      <c r="C1" t="s">
        <v>121</v>
      </c>
      <c r="D1" t="s">
        <v>141</v>
      </c>
      <c r="E1" t="s">
        <v>116</v>
      </c>
      <c r="F1" t="s">
        <v>142</v>
      </c>
      <c r="G1" t="s">
        <v>107</v>
      </c>
      <c r="H1" t="s">
        <v>12</v>
      </c>
      <c r="I1" t="s">
        <v>3</v>
      </c>
      <c r="J1" t="s">
        <v>102</v>
      </c>
    </row>
    <row r="2" spans="1:10">
      <c r="A2">
        <v>0</v>
      </c>
      <c r="B2" s="1">
        <v>43609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</v>
      </c>
      <c r="B3" s="1">
        <v>43784</v>
      </c>
      <c r="C3">
        <v>4.9000000000000002E-2</v>
      </c>
      <c r="D3" s="13">
        <f>(1+C3)^(NETWORKDAYS.INTL(B2,B3)/252)-1</f>
        <v>2.4207010325549394E-2</v>
      </c>
      <c r="E3">
        <f>1.2/100</f>
        <v>1.2E-2</v>
      </c>
      <c r="F3" s="13">
        <f>D3+E3</f>
        <v>3.6207010325549391E-2</v>
      </c>
      <c r="G3">
        <f>$B$14*F3</f>
        <v>36.20701032554939</v>
      </c>
      <c r="H3">
        <f>A3*G3</f>
        <v>36.20701032554939</v>
      </c>
      <c r="I3">
        <f>(1+$B$16)^(-A3)</f>
        <v>0.95705628169489276</v>
      </c>
      <c r="J3">
        <f>H3*I3</f>
        <v>34.652146673458887</v>
      </c>
    </row>
    <row r="4" spans="1:10">
      <c r="A4">
        <v>2</v>
      </c>
      <c r="B4" s="1">
        <v>43966</v>
      </c>
      <c r="C4">
        <v>2.9000000000000001E-2</v>
      </c>
      <c r="D4" s="13">
        <f t="shared" ref="D4:D12" si="0">(1+C4)^(NETWORKDAYS.INTL(B3,B4)/252)-1</f>
        <v>1.4971912676972066E-2</v>
      </c>
      <c r="E4">
        <f t="shared" ref="E4:E12" si="1">1.2/100</f>
        <v>1.2E-2</v>
      </c>
      <c r="F4" s="13">
        <f t="shared" ref="F4:F12" si="2">D4+E4</f>
        <v>2.6971912676972066E-2</v>
      </c>
      <c r="G4">
        <f t="shared" ref="G4:G12" si="3">$B$14*F4</f>
        <v>26.971912676972067</v>
      </c>
      <c r="H4">
        <f t="shared" ref="H4:H12" si="4">A4*G4</f>
        <v>53.943825353944135</v>
      </c>
      <c r="I4">
        <f t="shared" ref="I4:I12" si="5">(1+$B$16)^(-A4)</f>
        <v>0.91595672633165404</v>
      </c>
      <c r="J4">
        <f t="shared" ref="J4:J12" si="6">H4*I4</f>
        <v>49.410209677005149</v>
      </c>
    </row>
    <row r="5" spans="1:10">
      <c r="A5">
        <v>3</v>
      </c>
      <c r="B5" s="1">
        <v>44150</v>
      </c>
      <c r="C5">
        <v>1.9E-2</v>
      </c>
      <c r="D5" s="13">
        <f t="shared" si="0"/>
        <v>9.8323476256725328E-3</v>
      </c>
      <c r="E5">
        <f t="shared" si="1"/>
        <v>1.2E-2</v>
      </c>
      <c r="F5" s="13">
        <f t="shared" si="2"/>
        <v>2.1832347625672533E-2</v>
      </c>
      <c r="G5">
        <f t="shared" si="3"/>
        <v>21.832347625672533</v>
      </c>
      <c r="H5">
        <f t="shared" si="4"/>
        <v>65.497042877017606</v>
      </c>
      <c r="I5">
        <f t="shared" si="5"/>
        <v>0.87662213869639938</v>
      </c>
      <c r="J5">
        <f t="shared" si="6"/>
        <v>57.416157805140948</v>
      </c>
    </row>
    <row r="6" spans="1:10">
      <c r="A6">
        <v>4</v>
      </c>
      <c r="B6" s="1">
        <v>44331</v>
      </c>
      <c r="C6">
        <v>3.4000000000000002E-2</v>
      </c>
      <c r="D6" s="13">
        <f t="shared" si="0"/>
        <v>1.7397706140109825E-2</v>
      </c>
      <c r="E6">
        <f t="shared" si="1"/>
        <v>1.2E-2</v>
      </c>
      <c r="F6" s="13">
        <f t="shared" si="2"/>
        <v>2.9397706140109826E-2</v>
      </c>
      <c r="G6">
        <f t="shared" si="3"/>
        <v>29.397706140109825</v>
      </c>
      <c r="H6">
        <f t="shared" si="4"/>
        <v>117.5908245604393</v>
      </c>
      <c r="I6">
        <f t="shared" si="5"/>
        <v>0.83897672451220062</v>
      </c>
      <c r="J6">
        <f t="shared" si="6"/>
        <v>98.655964822406204</v>
      </c>
    </row>
    <row r="7" spans="1:10">
      <c r="A7">
        <v>5</v>
      </c>
      <c r="B7" s="1">
        <v>44515</v>
      </c>
      <c r="C7">
        <v>7.6499999999999999E-2</v>
      </c>
      <c r="D7" s="13">
        <f t="shared" si="0"/>
        <v>3.9063803573089029E-2</v>
      </c>
      <c r="E7">
        <f t="shared" si="1"/>
        <v>1.2E-2</v>
      </c>
      <c r="F7" s="13">
        <f t="shared" si="2"/>
        <v>5.1063803573089026E-2</v>
      </c>
      <c r="G7">
        <f t="shared" si="3"/>
        <v>51.063803573089025</v>
      </c>
      <c r="H7">
        <f t="shared" si="4"/>
        <v>255.31901786544512</v>
      </c>
      <c r="I7">
        <f t="shared" si="5"/>
        <v>0.80294794439020722</v>
      </c>
      <c r="J7">
        <f t="shared" si="6"/>
        <v>205.00788055878576</v>
      </c>
    </row>
    <row r="8" spans="1:10">
      <c r="A8">
        <v>6</v>
      </c>
      <c r="B8" s="1">
        <v>44696</v>
      </c>
      <c r="C8">
        <v>0.1265</v>
      </c>
      <c r="D8" s="13">
        <f t="shared" si="0"/>
        <v>6.3375691247208543E-2</v>
      </c>
      <c r="E8">
        <f t="shared" si="1"/>
        <v>1.2E-2</v>
      </c>
      <c r="F8" s="13">
        <f t="shared" si="2"/>
        <v>7.537569124720854E-2</v>
      </c>
      <c r="G8">
        <f t="shared" si="3"/>
        <v>75.375691247208536</v>
      </c>
      <c r="H8">
        <f t="shared" si="4"/>
        <v>452.25414748325124</v>
      </c>
      <c r="I8">
        <f t="shared" si="5"/>
        <v>0.76846637405264928</v>
      </c>
      <c r="J8">
        <f t="shared" si="6"/>
        <v>347.54210486672616</v>
      </c>
    </row>
    <row r="9" spans="1:10">
      <c r="A9">
        <v>7</v>
      </c>
      <c r="B9" s="1">
        <v>44880</v>
      </c>
      <c r="C9">
        <v>0.13650000000000001</v>
      </c>
      <c r="D9" s="13">
        <f t="shared" si="0"/>
        <v>6.9320276311037654E-2</v>
      </c>
      <c r="E9">
        <f t="shared" si="1"/>
        <v>1.2E-2</v>
      </c>
      <c r="F9" s="13">
        <f t="shared" si="2"/>
        <v>8.1320276311037651E-2</v>
      </c>
      <c r="G9">
        <f t="shared" si="3"/>
        <v>81.320276311037645</v>
      </c>
      <c r="H9">
        <f t="shared" si="4"/>
        <v>569.24193417726349</v>
      </c>
      <c r="I9">
        <f t="shared" si="5"/>
        <v>0.73546557055838513</v>
      </c>
      <c r="J9">
        <f t="shared" si="6"/>
        <v>418.65784390543979</v>
      </c>
    </row>
    <row r="10" spans="1:10">
      <c r="A10">
        <v>8</v>
      </c>
      <c r="B10" s="1">
        <v>45061</v>
      </c>
      <c r="C10">
        <v>0.13694999999999999</v>
      </c>
      <c r="D10" s="13">
        <f t="shared" si="0"/>
        <v>6.8453107700698235E-2</v>
      </c>
      <c r="E10">
        <f t="shared" si="1"/>
        <v>1.2E-2</v>
      </c>
      <c r="F10" s="13">
        <f t="shared" si="2"/>
        <v>8.0453107700698231E-2</v>
      </c>
      <c r="G10">
        <f t="shared" si="3"/>
        <v>80.453107700698226</v>
      </c>
      <c r="H10">
        <f t="shared" si="4"/>
        <v>643.62486160558581</v>
      </c>
      <c r="I10">
        <f t="shared" si="5"/>
        <v>0.70388194427322093</v>
      </c>
      <c r="J10">
        <f t="shared" si="6"/>
        <v>453.03591896952247</v>
      </c>
    </row>
    <row r="11" spans="1:10">
      <c r="A11">
        <v>9</v>
      </c>
      <c r="B11" s="1">
        <v>45245</v>
      </c>
      <c r="C11">
        <v>0.13150999999999999</v>
      </c>
      <c r="D11" s="13">
        <f t="shared" si="0"/>
        <v>6.7381593339385093E-2</v>
      </c>
      <c r="E11">
        <f t="shared" si="1"/>
        <v>1.2E-2</v>
      </c>
      <c r="F11" s="13">
        <f t="shared" si="2"/>
        <v>7.938159333938509E-2</v>
      </c>
      <c r="G11">
        <f t="shared" si="3"/>
        <v>79.381593339385091</v>
      </c>
      <c r="H11">
        <f t="shared" si="4"/>
        <v>714.43434005446579</v>
      </c>
      <c r="I11">
        <f t="shared" si="5"/>
        <v>0.67365463633830058</v>
      </c>
      <c r="J11">
        <f t="shared" si="6"/>
        <v>481.28200553698491</v>
      </c>
    </row>
    <row r="12" spans="1:10">
      <c r="A12">
        <v>10</v>
      </c>
      <c r="B12" s="1">
        <v>45427</v>
      </c>
      <c r="C12">
        <v>0.12570000000000001</v>
      </c>
      <c r="D12" s="13">
        <f t="shared" si="0"/>
        <v>6.3485625154833025E-2</v>
      </c>
      <c r="E12">
        <f t="shared" si="1"/>
        <v>1.2E-2</v>
      </c>
      <c r="F12" s="13">
        <f t="shared" si="2"/>
        <v>7.5485625154833022E-2</v>
      </c>
      <c r="G12">
        <f t="shared" si="3"/>
        <v>75.485625154833016</v>
      </c>
      <c r="H12">
        <f t="shared" si="4"/>
        <v>754.85625154833019</v>
      </c>
      <c r="I12">
        <f t="shared" si="5"/>
        <v>0.6447254014004592</v>
      </c>
      <c r="J12">
        <f t="shared" si="6"/>
        <v>486.67499977914321</v>
      </c>
    </row>
    <row r="13" spans="1:10">
      <c r="I13" t="s">
        <v>4</v>
      </c>
      <c r="J13">
        <f>SUM(J3:J12)</f>
        <v>2632.3352325946134</v>
      </c>
    </row>
    <row r="14" spans="1:10">
      <c r="A14" t="s">
        <v>98</v>
      </c>
      <c r="B14" s="8">
        <v>1000</v>
      </c>
      <c r="I14" t="s">
        <v>5</v>
      </c>
      <c r="J14">
        <f>(B14*A12)*I12</f>
        <v>6447.2540140045921</v>
      </c>
    </row>
    <row r="15" spans="1:10">
      <c r="A15" t="s">
        <v>90</v>
      </c>
      <c r="B15" s="8">
        <v>1065.3581449999999</v>
      </c>
      <c r="I15" t="s">
        <v>6</v>
      </c>
      <c r="J15">
        <f>SUM(J13:J14)</f>
        <v>9079.5892465992056</v>
      </c>
    </row>
    <row r="16" spans="1:10">
      <c r="A16" t="s">
        <v>101</v>
      </c>
      <c r="B16">
        <v>4.4870630000000002E-2</v>
      </c>
      <c r="I16" t="s">
        <v>89</v>
      </c>
      <c r="J16">
        <f>(J15/B15)/2</f>
        <v>4.2612849440406757</v>
      </c>
    </row>
    <row r="17" spans="1:10">
      <c r="A17" t="s">
        <v>119</v>
      </c>
      <c r="B17">
        <f>G8/B15</f>
        <v>7.075150417816399E-2</v>
      </c>
      <c r="I17" t="s">
        <v>18</v>
      </c>
      <c r="J17">
        <f>J16/(1+B16)</f>
        <v>4.0782895237859984</v>
      </c>
    </row>
    <row r="18" spans="1:10">
      <c r="J18" s="6"/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EFDA-46FC-444D-A638-02F4F71C14A5}">
  <dimension ref="A1:J21"/>
  <sheetViews>
    <sheetView topLeftCell="A13" workbookViewId="0">
      <selection activeCell="B21" sqref="B21"/>
    </sheetView>
  </sheetViews>
  <sheetFormatPr defaultRowHeight="15"/>
  <cols>
    <col min="2" max="2" width="10.7109375" bestFit="1" customWidth="1"/>
    <col min="4" max="4" width="10.7109375" bestFit="1" customWidth="1"/>
  </cols>
  <sheetData>
    <row r="1" spans="1:10">
      <c r="A1" t="s">
        <v>96</v>
      </c>
      <c r="B1" t="s">
        <v>0</v>
      </c>
      <c r="C1" t="s">
        <v>121</v>
      </c>
      <c r="D1" t="s">
        <v>141</v>
      </c>
      <c r="E1" t="s">
        <v>116</v>
      </c>
      <c r="F1" t="s">
        <v>142</v>
      </c>
      <c r="G1" t="s">
        <v>107</v>
      </c>
      <c r="H1" t="s">
        <v>12</v>
      </c>
      <c r="I1" t="s">
        <v>3</v>
      </c>
      <c r="J1" t="s">
        <v>102</v>
      </c>
    </row>
    <row r="2" spans="1:10">
      <c r="A2">
        <v>0</v>
      </c>
      <c r="B2" s="1">
        <v>43609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</v>
      </c>
      <c r="B3" s="1">
        <v>43784</v>
      </c>
      <c r="C3">
        <v>4.9000000000000002E-2</v>
      </c>
      <c r="D3" s="13">
        <f>(1+C3)^(NETWORKDAYS.INTL(B2,B3)/252)-1</f>
        <v>2.4207010325549394E-2</v>
      </c>
      <c r="E3">
        <f>1.3/100</f>
        <v>1.3000000000000001E-2</v>
      </c>
      <c r="F3" s="13">
        <f>D3+E3</f>
        <v>3.7207010325549392E-2</v>
      </c>
      <c r="G3" s="12">
        <f>$B$18*F3</f>
        <v>37.20701032554939</v>
      </c>
      <c r="H3">
        <f>A3*G3</f>
        <v>37.20701032554939</v>
      </c>
      <c r="I3">
        <f>(1+$B$20)^(-A3)</f>
        <v>0.95067258469223581</v>
      </c>
      <c r="J3">
        <f>H3*I3</f>
        <v>35.371684674860745</v>
      </c>
    </row>
    <row r="4" spans="1:10">
      <c r="A4">
        <v>2</v>
      </c>
      <c r="B4" s="1">
        <v>43966</v>
      </c>
      <c r="C4">
        <v>2.9000000000000001E-2</v>
      </c>
      <c r="D4" s="13">
        <f t="shared" ref="D4:D16" si="0">(1+C4)^(NETWORKDAYS.INTL(B3,B4)/252)-1</f>
        <v>1.4971912676972066E-2</v>
      </c>
      <c r="E4">
        <f t="shared" ref="E4:E16" si="1">1.3/100</f>
        <v>1.3000000000000001E-2</v>
      </c>
      <c r="F4" s="13">
        <f t="shared" ref="F4:F16" si="2">D4+E4</f>
        <v>2.7971912676972067E-2</v>
      </c>
      <c r="G4" s="12">
        <f t="shared" ref="G4:G16" si="3">$B$18*F4</f>
        <v>27.971912676972067</v>
      </c>
      <c r="H4">
        <f t="shared" ref="H4:H16" si="4">A4*G4</f>
        <v>55.943825353944135</v>
      </c>
      <c r="I4">
        <f t="shared" ref="I4:I16" si="5">(1+$B$20)^(-A4)</f>
        <v>0.90377836328541639</v>
      </c>
      <c r="J4">
        <f t="shared" ref="J4:J16" si="6">H4*I4</f>
        <v>50.560818914312812</v>
      </c>
    </row>
    <row r="5" spans="1:10">
      <c r="A5">
        <v>3</v>
      </c>
      <c r="B5" s="1">
        <v>44150</v>
      </c>
      <c r="C5">
        <v>1.9E-2</v>
      </c>
      <c r="D5" s="13">
        <f t="shared" si="0"/>
        <v>9.8323476256725328E-3</v>
      </c>
      <c r="E5">
        <f t="shared" si="1"/>
        <v>1.3000000000000001E-2</v>
      </c>
      <c r="F5" s="13">
        <f t="shared" si="2"/>
        <v>2.2832347625672534E-2</v>
      </c>
      <c r="G5" s="12">
        <f t="shared" si="3"/>
        <v>22.832347625672533</v>
      </c>
      <c r="H5">
        <f t="shared" si="4"/>
        <v>68.497042877017606</v>
      </c>
      <c r="I5">
        <f t="shared" si="5"/>
        <v>0.85919731261346532</v>
      </c>
      <c r="J5">
        <f t="shared" si="6"/>
        <v>58.852475161902831</v>
      </c>
    </row>
    <row r="6" spans="1:10">
      <c r="A6">
        <v>4</v>
      </c>
      <c r="B6" s="1">
        <v>44331</v>
      </c>
      <c r="C6">
        <v>3.4000000000000002E-2</v>
      </c>
      <c r="D6" s="13">
        <f t="shared" si="0"/>
        <v>1.7397706140109825E-2</v>
      </c>
      <c r="E6">
        <f t="shared" si="1"/>
        <v>1.3000000000000001E-2</v>
      </c>
      <c r="F6" s="13">
        <f t="shared" si="2"/>
        <v>3.0397706140109827E-2</v>
      </c>
      <c r="G6" s="12">
        <f t="shared" si="3"/>
        <v>30.397706140109825</v>
      </c>
      <c r="H6">
        <f t="shared" si="4"/>
        <v>121.5908245604393</v>
      </c>
      <c r="I6">
        <f t="shared" si="5"/>
        <v>0.81681532994286599</v>
      </c>
      <c r="J6">
        <f t="shared" si="6"/>
        <v>99.317249481360363</v>
      </c>
    </row>
    <row r="7" spans="1:10">
      <c r="A7">
        <v>5</v>
      </c>
      <c r="B7" s="1">
        <v>44515</v>
      </c>
      <c r="C7">
        <v>7.6499999999999999E-2</v>
      </c>
      <c r="D7" s="13">
        <f t="shared" si="0"/>
        <v>3.9063803573089029E-2</v>
      </c>
      <c r="E7">
        <f t="shared" si="1"/>
        <v>1.3000000000000001E-2</v>
      </c>
      <c r="F7" s="13">
        <f t="shared" si="2"/>
        <v>5.2063803573089026E-2</v>
      </c>
      <c r="G7" s="12">
        <f t="shared" si="3"/>
        <v>52.063803573089025</v>
      </c>
      <c r="H7">
        <f t="shared" si="4"/>
        <v>260.31901786544512</v>
      </c>
      <c r="I7">
        <f t="shared" si="5"/>
        <v>0.77652394093302579</v>
      </c>
      <c r="J7">
        <f t="shared" si="6"/>
        <v>202.1439496526902</v>
      </c>
    </row>
    <row r="8" spans="1:10">
      <c r="A8">
        <v>6</v>
      </c>
      <c r="B8" s="1">
        <v>44696</v>
      </c>
      <c r="C8">
        <v>0.1265</v>
      </c>
      <c r="D8" s="13">
        <f t="shared" si="0"/>
        <v>6.3375691247208543E-2</v>
      </c>
      <c r="E8">
        <f t="shared" si="1"/>
        <v>1.3000000000000001E-2</v>
      </c>
      <c r="F8" s="13">
        <f t="shared" si="2"/>
        <v>7.6375691247208541E-2</v>
      </c>
      <c r="G8" s="12">
        <f t="shared" si="3"/>
        <v>76.375691247208536</v>
      </c>
      <c r="H8">
        <f t="shared" si="4"/>
        <v>458.25414748325124</v>
      </c>
      <c r="I8">
        <f t="shared" si="5"/>
        <v>0.73822002200220072</v>
      </c>
      <c r="J8">
        <f t="shared" si="6"/>
        <v>338.29238683768546</v>
      </c>
    </row>
    <row r="9" spans="1:10">
      <c r="A9">
        <v>7</v>
      </c>
      <c r="B9" s="1">
        <v>44880</v>
      </c>
      <c r="C9">
        <v>0.13650000000000001</v>
      </c>
      <c r="D9" s="13">
        <f t="shared" si="0"/>
        <v>6.9320276311037654E-2</v>
      </c>
      <c r="E9">
        <f t="shared" si="1"/>
        <v>1.3000000000000001E-2</v>
      </c>
      <c r="F9" s="13">
        <f t="shared" si="2"/>
        <v>8.2320276311037652E-2</v>
      </c>
      <c r="G9" s="12">
        <f t="shared" si="3"/>
        <v>82.320276311037645</v>
      </c>
      <c r="H9">
        <f t="shared" si="4"/>
        <v>576.24193417726349</v>
      </c>
      <c r="I9">
        <f t="shared" si="5"/>
        <v>0.70180553638839138</v>
      </c>
      <c r="J9">
        <f t="shared" si="6"/>
        <v>404.40977970475853</v>
      </c>
    </row>
    <row r="10" spans="1:10">
      <c r="A10">
        <v>8</v>
      </c>
      <c r="B10" s="1">
        <v>45061</v>
      </c>
      <c r="C10">
        <v>0.13694999999999999</v>
      </c>
      <c r="D10" s="13">
        <f t="shared" si="0"/>
        <v>6.8453107700698235E-2</v>
      </c>
      <c r="E10">
        <f t="shared" si="1"/>
        <v>1.3000000000000001E-2</v>
      </c>
      <c r="F10" s="13">
        <f t="shared" si="2"/>
        <v>8.1453107700698232E-2</v>
      </c>
      <c r="G10" s="12">
        <f t="shared" si="3"/>
        <v>81.453107700698226</v>
      </c>
      <c r="H10">
        <f t="shared" si="4"/>
        <v>651.62486160558581</v>
      </c>
      <c r="I10">
        <f t="shared" si="5"/>
        <v>0.66718728322967302</v>
      </c>
      <c r="J10">
        <f t="shared" si="6"/>
        <v>434.75582109954246</v>
      </c>
    </row>
    <row r="11" spans="1:10">
      <c r="A11">
        <v>9</v>
      </c>
      <c r="B11" s="1">
        <v>45245</v>
      </c>
      <c r="C11">
        <v>0.13150999999999999</v>
      </c>
      <c r="D11" s="13">
        <f t="shared" si="0"/>
        <v>6.7381593339385093E-2</v>
      </c>
      <c r="E11">
        <f t="shared" si="1"/>
        <v>1.3000000000000001E-2</v>
      </c>
      <c r="F11" s="13">
        <f t="shared" si="2"/>
        <v>8.0381593339385091E-2</v>
      </c>
      <c r="G11" s="12">
        <f t="shared" si="3"/>
        <v>80.381593339385091</v>
      </c>
      <c r="H11">
        <f t="shared" si="4"/>
        <v>723.43434005446579</v>
      </c>
      <c r="I11">
        <f t="shared" si="5"/>
        <v>0.63427665902174413</v>
      </c>
      <c r="J11">
        <f t="shared" si="6"/>
        <v>458.85751623134689</v>
      </c>
    </row>
    <row r="12" spans="1:10">
      <c r="A12">
        <v>10</v>
      </c>
      <c r="B12" s="1">
        <v>45427</v>
      </c>
      <c r="C12">
        <v>0.12570000000000001</v>
      </c>
      <c r="D12" s="13">
        <f t="shared" si="0"/>
        <v>6.3485625154833025E-2</v>
      </c>
      <c r="E12">
        <f t="shared" si="1"/>
        <v>1.3000000000000001E-2</v>
      </c>
      <c r="F12" s="13">
        <f t="shared" si="2"/>
        <v>7.6485625154833023E-2</v>
      </c>
      <c r="G12" s="12">
        <f t="shared" si="3"/>
        <v>76.485625154833016</v>
      </c>
      <c r="H12">
        <f t="shared" si="4"/>
        <v>764.85625154833019</v>
      </c>
      <c r="I12">
        <f t="shared" si="5"/>
        <v>0.60298943084215739</v>
      </c>
      <c r="J12">
        <f t="shared" si="6"/>
        <v>461.20023579719361</v>
      </c>
    </row>
    <row r="13" spans="1:10">
      <c r="A13">
        <v>11</v>
      </c>
      <c r="B13" s="1">
        <v>45611</v>
      </c>
      <c r="C13">
        <v>0.11924999999999999</v>
      </c>
      <c r="D13" s="13">
        <f t="shared" si="0"/>
        <v>6.1262058034533773E-2</v>
      </c>
      <c r="E13">
        <f t="shared" si="1"/>
        <v>1.3000000000000001E-2</v>
      </c>
      <c r="F13" s="13">
        <f t="shared" si="2"/>
        <v>7.4262058034533771E-2</v>
      </c>
      <c r="G13" s="12">
        <f t="shared" si="3"/>
        <v>74.262058034533766</v>
      </c>
      <c r="H13">
        <f t="shared" si="4"/>
        <v>816.88263837987142</v>
      </c>
      <c r="I13">
        <f t="shared" si="5"/>
        <v>0.57324552076081403</v>
      </c>
      <c r="J13">
        <f t="shared" si="6"/>
        <v>468.27431343853715</v>
      </c>
    </row>
    <row r="14" spans="1:10">
      <c r="A14">
        <v>12</v>
      </c>
      <c r="B14" s="1">
        <v>45792</v>
      </c>
      <c r="C14">
        <v>0.11595</v>
      </c>
      <c r="D14" s="13">
        <f t="shared" si="0"/>
        <v>5.8226502516244949E-2</v>
      </c>
      <c r="E14">
        <f t="shared" si="1"/>
        <v>1.3000000000000001E-2</v>
      </c>
      <c r="F14" s="13">
        <f t="shared" si="2"/>
        <v>7.1226502516244947E-2</v>
      </c>
      <c r="G14" s="12">
        <f t="shared" si="3"/>
        <v>71.226502516244949</v>
      </c>
      <c r="H14">
        <f t="shared" si="4"/>
        <v>854.71803019493939</v>
      </c>
      <c r="I14">
        <f t="shared" si="5"/>
        <v>0.54496880088492972</v>
      </c>
      <c r="J14">
        <f t="shared" si="6"/>
        <v>465.79466001006529</v>
      </c>
    </row>
    <row r="15" spans="1:10">
      <c r="A15">
        <v>13</v>
      </c>
      <c r="B15" s="1">
        <v>45976</v>
      </c>
      <c r="C15">
        <v>0.11544</v>
      </c>
      <c r="D15" s="13">
        <f t="shared" si="0"/>
        <v>5.8894710677173556E-2</v>
      </c>
      <c r="E15">
        <f t="shared" si="1"/>
        <v>1.3000000000000001E-2</v>
      </c>
      <c r="F15" s="13">
        <f t="shared" si="2"/>
        <v>7.1894710677173554E-2</v>
      </c>
      <c r="G15" s="12">
        <f t="shared" si="3"/>
        <v>71.894710677173549</v>
      </c>
      <c r="H15">
        <f t="shared" si="4"/>
        <v>934.63123880325611</v>
      </c>
      <c r="I15">
        <f t="shared" si="5"/>
        <v>0.51808689851390455</v>
      </c>
      <c r="J15">
        <f t="shared" si="6"/>
        <v>484.22019976578741</v>
      </c>
    </row>
    <row r="16" spans="1:10">
      <c r="A16">
        <v>14</v>
      </c>
      <c r="B16" s="1">
        <v>46157</v>
      </c>
      <c r="C16">
        <v>0.11496000000000001</v>
      </c>
      <c r="D16" s="13">
        <f t="shared" si="0"/>
        <v>5.7742101331899942E-2</v>
      </c>
      <c r="E16">
        <f t="shared" si="1"/>
        <v>1.3000000000000001E-2</v>
      </c>
      <c r="F16" s="13">
        <f t="shared" si="2"/>
        <v>7.074210133189994E-2</v>
      </c>
      <c r="G16" s="12">
        <f t="shared" si="3"/>
        <v>70.742101331899946</v>
      </c>
      <c r="H16">
        <f t="shared" si="4"/>
        <v>990.38941864659921</v>
      </c>
      <c r="I16">
        <f t="shared" si="5"/>
        <v>0.49253101090539769</v>
      </c>
      <c r="J16">
        <f t="shared" si="6"/>
        <v>487.79750155601863</v>
      </c>
    </row>
    <row r="17" spans="1:10">
      <c r="I17" t="s">
        <v>4</v>
      </c>
      <c r="J17">
        <f>SUM(J3:J16)</f>
        <v>4449.8485923260632</v>
      </c>
    </row>
    <row r="18" spans="1:10">
      <c r="A18" t="s">
        <v>98</v>
      </c>
      <c r="B18" s="8">
        <v>1000</v>
      </c>
      <c r="I18" t="s">
        <v>5</v>
      </c>
      <c r="J18">
        <f>(A16*B18)*I16</f>
        <v>6895.4341526755679</v>
      </c>
    </row>
    <row r="19" spans="1:10">
      <c r="A19" t="s">
        <v>90</v>
      </c>
      <c r="B19" s="12">
        <v>1057.108258</v>
      </c>
      <c r="I19" t="s">
        <v>6</v>
      </c>
      <c r="J19">
        <f>SUM(J17:J18)</f>
        <v>11345.28274500163</v>
      </c>
    </row>
    <row r="20" spans="1:10">
      <c r="A20" t="s">
        <v>101</v>
      </c>
      <c r="B20">
        <v>5.188686E-2</v>
      </c>
      <c r="I20" t="s">
        <v>89</v>
      </c>
      <c r="J20">
        <f>(J19/B19)/2</f>
        <v>5.3661877386457943</v>
      </c>
    </row>
    <row r="21" spans="1:10">
      <c r="A21" t="s">
        <v>119</v>
      </c>
      <c r="B21">
        <f>G8/B19</f>
        <v>7.2249640156730799E-2</v>
      </c>
      <c r="I21" t="s">
        <v>18</v>
      </c>
      <c r="J21">
        <f>J20/(1+B20)</f>
        <v>5.1014875674421818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69541-6623-4431-BD06-D87853E6E173}">
  <dimension ref="A1:I16"/>
  <sheetViews>
    <sheetView workbookViewId="0">
      <selection activeCell="B15" sqref="B15"/>
    </sheetView>
  </sheetViews>
  <sheetFormatPr defaultRowHeight="15"/>
  <cols>
    <col min="2" max="2" width="11.28515625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43966</v>
      </c>
      <c r="C2" s="10">
        <f>$B$11</f>
        <v>5.6000000000000001E-2</v>
      </c>
      <c r="D2">
        <v>1.0200992847434016</v>
      </c>
      <c r="E2">
        <f>$B$10*D2</f>
        <v>1020.0992847434017</v>
      </c>
      <c r="F2">
        <f>C2*E2</f>
        <v>57.125559945630492</v>
      </c>
      <c r="G2">
        <f>A2*F2</f>
        <v>57.125559945630492</v>
      </c>
      <c r="H2">
        <f>(1+$B$14)^(-A2)</f>
        <v>0.91777090261318184</v>
      </c>
      <c r="I2">
        <f>G2*H2</f>
        <v>52.428176713584726</v>
      </c>
    </row>
    <row r="3" spans="1:9">
      <c r="A3">
        <v>2</v>
      </c>
      <c r="B3" s="1">
        <v>44331</v>
      </c>
      <c r="C3" s="10">
        <f t="shared" ref="C3:C8" si="0">$B$11</f>
        <v>5.6000000000000001E-2</v>
      </c>
      <c r="D3">
        <v>1.1022774856704021</v>
      </c>
      <c r="E3">
        <f t="shared" ref="E3:E8" si="1">$B$10*D3</f>
        <v>1102.277485670402</v>
      </c>
      <c r="F3">
        <f t="shared" ref="F3:F8" si="2">C3*E3</f>
        <v>61.727539197542512</v>
      </c>
      <c r="G3">
        <f t="shared" ref="G3:G8" si="3">A3*F3</f>
        <v>123.45507839508502</v>
      </c>
      <c r="H3">
        <f t="shared" ref="H3:H8" si="4">(1+$B$14)^(-A3)</f>
        <v>0.84230342968341454</v>
      </c>
      <c r="I3">
        <f t="shared" ref="I3:I8" si="5">G3*H3</f>
        <v>103.98663594401494</v>
      </c>
    </row>
    <row r="4" spans="1:9">
      <c r="A4">
        <v>3</v>
      </c>
      <c r="B4" s="1">
        <v>44696</v>
      </c>
      <c r="C4" s="10">
        <f t="shared" si="0"/>
        <v>5.6000000000000001E-2</v>
      </c>
      <c r="D4">
        <v>1.231587098288236</v>
      </c>
      <c r="E4">
        <f t="shared" si="1"/>
        <v>1231.5870982882359</v>
      </c>
      <c r="F4">
        <f t="shared" si="2"/>
        <v>68.968877504141219</v>
      </c>
      <c r="G4">
        <f t="shared" si="3"/>
        <v>206.90663251242364</v>
      </c>
      <c r="H4">
        <f t="shared" si="4"/>
        <v>0.77304157893472614</v>
      </c>
      <c r="I4">
        <f t="shared" si="5"/>
        <v>159.94742988947112</v>
      </c>
    </row>
    <row r="5" spans="1:9">
      <c r="A5">
        <v>4</v>
      </c>
      <c r="B5" s="1">
        <v>45061</v>
      </c>
      <c r="C5" s="10">
        <f t="shared" si="0"/>
        <v>5.6000000000000001E-2</v>
      </c>
      <c r="D5">
        <v>1.3153734210033687</v>
      </c>
      <c r="E5">
        <f t="shared" si="1"/>
        <v>1315.3734210033688</v>
      </c>
      <c r="F5">
        <f t="shared" si="2"/>
        <v>73.660911576188653</v>
      </c>
      <c r="G5">
        <f t="shared" si="3"/>
        <v>294.64364630475461</v>
      </c>
      <c r="H5">
        <f t="shared" si="4"/>
        <v>0.70947506765644297</v>
      </c>
      <c r="I5">
        <f t="shared" si="5"/>
        <v>209.04232089660684</v>
      </c>
    </row>
    <row r="6" spans="1:9">
      <c r="A6">
        <v>5</v>
      </c>
      <c r="B6" s="1">
        <v>45427</v>
      </c>
      <c r="C6" s="10">
        <f t="shared" si="0"/>
        <v>5.6000000000000001E-2</v>
      </c>
      <c r="D6">
        <v>1.3980526888146056</v>
      </c>
      <c r="E6">
        <f t="shared" si="1"/>
        <v>1398.0526888146057</v>
      </c>
      <c r="F6">
        <f t="shared" si="2"/>
        <v>78.29095057361792</v>
      </c>
      <c r="G6">
        <f t="shared" si="3"/>
        <v>391.4547528680896</v>
      </c>
      <c r="H6">
        <f t="shared" si="4"/>
        <v>0.65113557322460192</v>
      </c>
      <c r="I6">
        <f t="shared" si="5"/>
        <v>254.8901149002584</v>
      </c>
    </row>
    <row r="7" spans="1:9">
      <c r="A7">
        <v>6</v>
      </c>
      <c r="B7" s="1">
        <v>45792</v>
      </c>
      <c r="C7" s="10">
        <f t="shared" si="0"/>
        <v>5.6000000000000001E-2</v>
      </c>
      <c r="D7">
        <v>1.4818784122901967</v>
      </c>
      <c r="E7">
        <f t="shared" si="1"/>
        <v>1481.8784122901966</v>
      </c>
      <c r="F7">
        <f t="shared" si="2"/>
        <v>82.985191088251014</v>
      </c>
      <c r="G7">
        <f t="shared" si="3"/>
        <v>497.91114652950608</v>
      </c>
      <c r="H7">
        <f t="shared" si="4"/>
        <v>0.5975932827618945</v>
      </c>
      <c r="I7">
        <f t="shared" si="5"/>
        <v>297.5483565783062</v>
      </c>
    </row>
    <row r="8" spans="1:9">
      <c r="A8">
        <v>7</v>
      </c>
      <c r="B8" s="1">
        <v>46157</v>
      </c>
      <c r="C8" s="10">
        <f t="shared" si="0"/>
        <v>5.6000000000000001E-2</v>
      </c>
      <c r="D8">
        <v>1.5701778258101666</v>
      </c>
      <c r="E8">
        <f t="shared" si="1"/>
        <v>1570.1778258101667</v>
      </c>
      <c r="F8">
        <f t="shared" si="2"/>
        <v>87.929958245369335</v>
      </c>
      <c r="G8">
        <f t="shared" si="3"/>
        <v>615.50970771758534</v>
      </c>
      <c r="H8">
        <f t="shared" si="4"/>
        <v>0.54845372651595836</v>
      </c>
      <c r="I8">
        <f t="shared" si="5"/>
        <v>337.57859290445799</v>
      </c>
    </row>
    <row r="9" spans="1:9">
      <c r="H9" t="s">
        <v>4</v>
      </c>
      <c r="I9">
        <f>SUM(I2:I8)</f>
        <v>1415.4216278267002</v>
      </c>
    </row>
    <row r="10" spans="1:9">
      <c r="A10" t="s">
        <v>98</v>
      </c>
      <c r="B10" s="8">
        <v>1000</v>
      </c>
      <c r="H10" t="s">
        <v>5</v>
      </c>
      <c r="I10">
        <f>(A8*B12)*H8</f>
        <v>6028.1891590081796</v>
      </c>
    </row>
    <row r="11" spans="1:9">
      <c r="A11" t="s">
        <v>79</v>
      </c>
      <c r="B11" s="10">
        <v>5.6000000000000001E-2</v>
      </c>
      <c r="H11" t="s">
        <v>6</v>
      </c>
      <c r="I11">
        <f>SUM(I9:I10)</f>
        <v>7443.6107868348799</v>
      </c>
    </row>
    <row r="12" spans="1:9">
      <c r="A12" t="s">
        <v>111</v>
      </c>
      <c r="B12">
        <f>B10*D8</f>
        <v>1570.1778258101667</v>
      </c>
      <c r="H12" t="s">
        <v>89</v>
      </c>
      <c r="I12">
        <f>I11/B13</f>
        <v>6.1022343367466183</v>
      </c>
    </row>
    <row r="13" spans="1:9">
      <c r="A13" t="s">
        <v>90</v>
      </c>
      <c r="B13">
        <v>1219.8172629999999</v>
      </c>
      <c r="H13" t="s">
        <v>18</v>
      </c>
      <c r="I13">
        <f>I12/(1+B14)</f>
        <v>5.600453115193095</v>
      </c>
    </row>
    <row r="14" spans="1:9">
      <c r="A14" t="s">
        <v>101</v>
      </c>
      <c r="B14">
        <v>8.9596540000000002E-2</v>
      </c>
    </row>
    <row r="15" spans="1:9">
      <c r="A15" t="s">
        <v>119</v>
      </c>
      <c r="B15">
        <f>F4/B13</f>
        <v>5.6540335668410054E-2</v>
      </c>
    </row>
    <row r="16" spans="1:9">
      <c r="H16" s="6"/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5995C-DA33-4471-8B79-E402B0B1BE5D}">
  <dimension ref="A1:J25"/>
  <sheetViews>
    <sheetView topLeftCell="A7" workbookViewId="0">
      <selection activeCell="B24" sqref="B24"/>
    </sheetView>
  </sheetViews>
  <sheetFormatPr defaultRowHeight="15"/>
  <cols>
    <col min="2" max="2" width="11.85546875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43784</v>
      </c>
      <c r="C2">
        <f>(1+$B$20)^(1/2)-1</f>
        <v>2.4695076595959931E-2</v>
      </c>
      <c r="D2">
        <v>1.0101342096012718</v>
      </c>
      <c r="E2">
        <f>$B$19*D2</f>
        <v>1010.1342096012718</v>
      </c>
      <c r="F2">
        <f>E2*C2</f>
        <v>24.945341678302849</v>
      </c>
      <c r="G2">
        <f>A2*F2</f>
        <v>24.945341678302849</v>
      </c>
      <c r="H2">
        <f>(1+$B$23)^(-A2)</f>
        <v>0.95798122853026357</v>
      </c>
      <c r="I2">
        <f>G2*H2</f>
        <v>23.897169067087752</v>
      </c>
    </row>
    <row r="3" spans="1:9">
      <c r="A3">
        <v>2</v>
      </c>
      <c r="B3" s="1">
        <v>43966</v>
      </c>
      <c r="C3">
        <f t="shared" ref="C3:C17" si="0">(1+$B$20)^(1/2)-1</f>
        <v>2.4695076595959931E-2</v>
      </c>
      <c r="D3">
        <v>1.0200992847434016</v>
      </c>
      <c r="E3">
        <f t="shared" ref="E3:E17" si="1">$B$19*D3</f>
        <v>1020.0992847434017</v>
      </c>
      <c r="F3">
        <f t="shared" ref="F3:F17" si="2">E3*C3</f>
        <v>25.191429972222242</v>
      </c>
      <c r="G3">
        <f t="shared" ref="G3:G17" si="3">A3*F3</f>
        <v>50.382859944444483</v>
      </c>
      <c r="H3">
        <f t="shared" ref="H3:H17" si="4">(1+$B$23)^(-A3)</f>
        <v>0.91772803421635307</v>
      </c>
      <c r="I3">
        <f t="shared" ref="I3:I17" si="5">G3*H3</f>
        <v>46.237763015012874</v>
      </c>
    </row>
    <row r="4" spans="1:9">
      <c r="A4">
        <v>3</v>
      </c>
      <c r="B4" s="1">
        <v>44150</v>
      </c>
      <c r="C4">
        <f t="shared" si="0"/>
        <v>2.4695076595959931E-2</v>
      </c>
      <c r="D4">
        <v>1.0536820165853531</v>
      </c>
      <c r="E4">
        <f t="shared" si="1"/>
        <v>1053.682016585353</v>
      </c>
      <c r="F4">
        <f t="shared" si="2"/>
        <v>26.020758107360816</v>
      </c>
      <c r="G4">
        <f t="shared" si="3"/>
        <v>78.062274322082445</v>
      </c>
      <c r="H4">
        <f t="shared" si="4"/>
        <v>0.8791662296752456</v>
      </c>
      <c r="I4">
        <f t="shared" si="5"/>
        <v>68.629715395619968</v>
      </c>
    </row>
    <row r="5" spans="1:9">
      <c r="A5">
        <v>4</v>
      </c>
      <c r="B5" s="1">
        <v>44331</v>
      </c>
      <c r="C5">
        <f t="shared" si="0"/>
        <v>2.4695076595959931E-2</v>
      </c>
      <c r="D5">
        <v>1.1022774856704021</v>
      </c>
      <c r="E5">
        <f t="shared" si="1"/>
        <v>1102.277485670402</v>
      </c>
      <c r="F5">
        <f t="shared" si="2"/>
        <v>27.220826938632705</v>
      </c>
      <c r="G5">
        <f t="shared" si="3"/>
        <v>108.88330775453082</v>
      </c>
      <c r="H5">
        <f t="shared" si="4"/>
        <v>0.84222474478661169</v>
      </c>
      <c r="I5">
        <f t="shared" si="5"/>
        <v>91.704216085081811</v>
      </c>
    </row>
    <row r="6" spans="1:9">
      <c r="A6">
        <v>5</v>
      </c>
      <c r="B6" s="1">
        <v>44515</v>
      </c>
      <c r="C6">
        <f t="shared" si="0"/>
        <v>2.4695076595959931E-2</v>
      </c>
      <c r="D6">
        <v>1.1668315352928589</v>
      </c>
      <c r="E6">
        <f t="shared" si="1"/>
        <v>1166.8315352928589</v>
      </c>
      <c r="F6">
        <f t="shared" si="2"/>
        <v>28.814994138638674</v>
      </c>
      <c r="G6">
        <f t="shared" si="3"/>
        <v>144.07497069319336</v>
      </c>
      <c r="H6">
        <f t="shared" si="4"/>
        <v>0.80683549570926594</v>
      </c>
      <c r="I6">
        <f t="shared" si="5"/>
        <v>116.24480039854063</v>
      </c>
    </row>
    <row r="7" spans="1:9">
      <c r="A7">
        <v>6</v>
      </c>
      <c r="B7" s="1">
        <v>44696</v>
      </c>
      <c r="C7">
        <f t="shared" si="0"/>
        <v>2.4695076595959931E-2</v>
      </c>
      <c r="D7">
        <v>1.231587098288236</v>
      </c>
      <c r="E7">
        <f t="shared" si="1"/>
        <v>1231.5870982882359</v>
      </c>
      <c r="F7">
        <f t="shared" si="2"/>
        <v>30.414137726824016</v>
      </c>
      <c r="G7">
        <f t="shared" si="3"/>
        <v>182.48482636094411</v>
      </c>
      <c r="H7">
        <f t="shared" si="4"/>
        <v>0.7729332594013868</v>
      </c>
      <c r="I7">
        <f t="shared" si="5"/>
        <v>141.04859163046063</v>
      </c>
    </row>
    <row r="8" spans="1:9">
      <c r="A8">
        <v>7</v>
      </c>
      <c r="B8" s="1">
        <v>44880</v>
      </c>
      <c r="C8">
        <f t="shared" si="0"/>
        <v>2.4695076595959931E-2</v>
      </c>
      <c r="D8">
        <v>1.2390702467819212</v>
      </c>
      <c r="E8">
        <f t="shared" si="1"/>
        <v>1239.0702467819212</v>
      </c>
      <c r="F8">
        <f t="shared" si="2"/>
        <v>30.59893465205452</v>
      </c>
      <c r="G8">
        <f t="shared" si="3"/>
        <v>214.19254256438165</v>
      </c>
      <c r="H8">
        <f t="shared" si="4"/>
        <v>0.74045555341324121</v>
      </c>
      <c r="I8">
        <f t="shared" si="5"/>
        <v>158.60005764149844</v>
      </c>
    </row>
    <row r="9" spans="1:9">
      <c r="A9">
        <v>8</v>
      </c>
      <c r="B9" s="1">
        <v>45061</v>
      </c>
      <c r="C9">
        <f t="shared" si="0"/>
        <v>2.4695076595959931E-2</v>
      </c>
      <c r="D9">
        <v>1.3153734210033687</v>
      </c>
      <c r="E9">
        <f t="shared" si="1"/>
        <v>1315.3734210033688</v>
      </c>
      <c r="F9">
        <f t="shared" si="2"/>
        <v>32.483247383968042</v>
      </c>
      <c r="G9">
        <f t="shared" si="3"/>
        <v>259.86597907174433</v>
      </c>
      <c r="H9">
        <f t="shared" si="4"/>
        <v>0.70934252073087312</v>
      </c>
      <c r="I9">
        <f t="shared" si="5"/>
        <v>184.33398864694743</v>
      </c>
    </row>
    <row r="10" spans="1:9">
      <c r="A10">
        <v>9</v>
      </c>
      <c r="B10" s="1">
        <v>45245</v>
      </c>
      <c r="C10">
        <f t="shared" si="0"/>
        <v>2.4695076595959931E-2</v>
      </c>
      <c r="D10">
        <v>1.3392222588322236</v>
      </c>
      <c r="E10">
        <f t="shared" si="1"/>
        <v>1339.2222588322236</v>
      </c>
      <c r="F10">
        <f t="shared" si="2"/>
        <v>33.07219626087624</v>
      </c>
      <c r="G10">
        <f t="shared" si="3"/>
        <v>297.64976634788616</v>
      </c>
      <c r="H10">
        <f t="shared" si="4"/>
        <v>0.67953681945851574</v>
      </c>
      <c r="I10">
        <f t="shared" si="5"/>
        <v>202.26397553661292</v>
      </c>
    </row>
    <row r="11" spans="1:9">
      <c r="A11">
        <v>10</v>
      </c>
      <c r="B11" s="1">
        <v>45427</v>
      </c>
      <c r="C11">
        <f t="shared" si="0"/>
        <v>2.4695076595959931E-2</v>
      </c>
      <c r="D11">
        <v>1.3980526888146056</v>
      </c>
      <c r="E11">
        <f t="shared" si="1"/>
        <v>1398.0526888146057</v>
      </c>
      <c r="F11">
        <f t="shared" si="2"/>
        <v>34.525018235464422</v>
      </c>
      <c r="G11">
        <f t="shared" si="3"/>
        <v>345.25018235464421</v>
      </c>
      <c r="H11">
        <f t="shared" si="4"/>
        <v>0.65098351713641678</v>
      </c>
      <c r="I11">
        <f t="shared" si="5"/>
        <v>224.75217800121555</v>
      </c>
    </row>
    <row r="12" spans="1:9">
      <c r="A12">
        <v>11</v>
      </c>
      <c r="B12" s="1">
        <v>45611</v>
      </c>
      <c r="C12">
        <f t="shared" si="0"/>
        <v>2.4695076595959931E-2</v>
      </c>
      <c r="D12">
        <v>1.421347853939797</v>
      </c>
      <c r="E12">
        <f t="shared" si="1"/>
        <v>1421.347853939797</v>
      </c>
      <c r="F12">
        <f t="shared" si="2"/>
        <v>35.100294122546558</v>
      </c>
      <c r="G12">
        <f t="shared" si="3"/>
        <v>386.10323534801216</v>
      </c>
      <c r="H12">
        <f t="shared" si="4"/>
        <v>0.62362998949929638</v>
      </c>
      <c r="I12">
        <f t="shared" si="5"/>
        <v>240.78555660572519</v>
      </c>
    </row>
    <row r="13" spans="1:9">
      <c r="A13">
        <v>12</v>
      </c>
      <c r="B13" s="1">
        <v>45792</v>
      </c>
      <c r="C13">
        <f t="shared" si="0"/>
        <v>2.4695076595959931E-2</v>
      </c>
      <c r="D13">
        <v>1.4818784122901967</v>
      </c>
      <c r="E13">
        <f t="shared" si="1"/>
        <v>1481.8784122901966</v>
      </c>
      <c r="F13">
        <f t="shared" si="2"/>
        <v>36.595100897405892</v>
      </c>
      <c r="G13">
        <f t="shared" si="3"/>
        <v>439.14121076887068</v>
      </c>
      <c r="H13">
        <f t="shared" si="4"/>
        <v>0.59742582348885132</v>
      </c>
      <c r="I13">
        <f t="shared" si="5"/>
        <v>262.35429947148378</v>
      </c>
    </row>
    <row r="14" spans="1:9">
      <c r="A14">
        <v>13</v>
      </c>
      <c r="B14" s="1">
        <v>45976</v>
      </c>
      <c r="C14">
        <f t="shared" si="0"/>
        <v>2.4695076595959931E-2</v>
      </c>
      <c r="D14">
        <v>1.5061050395207021</v>
      </c>
      <c r="E14">
        <f t="shared" si="1"/>
        <v>1506.1050395207021</v>
      </c>
      <c r="F14">
        <f t="shared" si="2"/>
        <v>37.193379312524996</v>
      </c>
      <c r="G14">
        <f t="shared" si="3"/>
        <v>483.51393106282495</v>
      </c>
      <c r="H14">
        <f t="shared" si="4"/>
        <v>0.57232272434155418</v>
      </c>
      <c r="I14">
        <f t="shared" si="5"/>
        <v>276.72601028297038</v>
      </c>
    </row>
    <row r="15" spans="1:9">
      <c r="A15">
        <v>14</v>
      </c>
      <c r="B15" s="1">
        <v>46157</v>
      </c>
      <c r="C15">
        <f t="shared" si="0"/>
        <v>2.4695076595959931E-2</v>
      </c>
      <c r="D15">
        <v>1.5701778258101666</v>
      </c>
      <c r="E15">
        <f t="shared" si="1"/>
        <v>1570.1778258101667</v>
      </c>
      <c r="F15">
        <f t="shared" si="2"/>
        <v>38.775661677659897</v>
      </c>
      <c r="G15">
        <f t="shared" si="3"/>
        <v>542.85926348723854</v>
      </c>
      <c r="H15">
        <f t="shared" si="4"/>
        <v>0.54827442658050951</v>
      </c>
      <c r="I15">
        <f t="shared" si="5"/>
        <v>297.63585140238342</v>
      </c>
    </row>
    <row r="16" spans="1:9">
      <c r="A16">
        <v>15</v>
      </c>
      <c r="B16" s="1">
        <v>46341</v>
      </c>
      <c r="C16">
        <f t="shared" si="0"/>
        <v>2.4695076595959931E-2</v>
      </c>
      <c r="D16">
        <v>1.5958900534358829</v>
      </c>
      <c r="E16">
        <f t="shared" si="1"/>
        <v>1595.8900534358829</v>
      </c>
      <c r="F16">
        <f t="shared" si="2"/>
        <v>39.410627108329713</v>
      </c>
      <c r="G16">
        <f t="shared" si="3"/>
        <v>591.15940662494575</v>
      </c>
      <c r="H16">
        <f t="shared" si="4"/>
        <v>0.52523660874732214</v>
      </c>
      <c r="I16">
        <f t="shared" si="5"/>
        <v>310.49856196476577</v>
      </c>
    </row>
    <row r="17" spans="1:10">
      <c r="A17">
        <v>16</v>
      </c>
      <c r="B17" s="1">
        <v>46522</v>
      </c>
      <c r="C17">
        <f t="shared" si="0"/>
        <v>2.4695076595959931E-2</v>
      </c>
      <c r="D17">
        <v>1.6641735557019128</v>
      </c>
      <c r="E17">
        <f t="shared" si="1"/>
        <v>1664.1735557019128</v>
      </c>
      <c r="F17">
        <f t="shared" si="2"/>
        <v>41.096893427029727</v>
      </c>
      <c r="G17">
        <f t="shared" si="3"/>
        <v>657.55029483247563</v>
      </c>
      <c r="H17">
        <f t="shared" si="4"/>
        <v>0.50316681171682909</v>
      </c>
      <c r="I17">
        <f t="shared" si="5"/>
        <v>330.85748539431773</v>
      </c>
    </row>
    <row r="18" spans="1:10">
      <c r="H18" t="s">
        <v>4</v>
      </c>
      <c r="I18">
        <f>SUM(I2:I17)</f>
        <v>2976.5702205397242</v>
      </c>
    </row>
    <row r="19" spans="1:10">
      <c r="A19" t="s">
        <v>98</v>
      </c>
      <c r="B19" s="8">
        <v>1000</v>
      </c>
      <c r="H19" t="s">
        <v>5</v>
      </c>
      <c r="I19">
        <f>(A17*B21)*H17</f>
        <v>13397.710434655846</v>
      </c>
    </row>
    <row r="20" spans="1:10">
      <c r="A20" t="s">
        <v>79</v>
      </c>
      <c r="B20" s="8">
        <v>0.05</v>
      </c>
      <c r="H20" t="s">
        <v>6</v>
      </c>
      <c r="I20">
        <f>SUM(I18:I19)</f>
        <v>16374.280655195571</v>
      </c>
    </row>
    <row r="21" spans="1:10">
      <c r="A21" t="s">
        <v>111</v>
      </c>
      <c r="B21">
        <f>B19*D17</f>
        <v>1664.1735557019128</v>
      </c>
      <c r="H21" t="s">
        <v>89</v>
      </c>
      <c r="I21">
        <f>(I20/B22)/2</f>
        <v>6.8483914487022792</v>
      </c>
    </row>
    <row r="22" spans="1:10">
      <c r="A22" t="s">
        <v>90</v>
      </c>
      <c r="B22">
        <v>1195.4836969999999</v>
      </c>
      <c r="H22" t="s">
        <v>18</v>
      </c>
      <c r="I22">
        <f>I21/(1+B23)</f>
        <v>6.5606304534839612</v>
      </c>
    </row>
    <row r="23" spans="1:10">
      <c r="A23" t="s">
        <v>101</v>
      </c>
      <c r="B23">
        <v>4.3861789999999998E-2</v>
      </c>
    </row>
    <row r="24" spans="1:10">
      <c r="A24" t="s">
        <v>119</v>
      </c>
      <c r="B24">
        <f>F7/B22</f>
        <v>2.5440863646360556E-2</v>
      </c>
    </row>
    <row r="25" spans="1:10">
      <c r="J25" s="6"/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3810E-532C-4866-97AF-EC82388247B5}">
  <dimension ref="A1:J27"/>
  <sheetViews>
    <sheetView topLeftCell="A13" workbookViewId="0">
      <selection activeCell="B26" sqref="B26"/>
    </sheetView>
  </sheetViews>
  <sheetFormatPr defaultRowHeight="15"/>
  <cols>
    <col min="2" max="2" width="11.5703125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44058</v>
      </c>
      <c r="C2">
        <f>(1+$B$22)^(1/2)-1</f>
        <v>2.2007827758672383E-2</v>
      </c>
      <c r="D2">
        <v>1.0425223129873891</v>
      </c>
      <c r="E2">
        <f>$B$21*D2</f>
        <v>1042.5223129873891</v>
      </c>
      <c r="F2">
        <f>C2*E2</f>
        <v>22.943651498799198</v>
      </c>
      <c r="G2">
        <f>A2*F2</f>
        <v>22.943651498799198</v>
      </c>
      <c r="H2">
        <f>(1+$B$25)^(-A2)</f>
        <v>0.95017176682606208</v>
      </c>
      <c r="I2">
        <f>G2*H2</f>
        <v>21.800409882055462</v>
      </c>
    </row>
    <row r="3" spans="1:9">
      <c r="A3">
        <v>2</v>
      </c>
      <c r="B3" s="1">
        <v>44242</v>
      </c>
      <c r="C3">
        <f t="shared" ref="C3:C19" si="0">(1+$B$22)^(1/2)-1</f>
        <v>2.2007827758672383E-2</v>
      </c>
      <c r="D3">
        <v>1.0940827506999031</v>
      </c>
      <c r="E3">
        <f t="shared" ref="E3:E19" si="1">$B$21*D3</f>
        <v>1094.082750699903</v>
      </c>
      <c r="F3">
        <f t="shared" ref="F3:F19" si="2">C3*E3</f>
        <v>24.078384731137962</v>
      </c>
      <c r="G3">
        <f t="shared" ref="G3:G19" si="3">A3*F3</f>
        <v>48.156769462275925</v>
      </c>
      <c r="H3">
        <f t="shared" ref="H3:H19" si="4">(1+$B$25)^(-A3)</f>
        <v>0.90282638647336055</v>
      </c>
      <c r="I3">
        <f t="shared" ref="I3:I19" si="5">G3*H3</f>
        <v>43.477202157857249</v>
      </c>
    </row>
    <row r="4" spans="1:9">
      <c r="A4">
        <v>3</v>
      </c>
      <c r="B4" s="1">
        <v>44423</v>
      </c>
      <c r="C4">
        <f t="shared" si="0"/>
        <v>2.2007827758672383E-2</v>
      </c>
      <c r="D4">
        <v>1.1434350145137846</v>
      </c>
      <c r="E4">
        <f t="shared" si="1"/>
        <v>1143.4350145137846</v>
      </c>
      <c r="F4">
        <f t="shared" si="2"/>
        <v>25.164520852654427</v>
      </c>
      <c r="G4">
        <f t="shared" si="3"/>
        <v>75.493562557963287</v>
      </c>
      <c r="H4">
        <f t="shared" si="4"/>
        <v>0.85784014277258214</v>
      </c>
      <c r="I4">
        <f t="shared" si="5"/>
        <v>64.76140848313409</v>
      </c>
    </row>
    <row r="5" spans="1:9">
      <c r="A5">
        <v>4</v>
      </c>
      <c r="B5" s="1">
        <v>44607</v>
      </c>
      <c r="C5">
        <f t="shared" si="0"/>
        <v>2.2007827758672383E-2</v>
      </c>
      <c r="D5">
        <v>1.2094383873936609</v>
      </c>
      <c r="E5">
        <f t="shared" si="1"/>
        <v>1209.4383873936608</v>
      </c>
      <c r="F5">
        <f t="shared" si="2"/>
        <v>26.617111714486171</v>
      </c>
      <c r="G5">
        <f t="shared" si="3"/>
        <v>106.46844685794468</v>
      </c>
      <c r="H5">
        <f t="shared" si="4"/>
        <v>0.81509548411254573</v>
      </c>
      <c r="I5">
        <f t="shared" si="5"/>
        <v>86.781950234387267</v>
      </c>
    </row>
    <row r="6" spans="1:9">
      <c r="A6">
        <v>5</v>
      </c>
      <c r="B6" s="1">
        <v>44788</v>
      </c>
      <c r="C6">
        <f t="shared" si="0"/>
        <v>2.2007827758672383E-2</v>
      </c>
      <c r="D6">
        <v>1.2432232802945156</v>
      </c>
      <c r="E6">
        <f t="shared" si="1"/>
        <v>1243.2232802945155</v>
      </c>
      <c r="F6">
        <f t="shared" si="2"/>
        <v>27.360643818293372</v>
      </c>
      <c r="G6">
        <f t="shared" si="3"/>
        <v>136.80321909146687</v>
      </c>
      <c r="H6">
        <f t="shared" si="4"/>
        <v>0.774480716271162</v>
      </c>
      <c r="I6">
        <f t="shared" si="5"/>
        <v>105.95145511015997</v>
      </c>
    </row>
    <row r="7" spans="1:9">
      <c r="A7">
        <v>6</v>
      </c>
      <c r="B7" s="1">
        <v>44972</v>
      </c>
      <c r="C7">
        <f t="shared" si="0"/>
        <v>2.2007827758672383E-2</v>
      </c>
      <c r="D7">
        <v>1.299403035086885</v>
      </c>
      <c r="E7">
        <f t="shared" si="1"/>
        <v>1299.403035086885</v>
      </c>
      <c r="F7">
        <f t="shared" si="2"/>
        <v>28.597038185288291</v>
      </c>
      <c r="G7">
        <f t="shared" si="3"/>
        <v>171.58222911172976</v>
      </c>
      <c r="H7">
        <f t="shared" si="4"/>
        <v>0.73588971055208408</v>
      </c>
      <c r="I7">
        <f t="shared" si="5"/>
        <v>126.26559691691219</v>
      </c>
    </row>
    <row r="8" spans="1:9">
      <c r="A8">
        <v>7</v>
      </c>
      <c r="B8" s="1">
        <v>45153</v>
      </c>
      <c r="C8">
        <f t="shared" si="0"/>
        <v>2.2007827758672383E-2</v>
      </c>
      <c r="D8">
        <v>1.3449522621163017</v>
      </c>
      <c r="E8">
        <f t="shared" si="1"/>
        <v>1344.9522621163017</v>
      </c>
      <c r="F8">
        <f t="shared" si="2"/>
        <v>29.599477728292356</v>
      </c>
      <c r="G8">
        <f t="shared" si="3"/>
        <v>207.1963440980465</v>
      </c>
      <c r="H8">
        <f t="shared" si="4"/>
        <v>0.69922162646439323</v>
      </c>
      <c r="I8">
        <f t="shared" si="5"/>
        <v>144.87616471771216</v>
      </c>
    </row>
    <row r="9" spans="1:9">
      <c r="A9">
        <v>8</v>
      </c>
      <c r="B9" s="1">
        <v>45337</v>
      </c>
      <c r="C9">
        <f t="shared" si="0"/>
        <v>2.2007827758672383E-2</v>
      </c>
      <c r="D9">
        <v>1.3903443631711128</v>
      </c>
      <c r="E9">
        <f t="shared" si="1"/>
        <v>1390.3443631711127</v>
      </c>
      <c r="F9">
        <f t="shared" si="2"/>
        <v>30.59845926991089</v>
      </c>
      <c r="G9">
        <f t="shared" si="3"/>
        <v>244.78767415928712</v>
      </c>
      <c r="H9">
        <f t="shared" si="4"/>
        <v>0.66438064822066534</v>
      </c>
      <c r="I9">
        <f t="shared" si="5"/>
        <v>162.63219363437619</v>
      </c>
    </row>
    <row r="10" spans="1:9">
      <c r="A10">
        <v>9</v>
      </c>
      <c r="B10" s="1">
        <v>45519</v>
      </c>
      <c r="C10">
        <f t="shared" si="0"/>
        <v>2.2007827758672383E-2</v>
      </c>
      <c r="D10">
        <v>1.4280645009312614</v>
      </c>
      <c r="E10">
        <f t="shared" si="1"/>
        <v>1428.0645009312614</v>
      </c>
      <c r="F10">
        <f t="shared" si="2"/>
        <v>31.428597564769635</v>
      </c>
      <c r="G10">
        <f t="shared" si="3"/>
        <v>282.85737808292674</v>
      </c>
      <c r="H10">
        <f t="shared" si="4"/>
        <v>0.63127573436487405</v>
      </c>
      <c r="I10">
        <f t="shared" si="5"/>
        <v>178.5609990698224</v>
      </c>
    </row>
    <row r="11" spans="1:9">
      <c r="A11">
        <v>10</v>
      </c>
      <c r="B11" s="1">
        <v>45703</v>
      </c>
      <c r="C11">
        <f t="shared" si="0"/>
        <v>2.2007827758672383E-2</v>
      </c>
      <c r="D11">
        <v>1.4745328271207867</v>
      </c>
      <c r="E11">
        <f t="shared" si="1"/>
        <v>1474.5328271207868</v>
      </c>
      <c r="F11">
        <f t="shared" si="2"/>
        <v>32.451264483782516</v>
      </c>
      <c r="G11">
        <f t="shared" si="3"/>
        <v>324.51264483782518</v>
      </c>
      <c r="H11">
        <f t="shared" si="4"/>
        <v>0.5998203798758921</v>
      </c>
      <c r="I11">
        <f t="shared" si="5"/>
        <v>194.64929790115474</v>
      </c>
    </row>
    <row r="12" spans="1:9">
      <c r="A12">
        <v>11</v>
      </c>
      <c r="B12" s="1">
        <v>45884</v>
      </c>
      <c r="C12">
        <f t="shared" si="0"/>
        <v>2.2007827758672383E-2</v>
      </c>
      <c r="D12">
        <v>1.5133225839723898</v>
      </c>
      <c r="E12">
        <f t="shared" si="1"/>
        <v>1513.3225839723898</v>
      </c>
      <c r="F12">
        <f t="shared" si="2"/>
        <v>33.304942771373376</v>
      </c>
      <c r="G12">
        <f t="shared" si="3"/>
        <v>366.35437048510715</v>
      </c>
      <c r="H12">
        <f t="shared" si="4"/>
        <v>0.56993239012495622</v>
      </c>
      <c r="I12">
        <f t="shared" si="5"/>
        <v>208.79722200330085</v>
      </c>
    </row>
    <row r="13" spans="1:9">
      <c r="A13">
        <v>12</v>
      </c>
      <c r="B13" s="1">
        <v>46068</v>
      </c>
      <c r="C13">
        <f t="shared" si="0"/>
        <v>2.2007827758672383E-2</v>
      </c>
      <c r="D13">
        <v>1.5624236767814093</v>
      </c>
      <c r="E13">
        <f t="shared" si="1"/>
        <v>1562.4236767814093</v>
      </c>
      <c r="F13">
        <f t="shared" si="2"/>
        <v>34.385551164676869</v>
      </c>
      <c r="G13">
        <f t="shared" si="3"/>
        <v>412.62661397612243</v>
      </c>
      <c r="H13">
        <f t="shared" si="4"/>
        <v>0.54153366609643017</v>
      </c>
      <c r="I13">
        <f t="shared" si="5"/>
        <v>223.45120299544607</v>
      </c>
    </row>
    <row r="14" spans="1:9">
      <c r="A14">
        <v>13</v>
      </c>
      <c r="B14" s="1">
        <v>46249</v>
      </c>
      <c r="C14">
        <f t="shared" si="0"/>
        <v>2.2007827758672383E-2</v>
      </c>
      <c r="D14">
        <v>1.603482676147405</v>
      </c>
      <c r="E14">
        <f t="shared" si="1"/>
        <v>1603.4826761474051</v>
      </c>
      <c r="F14">
        <f t="shared" si="2"/>
        <v>35.289170550667137</v>
      </c>
      <c r="G14">
        <f t="shared" si="3"/>
        <v>458.75921715867275</v>
      </c>
      <c r="H14">
        <f t="shared" si="4"/>
        <v>0.5145500003106398</v>
      </c>
      <c r="I14">
        <f t="shared" si="5"/>
        <v>236.05455533150393</v>
      </c>
    </row>
    <row r="15" spans="1:9">
      <c r="A15">
        <v>14</v>
      </c>
      <c r="B15" s="1">
        <v>46433</v>
      </c>
      <c r="C15">
        <f t="shared" si="0"/>
        <v>2.2007827758672383E-2</v>
      </c>
      <c r="D15">
        <v>1.6557859304343476</v>
      </c>
      <c r="E15">
        <f t="shared" si="1"/>
        <v>1655.7859304343476</v>
      </c>
      <c r="F15">
        <f t="shared" si="2"/>
        <v>36.440251562232213</v>
      </c>
      <c r="G15">
        <f t="shared" si="3"/>
        <v>510.16352187125096</v>
      </c>
      <c r="H15">
        <f t="shared" si="4"/>
        <v>0.48891088291551144</v>
      </c>
      <c r="I15">
        <f t="shared" si="5"/>
        <v>249.42449790936013</v>
      </c>
    </row>
    <row r="16" spans="1:9">
      <c r="A16">
        <v>15</v>
      </c>
      <c r="B16" s="1">
        <v>46614</v>
      </c>
      <c r="C16">
        <f t="shared" si="0"/>
        <v>2.2007827758672383E-2</v>
      </c>
      <c r="D16">
        <v>1.6995474461681304</v>
      </c>
      <c r="E16">
        <f t="shared" si="1"/>
        <v>1699.5474461681304</v>
      </c>
      <c r="F16">
        <f t="shared" si="2"/>
        <v>37.403347462959736</v>
      </c>
      <c r="G16">
        <f t="shared" si="3"/>
        <v>561.0502119443961</v>
      </c>
      <c r="H16">
        <f t="shared" si="4"/>
        <v>0.46454931744032146</v>
      </c>
      <c r="I16">
        <f t="shared" si="5"/>
        <v>260.6354930085169</v>
      </c>
    </row>
    <row r="17" spans="1:10">
      <c r="A17">
        <v>16</v>
      </c>
      <c r="B17" s="1">
        <v>46798</v>
      </c>
      <c r="C17">
        <f t="shared" si="0"/>
        <v>2.2007827758672383E-2</v>
      </c>
      <c r="D17">
        <v>1.7553264558111839</v>
      </c>
      <c r="E17">
        <f t="shared" si="1"/>
        <v>1755.3264558111839</v>
      </c>
      <c r="F17">
        <f t="shared" si="2"/>
        <v>38.630922299733385</v>
      </c>
      <c r="G17">
        <f t="shared" si="3"/>
        <v>618.09475679573416</v>
      </c>
      <c r="H17">
        <f t="shared" si="4"/>
        <v>0.44140164573011137</v>
      </c>
      <c r="I17">
        <f t="shared" si="5"/>
        <v>272.82804286678999</v>
      </c>
    </row>
    <row r="18" spans="1:10">
      <c r="A18">
        <v>17</v>
      </c>
      <c r="B18" s="1">
        <v>46980</v>
      </c>
      <c r="C18">
        <f t="shared" si="0"/>
        <v>2.2007827758672383E-2</v>
      </c>
      <c r="D18">
        <v>1.8020060974440792</v>
      </c>
      <c r="E18">
        <f t="shared" si="1"/>
        <v>1802.0060974440792</v>
      </c>
      <c r="F18">
        <f t="shared" si="2"/>
        <v>39.658239812626697</v>
      </c>
      <c r="G18">
        <f t="shared" si="3"/>
        <v>674.19007681465382</v>
      </c>
      <c r="H18">
        <f t="shared" si="4"/>
        <v>0.41940738160331148</v>
      </c>
      <c r="I18">
        <f t="shared" si="5"/>
        <v>282.7602948197694</v>
      </c>
    </row>
    <row r="19" spans="1:10">
      <c r="A19">
        <v>18</v>
      </c>
      <c r="B19" s="1">
        <v>47164</v>
      </c>
      <c r="C19">
        <f t="shared" si="0"/>
        <v>2.2007827758672383E-2</v>
      </c>
      <c r="D19">
        <v>1.8614656272528041</v>
      </c>
      <c r="E19">
        <f t="shared" si="1"/>
        <v>1861.4656272528041</v>
      </c>
      <c r="F19">
        <f t="shared" si="2"/>
        <v>40.966814903268762</v>
      </c>
      <c r="G19">
        <f t="shared" si="3"/>
        <v>737.40266825883771</v>
      </c>
      <c r="H19">
        <f t="shared" si="4"/>
        <v>0.39850905279791088</v>
      </c>
      <c r="I19">
        <f t="shared" si="5"/>
        <v>293.86163885848151</v>
      </c>
    </row>
    <row r="20" spans="1:10">
      <c r="H20" t="s">
        <v>4</v>
      </c>
      <c r="I20">
        <f>SUM(I2:I19)</f>
        <v>3157.5696259007404</v>
      </c>
    </row>
    <row r="21" spans="1:10">
      <c r="A21" t="s">
        <v>98</v>
      </c>
      <c r="B21" s="8">
        <v>1000</v>
      </c>
      <c r="H21" t="s">
        <v>5</v>
      </c>
      <c r="I21">
        <f>(A19*B23)*H19</f>
        <v>13352.596270782913</v>
      </c>
    </row>
    <row r="22" spans="1:10">
      <c r="A22" t="s">
        <v>79</v>
      </c>
      <c r="B22" s="11">
        <v>4.4499999999999998E-2</v>
      </c>
      <c r="H22" t="s">
        <v>6</v>
      </c>
      <c r="I22">
        <f>SUM(I20:I21)</f>
        <v>16510.165896683655</v>
      </c>
    </row>
    <row r="23" spans="1:10">
      <c r="A23" t="s">
        <v>111</v>
      </c>
      <c r="B23">
        <f>B21*D19</f>
        <v>1861.4656272528041</v>
      </c>
      <c r="H23" t="s">
        <v>89</v>
      </c>
      <c r="I23">
        <f>(I22/B24)/2</f>
        <v>7.5592131836285485</v>
      </c>
    </row>
    <row r="24" spans="1:10">
      <c r="A24" t="s">
        <v>90</v>
      </c>
      <c r="B24">
        <v>1092.055846</v>
      </c>
      <c r="H24" t="s">
        <v>18</v>
      </c>
      <c r="I24">
        <f>I23/(1+B25)</f>
        <v>7.1825509465032003</v>
      </c>
    </row>
    <row r="25" spans="1:10">
      <c r="A25" t="s">
        <v>101</v>
      </c>
      <c r="B25">
        <v>5.2441290000000002E-2</v>
      </c>
    </row>
    <row r="26" spans="1:10">
      <c r="A26" t="s">
        <v>119</v>
      </c>
      <c r="B26">
        <f>F6/B24</f>
        <v>2.5054253331924722E-2</v>
      </c>
    </row>
    <row r="27" spans="1:10">
      <c r="J27" s="6"/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4DB7C-D78C-4DA3-A5FD-0C56C2F62395}">
  <dimension ref="A1:I51"/>
  <sheetViews>
    <sheetView topLeftCell="A28" workbookViewId="0">
      <selection activeCell="B45" sqref="B45"/>
    </sheetView>
  </sheetViews>
  <sheetFormatPr defaultRowHeight="15"/>
  <cols>
    <col min="2" max="2" width="10.7109375" bestFit="1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44301</v>
      </c>
      <c r="C2">
        <f>(1+$B$41)^(1/2)-1</f>
        <v>2.3962889952560795E-2</v>
      </c>
      <c r="D2">
        <v>1.093203893355551</v>
      </c>
      <c r="E2">
        <f>$B$40*D2</f>
        <v>1093.2038933555509</v>
      </c>
      <c r="F2">
        <f>C2*E2</f>
        <v>26.196324592190074</v>
      </c>
      <c r="G2">
        <f>A2*F2</f>
        <v>26.196324592190074</v>
      </c>
      <c r="H2">
        <f>(1+$B$44)^(-A2)</f>
        <v>0.94589694592766871</v>
      </c>
      <c r="I2">
        <f>G2*H2</f>
        <v>24.779023426282471</v>
      </c>
    </row>
    <row r="3" spans="1:9">
      <c r="A3">
        <v>2</v>
      </c>
      <c r="B3" s="1">
        <v>44484</v>
      </c>
      <c r="C3">
        <f t="shared" ref="C3:C38" si="0">(1+$B$41)^(1/2)-1</f>
        <v>2.3962889952560795E-2</v>
      </c>
      <c r="D3">
        <v>1.1558509512559274</v>
      </c>
      <c r="E3">
        <f t="shared" ref="E3:E38" si="1">$B$40*D3</f>
        <v>1155.8509512559274</v>
      </c>
      <c r="F3">
        <f t="shared" ref="F3:F38" si="2">C3*E3</f>
        <v>27.697529146508501</v>
      </c>
      <c r="G3">
        <f t="shared" ref="G3:G38" si="3">A3*F3</f>
        <v>55.395058293017001</v>
      </c>
      <c r="H3">
        <f t="shared" ref="H3:H38" si="4">(1+$B$44)^(-A3)</f>
        <v>0.8947210323152911</v>
      </c>
      <c r="I3">
        <f t="shared" ref="I3:I38" si="5">G3*H3</f>
        <v>49.563123741093897</v>
      </c>
    </row>
    <row r="4" spans="1:9">
      <c r="A4">
        <v>3</v>
      </c>
      <c r="B4" s="1">
        <v>44666</v>
      </c>
      <c r="C4">
        <f t="shared" si="0"/>
        <v>2.3962889952560795E-2</v>
      </c>
      <c r="D4">
        <v>1.2258257174163791</v>
      </c>
      <c r="E4">
        <f t="shared" si="1"/>
        <v>1225.8257174163791</v>
      </c>
      <c r="F4">
        <f t="shared" si="2"/>
        <v>29.374326767467579</v>
      </c>
      <c r="G4">
        <f t="shared" si="3"/>
        <v>88.122980302402738</v>
      </c>
      <c r="H4">
        <f t="shared" si="4"/>
        <v>0.84631389192428474</v>
      </c>
      <c r="I4">
        <f t="shared" si="5"/>
        <v>74.579702427693547</v>
      </c>
    </row>
    <row r="5" spans="1:9">
      <c r="A5">
        <v>4</v>
      </c>
      <c r="B5" s="1">
        <v>44849</v>
      </c>
      <c r="C5">
        <f t="shared" si="0"/>
        <v>2.3962889952560795E-2</v>
      </c>
      <c r="D5">
        <v>1.2274538080433754</v>
      </c>
      <c r="E5">
        <f t="shared" si="1"/>
        <v>1227.4538080433754</v>
      </c>
      <c r="F5">
        <f t="shared" si="2"/>
        <v>29.413340523995085</v>
      </c>
      <c r="G5">
        <f t="shared" si="3"/>
        <v>117.65336209598034</v>
      </c>
      <c r="H5">
        <f t="shared" si="4"/>
        <v>0.80052572566734004</v>
      </c>
      <c r="I5">
        <f t="shared" si="5"/>
        <v>94.184543069086985</v>
      </c>
    </row>
    <row r="6" spans="1:9">
      <c r="A6">
        <v>5</v>
      </c>
      <c r="B6" s="1">
        <v>45031</v>
      </c>
      <c r="C6">
        <f t="shared" si="0"/>
        <v>2.3962889952560795E-2</v>
      </c>
      <c r="D6">
        <v>1.3099378339613461</v>
      </c>
      <c r="E6">
        <f t="shared" si="1"/>
        <v>1309.9378339613461</v>
      </c>
      <c r="F6">
        <f t="shared" si="2"/>
        <v>31.38989615991159</v>
      </c>
      <c r="G6">
        <f t="shared" si="3"/>
        <v>156.94948079955796</v>
      </c>
      <c r="H6">
        <f t="shared" si="4"/>
        <v>0.75721483904526776</v>
      </c>
      <c r="I6">
        <f t="shared" si="5"/>
        <v>118.84447584187562</v>
      </c>
    </row>
    <row r="7" spans="1:9">
      <c r="A7">
        <v>6</v>
      </c>
      <c r="B7" s="1">
        <v>45214</v>
      </c>
      <c r="C7">
        <f t="shared" si="0"/>
        <v>2.3962889952560795E-2</v>
      </c>
      <c r="D7">
        <v>1.3303416326179853</v>
      </c>
      <c r="E7">
        <f t="shared" si="1"/>
        <v>1330.3416326179854</v>
      </c>
      <c r="F7">
        <f t="shared" si="2"/>
        <v>31.878830141734849</v>
      </c>
      <c r="G7">
        <f t="shared" si="3"/>
        <v>191.27298085040908</v>
      </c>
      <c r="H7">
        <f t="shared" si="4"/>
        <v>0.71624720366403005</v>
      </c>
      <c r="I7">
        <f t="shared" si="5"/>
        <v>136.99873767058907</v>
      </c>
    </row>
    <row r="8" spans="1:9">
      <c r="A8">
        <v>7</v>
      </c>
      <c r="B8" s="1">
        <v>45397</v>
      </c>
      <c r="C8">
        <f t="shared" si="0"/>
        <v>2.3962889952560795E-2</v>
      </c>
      <c r="D8">
        <v>1.392908953311524</v>
      </c>
      <c r="E8">
        <f t="shared" si="1"/>
        <v>1392.9089533115239</v>
      </c>
      <c r="F8">
        <f t="shared" si="2"/>
        <v>33.378123962140691</v>
      </c>
      <c r="G8">
        <f t="shared" si="3"/>
        <v>233.64686773498482</v>
      </c>
      <c r="H8">
        <f t="shared" si="4"/>
        <v>0.67749604247503881</v>
      </c>
      <c r="I8">
        <f t="shared" si="5"/>
        <v>158.29482822714104</v>
      </c>
    </row>
    <row r="9" spans="1:9">
      <c r="A9">
        <v>8</v>
      </c>
      <c r="B9" s="1">
        <v>45580</v>
      </c>
      <c r="C9">
        <f t="shared" si="0"/>
        <v>2.3962889952560795E-2</v>
      </c>
      <c r="D9">
        <v>1.4122040269596259</v>
      </c>
      <c r="E9">
        <f t="shared" si="1"/>
        <v>1412.2040269596259</v>
      </c>
      <c r="F9">
        <f t="shared" si="2"/>
        <v>33.840489688596712</v>
      </c>
      <c r="G9">
        <f t="shared" si="3"/>
        <v>270.7239175087737</v>
      </c>
      <c r="H9">
        <f t="shared" si="4"/>
        <v>0.64084143745522137</v>
      </c>
      <c r="I9">
        <f t="shared" si="5"/>
        <v>173.49110444983131</v>
      </c>
    </row>
    <row r="10" spans="1:9">
      <c r="A10">
        <v>9</v>
      </c>
      <c r="B10" s="1">
        <v>45762</v>
      </c>
      <c r="C10">
        <f t="shared" si="0"/>
        <v>2.3962889952560795E-2</v>
      </c>
      <c r="D10">
        <v>1.4765895066113688</v>
      </c>
      <c r="E10">
        <f t="shared" si="1"/>
        <v>1476.5895066113687</v>
      </c>
      <c r="F10">
        <f t="shared" si="2"/>
        <v>35.383351852034266</v>
      </c>
      <c r="G10">
        <f t="shared" si="3"/>
        <v>318.45016666830838</v>
      </c>
      <c r="H10">
        <f t="shared" si="4"/>
        <v>0.6061699585127911</v>
      </c>
      <c r="I10">
        <f t="shared" si="5"/>
        <v>193.03492431771991</v>
      </c>
    </row>
    <row r="11" spans="1:9">
      <c r="A11">
        <v>10</v>
      </c>
      <c r="B11" s="1">
        <v>45945</v>
      </c>
      <c r="C11">
        <f t="shared" si="0"/>
        <v>2.3962889952560795E-2</v>
      </c>
      <c r="D11">
        <v>1.4964258873826102</v>
      </c>
      <c r="E11">
        <f t="shared" si="1"/>
        <v>1496.4258873826102</v>
      </c>
      <c r="F11">
        <f t="shared" si="2"/>
        <v>35.858688861512618</v>
      </c>
      <c r="G11">
        <f t="shared" si="3"/>
        <v>358.58688861512621</v>
      </c>
      <c r="H11">
        <f t="shared" si="4"/>
        <v>0.57337431247035076</v>
      </c>
      <c r="I11">
        <f t="shared" si="5"/>
        <v>205.60451072058024</v>
      </c>
    </row>
    <row r="12" spans="1:9">
      <c r="A12">
        <v>11</v>
      </c>
      <c r="B12" s="1">
        <v>46127</v>
      </c>
      <c r="C12">
        <f t="shared" si="0"/>
        <v>2.3962889952560795E-2</v>
      </c>
      <c r="D12">
        <v>1.5645795377719514</v>
      </c>
      <c r="E12">
        <f t="shared" si="1"/>
        <v>1564.5795377719514</v>
      </c>
      <c r="F12">
        <f t="shared" si="2"/>
        <v>37.491847285657705</v>
      </c>
      <c r="G12">
        <f t="shared" si="3"/>
        <v>412.41032014223475</v>
      </c>
      <c r="H12">
        <f t="shared" si="4"/>
        <v>0.54235301103908151</v>
      </c>
      <c r="I12">
        <f t="shared" si="5"/>
        <v>223.67197891273258</v>
      </c>
    </row>
    <row r="13" spans="1:9">
      <c r="A13">
        <v>12</v>
      </c>
      <c r="B13" s="1">
        <v>46310</v>
      </c>
      <c r="C13">
        <f t="shared" si="0"/>
        <v>2.3962889952560795E-2</v>
      </c>
      <c r="D13">
        <v>1.5855761622968529</v>
      </c>
      <c r="E13">
        <f t="shared" si="1"/>
        <v>1585.576162296853</v>
      </c>
      <c r="F13">
        <f t="shared" si="2"/>
        <v>37.99498708852316</v>
      </c>
      <c r="G13">
        <f t="shared" si="3"/>
        <v>455.93984506227793</v>
      </c>
      <c r="H13">
        <f t="shared" si="4"/>
        <v>0.51301005675654243</v>
      </c>
      <c r="I13">
        <f t="shared" si="5"/>
        <v>233.90172579296836</v>
      </c>
    </row>
    <row r="14" spans="1:9">
      <c r="A14">
        <v>13</v>
      </c>
      <c r="B14" s="1">
        <v>46492</v>
      </c>
      <c r="C14">
        <f t="shared" si="0"/>
        <v>2.3962889952560795E-2</v>
      </c>
      <c r="D14">
        <v>1.6582066444795394</v>
      </c>
      <c r="E14">
        <f t="shared" si="1"/>
        <v>1658.2066444795394</v>
      </c>
      <c r="F14">
        <f t="shared" si="2"/>
        <v>39.735423340268305</v>
      </c>
      <c r="G14">
        <f t="shared" si="3"/>
        <v>516.56050342348794</v>
      </c>
      <c r="H14">
        <f t="shared" si="4"/>
        <v>0.48525464591619355</v>
      </c>
      <c r="I14">
        <f t="shared" si="5"/>
        <v>250.66338418305534</v>
      </c>
    </row>
    <row r="15" spans="1:9">
      <c r="A15">
        <v>14</v>
      </c>
      <c r="B15" s="1">
        <v>46675</v>
      </c>
      <c r="C15">
        <f t="shared" si="0"/>
        <v>2.3962889952560795E-2</v>
      </c>
      <c r="D15">
        <v>1.6805864766198984</v>
      </c>
      <c r="E15">
        <f t="shared" si="1"/>
        <v>1680.5864766198983</v>
      </c>
      <c r="F15">
        <f t="shared" si="2"/>
        <v>40.271708795004507</v>
      </c>
      <c r="G15">
        <f t="shared" si="3"/>
        <v>563.80392313006314</v>
      </c>
      <c r="H15">
        <f t="shared" si="4"/>
        <v>0.45900088756933977</v>
      </c>
      <c r="I15">
        <f t="shared" si="5"/>
        <v>258.7865011317748</v>
      </c>
    </row>
    <row r="16" spans="1:9">
      <c r="A16">
        <v>15</v>
      </c>
      <c r="B16" s="1">
        <v>46858</v>
      </c>
      <c r="C16">
        <f t="shared" si="0"/>
        <v>2.3962889952560795E-2</v>
      </c>
      <c r="D16">
        <v>1.7580496212119687</v>
      </c>
      <c r="E16">
        <f t="shared" si="1"/>
        <v>1758.0496212119688</v>
      </c>
      <c r="F16">
        <f t="shared" si="2"/>
        <v>42.127949604243597</v>
      </c>
      <c r="G16">
        <f t="shared" si="3"/>
        <v>631.91924406365399</v>
      </c>
      <c r="H16">
        <f t="shared" si="4"/>
        <v>0.43416753772992767</v>
      </c>
      <c r="I16">
        <f t="shared" si="5"/>
        <v>274.35882223927388</v>
      </c>
    </row>
    <row r="17" spans="1:9">
      <c r="A17">
        <v>16</v>
      </c>
      <c r="B17" s="1">
        <v>47041</v>
      </c>
      <c r="C17">
        <f t="shared" si="0"/>
        <v>2.3962889952560795E-2</v>
      </c>
      <c r="D17">
        <v>1.7819231922687624</v>
      </c>
      <c r="E17">
        <f t="shared" si="1"/>
        <v>1781.9231922687625</v>
      </c>
      <c r="F17">
        <f t="shared" si="2"/>
        <v>42.700029360252188</v>
      </c>
      <c r="G17">
        <f t="shared" si="3"/>
        <v>683.20046976403501</v>
      </c>
      <c r="H17">
        <f t="shared" si="4"/>
        <v>0.41067774795967443</v>
      </c>
      <c r="I17">
        <f t="shared" si="5"/>
        <v>280.57523032768552</v>
      </c>
    </row>
    <row r="18" spans="1:9">
      <c r="A18">
        <v>17</v>
      </c>
      <c r="B18" s="1">
        <v>47223</v>
      </c>
      <c r="C18">
        <f t="shared" si="0"/>
        <v>2.3962889952560795E-2</v>
      </c>
      <c r="D18">
        <v>1.8644970972208905</v>
      </c>
      <c r="E18">
        <f t="shared" si="1"/>
        <v>1864.4970972208905</v>
      </c>
      <c r="F18">
        <f t="shared" si="2"/>
        <v>44.678738757573242</v>
      </c>
      <c r="G18">
        <f t="shared" si="3"/>
        <v>759.53855887874511</v>
      </c>
      <c r="H18">
        <f t="shared" si="4"/>
        <v>0.38845882755550892</v>
      </c>
      <c r="I18">
        <f t="shared" si="5"/>
        <v>295.04945806523818</v>
      </c>
    </row>
    <row r="19" spans="1:9">
      <c r="A19">
        <v>18</v>
      </c>
      <c r="B19" s="1">
        <v>47406</v>
      </c>
      <c r="C19">
        <f t="shared" si="0"/>
        <v>2.3962889952560795E-2</v>
      </c>
      <c r="D19">
        <v>1.8899500340777746</v>
      </c>
      <c r="E19">
        <f t="shared" si="1"/>
        <v>1889.9500340777747</v>
      </c>
      <c r="F19">
        <f t="shared" si="2"/>
        <v>45.288664682444242</v>
      </c>
      <c r="G19">
        <f t="shared" si="3"/>
        <v>815.19596428399632</v>
      </c>
      <c r="H19">
        <f t="shared" si="4"/>
        <v>0.36744201860339887</v>
      </c>
      <c r="I19">
        <f t="shared" si="5"/>
        <v>299.53725067385585</v>
      </c>
    </row>
    <row r="20" spans="1:9">
      <c r="A20">
        <v>19</v>
      </c>
      <c r="B20" s="1">
        <v>47588</v>
      </c>
      <c r="C20">
        <f t="shared" si="0"/>
        <v>2.3962889952560795E-2</v>
      </c>
      <c r="D20">
        <v>1.9779058765352899</v>
      </c>
      <c r="E20">
        <f t="shared" si="1"/>
        <v>1977.90587653529</v>
      </c>
      <c r="F20">
        <f t="shared" si="2"/>
        <v>47.396340855938455</v>
      </c>
      <c r="G20">
        <f t="shared" si="3"/>
        <v>900.53047626283069</v>
      </c>
      <c r="H20">
        <f t="shared" si="4"/>
        <v>0.34756228320245258</v>
      </c>
      <c r="I20">
        <f t="shared" si="5"/>
        <v>312.99042842330147</v>
      </c>
    </row>
    <row r="21" spans="1:9">
      <c r="A21">
        <v>20</v>
      </c>
      <c r="B21" s="1">
        <v>47771</v>
      </c>
      <c r="C21">
        <f t="shared" si="0"/>
        <v>2.3962889952560795E-2</v>
      </c>
      <c r="D21">
        <v>2.0050214280029497</v>
      </c>
      <c r="E21">
        <f t="shared" si="1"/>
        <v>2005.0214280029497</v>
      </c>
      <c r="F21">
        <f t="shared" si="2"/>
        <v>48.046107831760985</v>
      </c>
      <c r="G21">
        <f t="shared" si="3"/>
        <v>960.92215663521972</v>
      </c>
      <c r="H21">
        <f t="shared" si="4"/>
        <v>0.32875810220084739</v>
      </c>
      <c r="I21">
        <f t="shared" si="5"/>
        <v>315.91094457814023</v>
      </c>
    </row>
    <row r="22" spans="1:9">
      <c r="A22">
        <v>21</v>
      </c>
      <c r="B22" s="1">
        <v>47953</v>
      </c>
      <c r="C22">
        <f t="shared" si="0"/>
        <v>2.3962889952560795E-2</v>
      </c>
      <c r="D22">
        <v>2.0986593938478357</v>
      </c>
      <c r="E22">
        <f t="shared" si="1"/>
        <v>2098.6593938478359</v>
      </c>
      <c r="F22">
        <f t="shared" si="2"/>
        <v>50.289944102683634</v>
      </c>
      <c r="G22">
        <f t="shared" si="3"/>
        <v>1056.0888261563564</v>
      </c>
      <c r="H22">
        <f t="shared" si="4"/>
        <v>0.31097128482075792</v>
      </c>
      <c r="I22">
        <f t="shared" si="5"/>
        <v>328.41329915468822</v>
      </c>
    </row>
    <row r="23" spans="1:9">
      <c r="A23">
        <v>22</v>
      </c>
      <c r="B23" s="1">
        <v>48136</v>
      </c>
      <c r="C23">
        <f t="shared" si="0"/>
        <v>2.3962889952560795E-2</v>
      </c>
      <c r="D23">
        <v>2.1275365066127212</v>
      </c>
      <c r="E23">
        <f t="shared" si="1"/>
        <v>2127.536506612721</v>
      </c>
      <c r="F23">
        <f t="shared" si="2"/>
        <v>50.981923178016267</v>
      </c>
      <c r="G23">
        <f t="shared" si="3"/>
        <v>1121.6023099163579</v>
      </c>
      <c r="H23">
        <f t="shared" si="4"/>
        <v>0.29414678858315818</v>
      </c>
      <c r="I23">
        <f t="shared" si="5"/>
        <v>329.9157175293488</v>
      </c>
    </row>
    <row r="24" spans="1:9">
      <c r="A24">
        <v>23</v>
      </c>
      <c r="B24" s="1">
        <v>48319</v>
      </c>
      <c r="C24">
        <f t="shared" si="0"/>
        <v>2.3962889952560795E-2</v>
      </c>
      <c r="D24">
        <v>2.2271766870440439</v>
      </c>
      <c r="E24">
        <f t="shared" si="1"/>
        <v>2227.1766870440438</v>
      </c>
      <c r="F24">
        <f t="shared" si="2"/>
        <v>53.369589856545353</v>
      </c>
      <c r="G24">
        <f t="shared" si="3"/>
        <v>1227.5005667005432</v>
      </c>
      <c r="H24">
        <f t="shared" si="4"/>
        <v>0.27823254897524091</v>
      </c>
      <c r="I24">
        <f t="shared" si="5"/>
        <v>341.53061154164487</v>
      </c>
    </row>
    <row r="25" spans="1:9">
      <c r="A25">
        <v>24</v>
      </c>
      <c r="B25" s="1">
        <v>48502</v>
      </c>
      <c r="C25">
        <f t="shared" si="0"/>
        <v>2.3962889952560795E-2</v>
      </c>
      <c r="D25">
        <v>2.2579062722895094</v>
      </c>
      <c r="E25">
        <f t="shared" si="1"/>
        <v>2257.9062722895092</v>
      </c>
      <c r="F25">
        <f t="shared" si="2"/>
        <v>54.105959526070279</v>
      </c>
      <c r="G25">
        <f t="shared" si="3"/>
        <v>1298.5430286256867</v>
      </c>
      <c r="H25">
        <f t="shared" si="4"/>
        <v>0.2631793183333509</v>
      </c>
      <c r="I25">
        <f t="shared" si="5"/>
        <v>341.74966910023318</v>
      </c>
    </row>
    <row r="26" spans="1:9">
      <c r="A26">
        <v>25</v>
      </c>
      <c r="B26" s="1">
        <v>48684</v>
      </c>
      <c r="C26">
        <f t="shared" si="0"/>
        <v>2.3962889952560795E-2</v>
      </c>
      <c r="D26">
        <v>2.36389553076833</v>
      </c>
      <c r="E26">
        <f t="shared" si="1"/>
        <v>2363.89553076833</v>
      </c>
      <c r="F26">
        <f t="shared" si="2"/>
        <v>56.645768463151782</v>
      </c>
      <c r="G26">
        <f t="shared" si="3"/>
        <v>1416.1442115787945</v>
      </c>
      <c r="H26">
        <f t="shared" si="4"/>
        <v>0.24894051344284232</v>
      </c>
      <c r="I26">
        <f t="shared" si="5"/>
        <v>352.53566713953421</v>
      </c>
    </row>
    <row r="27" spans="1:9">
      <c r="A27">
        <v>26</v>
      </c>
      <c r="B27" s="1">
        <v>48867</v>
      </c>
      <c r="C27">
        <f t="shared" si="0"/>
        <v>2.3962889952560795E-2</v>
      </c>
      <c r="D27">
        <v>2.3965846310218915</v>
      </c>
      <c r="E27">
        <f t="shared" si="1"/>
        <v>2396.5846310218913</v>
      </c>
      <c r="F27">
        <f t="shared" si="2"/>
        <v>57.429093775176099</v>
      </c>
      <c r="G27">
        <f t="shared" si="3"/>
        <v>1493.1564381545786</v>
      </c>
      <c r="H27">
        <f t="shared" si="4"/>
        <v>0.23547207138325035</v>
      </c>
      <c r="I27">
        <f t="shared" si="5"/>
        <v>351.59663939149476</v>
      </c>
    </row>
    <row r="28" spans="1:9">
      <c r="A28">
        <v>27</v>
      </c>
      <c r="B28" s="1">
        <v>49049</v>
      </c>
      <c r="C28">
        <f t="shared" si="0"/>
        <v>2.3962889952560795E-2</v>
      </c>
      <c r="D28">
        <v>2.5093017399175284</v>
      </c>
      <c r="E28">
        <f t="shared" si="1"/>
        <v>2509.3017399175283</v>
      </c>
      <c r="F28">
        <f t="shared" si="2"/>
        <v>60.130121451413061</v>
      </c>
      <c r="G28">
        <f t="shared" si="3"/>
        <v>1623.5132791881526</v>
      </c>
      <c r="H28">
        <f t="shared" si="4"/>
        <v>0.22273231317267847</v>
      </c>
      <c r="I28">
        <f t="shared" si="5"/>
        <v>361.60886814013782</v>
      </c>
    </row>
    <row r="29" spans="1:9">
      <c r="A29">
        <v>28</v>
      </c>
      <c r="B29" s="1">
        <v>49232</v>
      </c>
      <c r="C29">
        <f t="shared" si="0"/>
        <v>2.3962889952560795E-2</v>
      </c>
      <c r="D29">
        <v>2.544067135558584</v>
      </c>
      <c r="E29">
        <f t="shared" si="1"/>
        <v>2544.0671355585841</v>
      </c>
      <c r="F29">
        <f t="shared" si="2"/>
        <v>60.963200801316916</v>
      </c>
      <c r="G29">
        <f t="shared" si="3"/>
        <v>1706.9696224368736</v>
      </c>
      <c r="H29">
        <f t="shared" si="4"/>
        <v>0.21068181478944162</v>
      </c>
      <c r="I29">
        <f t="shared" si="5"/>
        <v>359.62745784544848</v>
      </c>
    </row>
    <row r="30" spans="1:9">
      <c r="A30">
        <v>29</v>
      </c>
      <c r="B30" s="1">
        <v>49414</v>
      </c>
      <c r="C30">
        <f t="shared" si="0"/>
        <v>2.3962889952560795E-2</v>
      </c>
      <c r="D30">
        <v>2.6639168457259235</v>
      </c>
      <c r="E30">
        <f t="shared" si="1"/>
        <v>2663.9168457259234</v>
      </c>
      <c r="F30">
        <f t="shared" si="2"/>
        <v>63.835146216903176</v>
      </c>
      <c r="G30">
        <f t="shared" si="3"/>
        <v>1851.2192402901921</v>
      </c>
      <c r="H30">
        <f t="shared" si="4"/>
        <v>0.19928328517183158</v>
      </c>
      <c r="I30">
        <f t="shared" si="5"/>
        <v>368.91705177833177</v>
      </c>
    </row>
    <row r="31" spans="1:9">
      <c r="A31">
        <v>30</v>
      </c>
      <c r="B31" s="1">
        <v>49597</v>
      </c>
      <c r="C31">
        <f t="shared" si="0"/>
        <v>2.3962889952560795E-2</v>
      </c>
      <c r="D31">
        <v>2.7008833772576537</v>
      </c>
      <c r="E31">
        <f t="shared" si="1"/>
        <v>2700.8833772576536</v>
      </c>
      <c r="F31">
        <f t="shared" si="2"/>
        <v>64.720971143925894</v>
      </c>
      <c r="G31">
        <f t="shared" si="3"/>
        <v>1941.6291343177768</v>
      </c>
      <c r="H31">
        <f t="shared" si="4"/>
        <v>0.18850145081846817</v>
      </c>
      <c r="I31">
        <f t="shared" si="5"/>
        <v>365.99990877030734</v>
      </c>
    </row>
    <row r="32" spans="1:9">
      <c r="A32">
        <v>31</v>
      </c>
      <c r="B32" s="1">
        <v>49780</v>
      </c>
      <c r="C32">
        <f t="shared" si="0"/>
        <v>2.3962889952560795E-2</v>
      </c>
      <c r="D32">
        <v>2.8282992242488154</v>
      </c>
      <c r="E32">
        <f t="shared" si="1"/>
        <v>2828.2992242488153</v>
      </c>
      <c r="F32">
        <f t="shared" si="2"/>
        <v>67.774223063587428</v>
      </c>
      <c r="G32">
        <f t="shared" si="3"/>
        <v>2101.0009149712105</v>
      </c>
      <c r="H32">
        <f t="shared" si="4"/>
        <v>0.17830294663212368</v>
      </c>
      <c r="I32">
        <f t="shared" si="5"/>
        <v>374.61465401615476</v>
      </c>
    </row>
    <row r="33" spans="1:9">
      <c r="A33">
        <v>32</v>
      </c>
      <c r="B33" s="1">
        <v>49963</v>
      </c>
      <c r="C33">
        <f t="shared" si="0"/>
        <v>2.3962889952560795E-2</v>
      </c>
      <c r="D33">
        <v>2.8676006194936194</v>
      </c>
      <c r="E33">
        <f t="shared" si="1"/>
        <v>2867.6006194936194</v>
      </c>
      <c r="F33">
        <f t="shared" si="2"/>
        <v>68.715998072820767</v>
      </c>
      <c r="G33">
        <f t="shared" si="3"/>
        <v>2198.9119383302645</v>
      </c>
      <c r="H33">
        <f t="shared" si="4"/>
        <v>0.16865621266922989</v>
      </c>
      <c r="I33">
        <f t="shared" si="5"/>
        <v>370.86015951193764</v>
      </c>
    </row>
    <row r="34" spans="1:9">
      <c r="A34">
        <v>33</v>
      </c>
      <c r="B34" s="1">
        <v>50145</v>
      </c>
      <c r="C34">
        <f t="shared" si="0"/>
        <v>2.3962889952560795E-2</v>
      </c>
      <c r="D34">
        <v>3.0030458291999214</v>
      </c>
      <c r="E34">
        <f t="shared" si="1"/>
        <v>3003.0458291999212</v>
      </c>
      <c r="F34">
        <f t="shared" si="2"/>
        <v>71.961656727614397</v>
      </c>
      <c r="G34">
        <f t="shared" si="3"/>
        <v>2374.7346720112751</v>
      </c>
      <c r="H34">
        <f t="shared" si="4"/>
        <v>0.15953139647555195</v>
      </c>
      <c r="I34">
        <f t="shared" si="5"/>
        <v>378.84473848487056</v>
      </c>
    </row>
    <row r="35" spans="1:9">
      <c r="A35">
        <v>34</v>
      </c>
      <c r="B35" s="1">
        <v>50328</v>
      </c>
      <c r="C35">
        <f t="shared" si="0"/>
        <v>2.3962889952560795E-2</v>
      </c>
      <c r="D35">
        <v>3.0448249827933029</v>
      </c>
      <c r="E35">
        <f t="shared" si="1"/>
        <v>3044.8249827933028</v>
      </c>
      <c r="F35">
        <f t="shared" si="2"/>
        <v>72.962805987483733</v>
      </c>
      <c r="G35">
        <f t="shared" si="3"/>
        <v>2480.735403574447</v>
      </c>
      <c r="H35">
        <f t="shared" si="4"/>
        <v>0.15090026070580065</v>
      </c>
      <c r="I35">
        <f t="shared" si="5"/>
        <v>374.34361914149366</v>
      </c>
    </row>
    <row r="36" spans="1:9">
      <c r="A36">
        <v>35</v>
      </c>
      <c r="B36" s="1">
        <v>50510</v>
      </c>
      <c r="C36">
        <f t="shared" si="0"/>
        <v>2.3962889952560795E-2</v>
      </c>
      <c r="D36">
        <v>3.1887937240591326</v>
      </c>
      <c r="E36">
        <f t="shared" si="1"/>
        <v>3188.7937240591327</v>
      </c>
      <c r="F36">
        <f t="shared" si="2"/>
        <v>76.412713091045518</v>
      </c>
      <c r="G36">
        <f t="shared" si="3"/>
        <v>2674.4449581865933</v>
      </c>
      <c r="H36">
        <f t="shared" si="4"/>
        <v>0.14273609574130583</v>
      </c>
      <c r="I36">
        <f t="shared" si="5"/>
        <v>381.73983160657423</v>
      </c>
    </row>
    <row r="37" spans="1:9">
      <c r="A37">
        <v>36</v>
      </c>
      <c r="B37" s="1">
        <v>50693</v>
      </c>
      <c r="C37">
        <f t="shared" si="0"/>
        <v>2.3962889952560795E-2</v>
      </c>
      <c r="D37">
        <v>3.2332030841574992</v>
      </c>
      <c r="E37">
        <f t="shared" si="1"/>
        <v>3233.2030841574992</v>
      </c>
      <c r="F37">
        <f t="shared" si="2"/>
        <v>77.476889699946312</v>
      </c>
      <c r="G37">
        <f t="shared" si="3"/>
        <v>2789.1680291980674</v>
      </c>
      <c r="H37">
        <f t="shared" si="4"/>
        <v>0.1350136370353405</v>
      </c>
      <c r="I37">
        <f t="shared" si="5"/>
        <v>376.57571992472384</v>
      </c>
    </row>
    <row r="38" spans="1:9">
      <c r="A38">
        <v>37</v>
      </c>
      <c r="B38" s="1">
        <v>50875</v>
      </c>
      <c r="C38">
        <f t="shared" si="0"/>
        <v>2.3962889952560795E-2</v>
      </c>
      <c r="D38">
        <v>3.3862220044730349</v>
      </c>
      <c r="E38">
        <f t="shared" si="1"/>
        <v>3386.2220044730348</v>
      </c>
      <c r="F38">
        <f t="shared" si="2"/>
        <v>81.143665248127164</v>
      </c>
      <c r="G38">
        <f t="shared" si="3"/>
        <v>3002.3156141807049</v>
      </c>
      <c r="H38">
        <f t="shared" si="4"/>
        <v>0.12770898693031538</v>
      </c>
      <c r="I38">
        <f t="shared" si="5"/>
        <v>383.42268553208544</v>
      </c>
    </row>
    <row r="39" spans="1:9">
      <c r="H39" t="s">
        <v>4</v>
      </c>
      <c r="I39">
        <f>SUM(I2:I38)</f>
        <v>10117.116996828929</v>
      </c>
    </row>
    <row r="40" spans="1:9">
      <c r="A40" t="s">
        <v>98</v>
      </c>
      <c r="B40" s="8">
        <v>1000</v>
      </c>
      <c r="H40" t="s">
        <v>5</v>
      </c>
      <c r="I40">
        <f>(A38*B42)*H38</f>
        <v>16000.686323358546</v>
      </c>
    </row>
    <row r="41" spans="1:9">
      <c r="A41" t="s">
        <v>79</v>
      </c>
      <c r="B41" s="11">
        <v>4.8500000000000001E-2</v>
      </c>
      <c r="H41" t="s">
        <v>6</v>
      </c>
      <c r="I41">
        <f>SUM(I39:I40)</f>
        <v>26117.803320187475</v>
      </c>
    </row>
    <row r="42" spans="1:9">
      <c r="A42" t="s">
        <v>111</v>
      </c>
      <c r="B42">
        <f>B40*D38</f>
        <v>3386.2220044730348</v>
      </c>
      <c r="H42" t="s">
        <v>89</v>
      </c>
      <c r="I42">
        <f>(I41/B43)/2</f>
        <v>12.329162266828369</v>
      </c>
    </row>
    <row r="43" spans="1:9">
      <c r="A43" t="s">
        <v>90</v>
      </c>
      <c r="B43">
        <v>1059.1880759999999</v>
      </c>
      <c r="H43" t="s">
        <v>18</v>
      </c>
      <c r="I43">
        <f>I42/(1+B44)</f>
        <v>11.662116934039608</v>
      </c>
    </row>
    <row r="44" spans="1:9">
      <c r="A44" t="s">
        <v>101</v>
      </c>
      <c r="B44">
        <v>5.7197619999999998E-2</v>
      </c>
    </row>
    <row r="45" spans="1:9">
      <c r="A45" t="s">
        <v>119</v>
      </c>
      <c r="B45">
        <f>F5/B43</f>
        <v>2.7769705107589492E-2</v>
      </c>
    </row>
    <row r="51" spans="9:9">
      <c r="I51" s="6"/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7830-B9FA-4257-B830-CB8D7D5EE2C4}">
  <dimension ref="A1:I39"/>
  <sheetViews>
    <sheetView topLeftCell="A25" workbookViewId="0">
      <selection activeCell="B39" sqref="B39"/>
    </sheetView>
  </sheetViews>
  <sheetFormatPr defaultRowHeight="15"/>
  <cols>
    <col min="2" max="2" width="10.7109375" bestFit="1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44027</v>
      </c>
      <c r="C2">
        <f>(1+$B$35)^(1/2)-1</f>
        <v>2.627043219611469E-2</v>
      </c>
      <c r="D2">
        <v>1.0230545139672356</v>
      </c>
      <c r="E2">
        <f>$B$34*D2</f>
        <v>1023.0545139672356</v>
      </c>
      <c r="F2">
        <f>C2*E2</f>
        <v>26.876084242105332</v>
      </c>
      <c r="G2">
        <f>A2*F2</f>
        <v>26.876084242105332</v>
      </c>
      <c r="H2">
        <f>(1+$B$38)^(-A2)</f>
        <v>0.94606932744943806</v>
      </c>
      <c r="I2">
        <f>G2*H2</f>
        <v>25.426638943403031</v>
      </c>
    </row>
    <row r="3" spans="1:9">
      <c r="A3">
        <v>2</v>
      </c>
      <c r="B3" s="1">
        <v>44211</v>
      </c>
      <c r="C3">
        <f t="shared" ref="C3:C32" si="0">(1+$B$35)^(1/2)-1</f>
        <v>2.627043219611469E-2</v>
      </c>
      <c r="D3">
        <v>1.0670522408845453</v>
      </c>
      <c r="E3">
        <f t="shared" ref="E3:E32" si="1">$B$34*D3</f>
        <v>1067.0522408845452</v>
      </c>
      <c r="F3">
        <f t="shared" ref="F3:F32" si="2">C3*E3</f>
        <v>28.031923543869684</v>
      </c>
      <c r="G3">
        <f t="shared" ref="G3:G32" si="3">A3*F3</f>
        <v>56.063847087739369</v>
      </c>
      <c r="H3">
        <f t="shared" ref="H3:H32" si="4">(1+$B$38)^(-A3)</f>
        <v>0.89504717234063202</v>
      </c>
      <c r="I3">
        <f t="shared" ref="I3:I32" si="5">G3*H3</f>
        <v>50.179787806418702</v>
      </c>
    </row>
    <row r="4" spans="1:9">
      <c r="A4">
        <v>3</v>
      </c>
      <c r="B4" s="1">
        <v>44392</v>
      </c>
      <c r="C4">
        <f t="shared" si="0"/>
        <v>2.627043219611469E-2</v>
      </c>
      <c r="D4">
        <v>1.115074646418494</v>
      </c>
      <c r="E4">
        <f t="shared" si="1"/>
        <v>1115.074646418494</v>
      </c>
      <c r="F4">
        <f t="shared" si="2"/>
        <v>29.293492892343611</v>
      </c>
      <c r="G4">
        <f t="shared" si="3"/>
        <v>87.880478677030837</v>
      </c>
      <c r="H4">
        <f t="shared" si="4"/>
        <v>0.84677667637182297</v>
      </c>
      <c r="I4">
        <f t="shared" si="5"/>
        <v>74.415139652101033</v>
      </c>
    </row>
    <row r="5" spans="1:9">
      <c r="A5">
        <v>4</v>
      </c>
      <c r="B5" s="1">
        <v>44576</v>
      </c>
      <c r="C5">
        <f t="shared" si="0"/>
        <v>2.627043219611469E-2</v>
      </c>
      <c r="D5">
        <v>1.1778062453103324</v>
      </c>
      <c r="E5">
        <f t="shared" si="1"/>
        <v>1177.8062453103323</v>
      </c>
      <c r="F5">
        <f t="shared" si="2"/>
        <v>30.941479107585511</v>
      </c>
      <c r="G5">
        <f t="shared" si="3"/>
        <v>123.76591643034205</v>
      </c>
      <c r="H5">
        <f t="shared" si="4"/>
        <v>0.80110944071496104</v>
      </c>
      <c r="I5">
        <f t="shared" si="5"/>
        <v>99.150044091085917</v>
      </c>
    </row>
    <row r="6" spans="1:9">
      <c r="A6">
        <v>5</v>
      </c>
      <c r="B6" s="1">
        <v>44757</v>
      </c>
      <c r="C6">
        <f t="shared" si="0"/>
        <v>2.627043219611469E-2</v>
      </c>
      <c r="D6">
        <v>1.227354135202845</v>
      </c>
      <c r="E6">
        <f t="shared" si="1"/>
        <v>1227.3541352028449</v>
      </c>
      <c r="F6">
        <f t="shared" si="2"/>
        <v>32.243123589467316</v>
      </c>
      <c r="G6">
        <f t="shared" si="3"/>
        <v>161.21561794733657</v>
      </c>
      <c r="H6">
        <f t="shared" si="4"/>
        <v>0.75790506979059868</v>
      </c>
      <c r="I6">
        <f t="shared" si="5"/>
        <v>122.18613417171062</v>
      </c>
    </row>
    <row r="7" spans="1:9">
      <c r="A7">
        <v>6</v>
      </c>
      <c r="B7" s="1">
        <v>44941</v>
      </c>
      <c r="C7">
        <f t="shared" si="0"/>
        <v>2.627043219611469E-2</v>
      </c>
      <c r="D7">
        <v>1.2697612930986548</v>
      </c>
      <c r="E7">
        <f t="shared" si="1"/>
        <v>1269.7612930986547</v>
      </c>
      <c r="F7">
        <f t="shared" si="2"/>
        <v>33.35717795559912</v>
      </c>
      <c r="G7">
        <f t="shared" si="3"/>
        <v>200.14306773359471</v>
      </c>
      <c r="H7">
        <f t="shared" si="4"/>
        <v>0.71703073964731101</v>
      </c>
      <c r="I7">
        <f t="shared" si="5"/>
        <v>143.50873189230128</v>
      </c>
    </row>
    <row r="8" spans="1:9">
      <c r="A8">
        <v>7</v>
      </c>
      <c r="B8" s="1">
        <v>45122</v>
      </c>
      <c r="C8">
        <f t="shared" si="0"/>
        <v>2.627043219611469E-2</v>
      </c>
      <c r="D8">
        <v>1.3206860160707237</v>
      </c>
      <c r="E8">
        <f t="shared" si="1"/>
        <v>1320.6860160707238</v>
      </c>
      <c r="F8">
        <f t="shared" si="2"/>
        <v>34.694992437542787</v>
      </c>
      <c r="G8">
        <f t="shared" si="3"/>
        <v>242.8649470627995</v>
      </c>
      <c r="H8">
        <f t="shared" si="4"/>
        <v>0.67836078961870461</v>
      </c>
      <c r="I8">
        <f t="shared" si="5"/>
        <v>164.75005726022556</v>
      </c>
    </row>
    <row r="9" spans="1:9">
      <c r="A9">
        <v>8</v>
      </c>
      <c r="B9" s="1">
        <v>45306</v>
      </c>
      <c r="C9">
        <f t="shared" si="0"/>
        <v>2.627043219611469E-2</v>
      </c>
      <c r="D9">
        <v>1.3612756168342039</v>
      </c>
      <c r="E9">
        <f t="shared" si="1"/>
        <v>1361.2756168342039</v>
      </c>
      <c r="F9">
        <f t="shared" si="2"/>
        <v>35.761298792267155</v>
      </c>
      <c r="G9">
        <f t="shared" si="3"/>
        <v>286.09039033813724</v>
      </c>
      <c r="H9">
        <f t="shared" si="4"/>
        <v>0.64177633600263762</v>
      </c>
      <c r="I9">
        <f t="shared" si="5"/>
        <v>183.60604247677412</v>
      </c>
    </row>
    <row r="10" spans="1:9">
      <c r="A10">
        <v>9</v>
      </c>
      <c r="B10" s="1">
        <v>45488</v>
      </c>
      <c r="C10">
        <f t="shared" si="0"/>
        <v>2.627043219611469E-2</v>
      </c>
      <c r="D10">
        <v>1.4025692490237218</v>
      </c>
      <c r="E10">
        <f t="shared" si="1"/>
        <v>1402.5692490237218</v>
      </c>
      <c r="F10">
        <f t="shared" si="2"/>
        <v>36.846100356833183</v>
      </c>
      <c r="G10">
        <f t="shared" si="3"/>
        <v>331.61490321149864</v>
      </c>
      <c r="H10">
        <f t="shared" si="4"/>
        <v>0.60716490657498001</v>
      </c>
      <c r="I10">
        <f t="shared" si="5"/>
        <v>201.34493172728062</v>
      </c>
    </row>
    <row r="11" spans="1:9">
      <c r="A11">
        <v>10</v>
      </c>
      <c r="B11" s="1">
        <v>45672</v>
      </c>
      <c r="C11">
        <f t="shared" si="0"/>
        <v>2.627043219611469E-2</v>
      </c>
      <c r="D11">
        <v>1.4439063091331503</v>
      </c>
      <c r="E11">
        <f t="shared" si="1"/>
        <v>1443.9063091331502</v>
      </c>
      <c r="F11">
        <f t="shared" si="2"/>
        <v>37.932042791624639</v>
      </c>
      <c r="G11">
        <f t="shared" si="3"/>
        <v>379.32042791624639</v>
      </c>
      <c r="H11">
        <f t="shared" si="4"/>
        <v>0.57442009481429213</v>
      </c>
      <c r="I11">
        <f t="shared" si="5"/>
        <v>217.88927616864811</v>
      </c>
    </row>
    <row r="12" spans="1:9">
      <c r="A12">
        <v>11</v>
      </c>
      <c r="B12" s="1">
        <v>45853</v>
      </c>
      <c r="C12">
        <f t="shared" si="0"/>
        <v>2.627043219611469E-2</v>
      </c>
      <c r="D12">
        <v>1.4863748882918746</v>
      </c>
      <c r="E12">
        <f t="shared" si="1"/>
        <v>1486.3748882918746</v>
      </c>
      <c r="F12">
        <f t="shared" si="2"/>
        <v>39.047710720879238</v>
      </c>
      <c r="G12">
        <f t="shared" si="3"/>
        <v>429.5248179296716</v>
      </c>
      <c r="H12">
        <f t="shared" si="4"/>
        <v>0.54344123277439982</v>
      </c>
      <c r="I12">
        <f t="shared" si="5"/>
        <v>233.42149656290036</v>
      </c>
    </row>
    <row r="13" spans="1:9">
      <c r="A13">
        <v>12</v>
      </c>
      <c r="B13" s="1">
        <v>46037</v>
      </c>
      <c r="C13">
        <f t="shared" si="0"/>
        <v>2.627043219611469E-2</v>
      </c>
      <c r="D13">
        <v>1.5299787838479577</v>
      </c>
      <c r="E13">
        <f t="shared" si="1"/>
        <v>1529.9787838479576</v>
      </c>
      <c r="F13">
        <f t="shared" si="2"/>
        <v>40.193203902571781</v>
      </c>
      <c r="G13">
        <f t="shared" si="3"/>
        <v>482.31844683086138</v>
      </c>
      <c r="H13">
        <f t="shared" si="4"/>
        <v>0.51413308159917004</v>
      </c>
      <c r="I13">
        <f t="shared" si="5"/>
        <v>247.9758693812762</v>
      </c>
    </row>
    <row r="14" spans="1:9">
      <c r="A14">
        <v>13</v>
      </c>
      <c r="B14" s="1">
        <v>46218</v>
      </c>
      <c r="C14">
        <f t="shared" si="0"/>
        <v>2.627043219611469E-2</v>
      </c>
      <c r="D14">
        <v>1.5749319614998669</v>
      </c>
      <c r="E14">
        <f t="shared" si="1"/>
        <v>1574.9319614998669</v>
      </c>
      <c r="F14">
        <f t="shared" si="2"/>
        <v>41.374143308076164</v>
      </c>
      <c r="G14">
        <f t="shared" si="3"/>
        <v>537.86386300499009</v>
      </c>
      <c r="H14">
        <f t="shared" si="4"/>
        <v>0.48640553872803377</v>
      </c>
      <c r="I14">
        <f t="shared" si="5"/>
        <v>261.61996204728354</v>
      </c>
    </row>
    <row r="15" spans="1:9">
      <c r="A15">
        <v>14</v>
      </c>
      <c r="B15" s="1">
        <v>46402</v>
      </c>
      <c r="C15">
        <f t="shared" si="0"/>
        <v>2.627043219611469E-2</v>
      </c>
      <c r="D15">
        <v>1.6213607757174053</v>
      </c>
      <c r="E15">
        <f t="shared" si="1"/>
        <v>1621.3607757174054</v>
      </c>
      <c r="F15">
        <f t="shared" si="2"/>
        <v>42.593848323924014</v>
      </c>
      <c r="G15">
        <f t="shared" si="3"/>
        <v>596.31387653493618</v>
      </c>
      <c r="H15">
        <f t="shared" si="4"/>
        <v>0.46017336089211247</v>
      </c>
      <c r="I15">
        <f t="shared" si="5"/>
        <v>274.4077607116858</v>
      </c>
    </row>
    <row r="16" spans="1:9">
      <c r="A16">
        <v>15</v>
      </c>
      <c r="B16" s="1">
        <v>46583</v>
      </c>
      <c r="C16">
        <f t="shared" si="0"/>
        <v>2.627043219611469E-2</v>
      </c>
      <c r="D16">
        <v>1.669271962264659</v>
      </c>
      <c r="E16">
        <f t="shared" si="1"/>
        <v>1669.2719622646591</v>
      </c>
      <c r="F16">
        <f t="shared" si="2"/>
        <v>43.852495901549048</v>
      </c>
      <c r="G16">
        <f t="shared" si="3"/>
        <v>657.78743852323578</v>
      </c>
      <c r="H16">
        <f t="shared" si="4"/>
        <v>0.43535590204934843</v>
      </c>
      <c r="I16">
        <f t="shared" si="5"/>
        <v>286.37164365501366</v>
      </c>
    </row>
    <row r="17" spans="1:9">
      <c r="A17">
        <v>16</v>
      </c>
      <c r="B17" s="1">
        <v>46767</v>
      </c>
      <c r="C17">
        <f t="shared" si="0"/>
        <v>2.627043219611469E-2</v>
      </c>
      <c r="D17">
        <v>1.7187838724615263</v>
      </c>
      <c r="E17">
        <f t="shared" si="1"/>
        <v>1718.7838724615262</v>
      </c>
      <c r="F17">
        <f t="shared" si="2"/>
        <v>45.153195181275962</v>
      </c>
      <c r="G17">
        <f t="shared" si="3"/>
        <v>722.45112290041538</v>
      </c>
      <c r="H17">
        <f t="shared" si="4"/>
        <v>0.41187686545297048</v>
      </c>
      <c r="I17">
        <f t="shared" si="5"/>
        <v>297.56090394320182</v>
      </c>
    </row>
    <row r="18" spans="1:9">
      <c r="A18">
        <v>17</v>
      </c>
      <c r="B18" s="1">
        <v>46949</v>
      </c>
      <c r="C18">
        <f t="shared" si="0"/>
        <v>2.627043219611469E-2</v>
      </c>
      <c r="D18">
        <v>1.7698889393962991</v>
      </c>
      <c r="E18">
        <f t="shared" si="1"/>
        <v>1769.8889393962991</v>
      </c>
      <c r="F18">
        <f t="shared" si="2"/>
        <v>46.495747377063815</v>
      </c>
      <c r="G18">
        <f t="shared" si="3"/>
        <v>790.42770541008485</v>
      </c>
      <c r="H18">
        <f t="shared" si="4"/>
        <v>0.38966406909107448</v>
      </c>
      <c r="I18">
        <f t="shared" si="5"/>
        <v>308.00127601241479</v>
      </c>
    </row>
    <row r="19" spans="1:9">
      <c r="A19">
        <v>18</v>
      </c>
      <c r="B19" s="1">
        <v>47133</v>
      </c>
      <c r="C19">
        <f t="shared" si="0"/>
        <v>2.627043219611469E-2</v>
      </c>
      <c r="D19">
        <v>1.8226695860759001</v>
      </c>
      <c r="E19">
        <f t="shared" si="1"/>
        <v>1822.6695860759</v>
      </c>
      <c r="F19">
        <f t="shared" si="2"/>
        <v>47.882317776927358</v>
      </c>
      <c r="G19">
        <f t="shared" si="3"/>
        <v>861.8817199846925</v>
      </c>
      <c r="H19">
        <f t="shared" si="4"/>
        <v>0.36864922377620418</v>
      </c>
      <c r="I19">
        <f t="shared" si="5"/>
        <v>317.73202705925667</v>
      </c>
    </row>
    <row r="20" spans="1:9">
      <c r="A20">
        <v>19</v>
      </c>
      <c r="B20" s="1">
        <v>47314</v>
      </c>
      <c r="C20">
        <f t="shared" si="0"/>
        <v>2.627043219611469E-2</v>
      </c>
      <c r="D20">
        <v>1.8771518993177607</v>
      </c>
      <c r="E20">
        <f t="shared" si="1"/>
        <v>1877.1518993177608</v>
      </c>
      <c r="F20">
        <f t="shared" si="2"/>
        <v>49.313591692835146</v>
      </c>
      <c r="G20">
        <f t="shared" si="3"/>
        <v>936.95824216386779</v>
      </c>
      <c r="H20">
        <f t="shared" si="4"/>
        <v>0.34876772320271088</v>
      </c>
      <c r="I20">
        <f t="shared" si="5"/>
        <v>326.78079285550638</v>
      </c>
    </row>
    <row r="21" spans="1:9">
      <c r="A21">
        <v>20</v>
      </c>
      <c r="B21" s="1">
        <v>47498</v>
      </c>
      <c r="C21">
        <f t="shared" si="0"/>
        <v>2.627043219611469E-2</v>
      </c>
      <c r="D21">
        <v>1.9333766836395962</v>
      </c>
      <c r="E21">
        <f t="shared" si="1"/>
        <v>1933.3766836395962</v>
      </c>
      <c r="F21">
        <f t="shared" si="2"/>
        <v>50.790641077103096</v>
      </c>
      <c r="G21">
        <f t="shared" si="3"/>
        <v>1015.8128215420619</v>
      </c>
      <c r="H21">
        <f t="shared" si="4"/>
        <v>0.32995844532646046</v>
      </c>
      <c r="I21">
        <f t="shared" si="5"/>
        <v>335.17601933870395</v>
      </c>
    </row>
    <row r="22" spans="1:9">
      <c r="A22">
        <v>21</v>
      </c>
      <c r="B22" s="1">
        <v>47679</v>
      </c>
      <c r="C22">
        <f t="shared" si="0"/>
        <v>2.627043219611469E-2</v>
      </c>
      <c r="D22">
        <v>1.9914147271498714</v>
      </c>
      <c r="E22">
        <f t="shared" si="1"/>
        <v>1991.4147271498714</v>
      </c>
      <c r="F22">
        <f t="shared" si="2"/>
        <v>52.315325563934934</v>
      </c>
      <c r="G22">
        <f t="shared" si="3"/>
        <v>1098.6218368426337</v>
      </c>
      <c r="H22">
        <f t="shared" si="4"/>
        <v>0.31216356445626658</v>
      </c>
      <c r="I22">
        <f t="shared" si="5"/>
        <v>342.94970857828747</v>
      </c>
    </row>
    <row r="23" spans="1:9">
      <c r="A23">
        <v>22</v>
      </c>
      <c r="B23" s="1">
        <v>47863</v>
      </c>
      <c r="C23">
        <f t="shared" si="0"/>
        <v>2.627043219611469E-2</v>
      </c>
      <c r="D23">
        <v>2.0512747344025177</v>
      </c>
      <c r="E23">
        <f t="shared" si="1"/>
        <v>2051.2747344025179</v>
      </c>
      <c r="F23">
        <f t="shared" si="2"/>
        <v>53.887873825724519</v>
      </c>
      <c r="G23">
        <f t="shared" si="3"/>
        <v>1185.5332241659394</v>
      </c>
      <c r="H23">
        <f t="shared" si="4"/>
        <v>0.29532837347935942</v>
      </c>
      <c r="I23">
        <f t="shared" si="5"/>
        <v>350.12159879866766</v>
      </c>
    </row>
    <row r="24" spans="1:9">
      <c r="A24">
        <v>23</v>
      </c>
      <c r="B24" s="1">
        <v>48044</v>
      </c>
      <c r="C24">
        <f t="shared" si="0"/>
        <v>2.627043219611469E-2</v>
      </c>
      <c r="D24">
        <v>2.1130662725340157</v>
      </c>
      <c r="E24">
        <f t="shared" si="1"/>
        <v>2113.0662725340158</v>
      </c>
      <c r="F24">
        <f t="shared" si="2"/>
        <v>55.511164238501664</v>
      </c>
      <c r="G24">
        <f t="shared" si="3"/>
        <v>1276.7567774855384</v>
      </c>
      <c r="H24">
        <f t="shared" si="4"/>
        <v>0.27940111567435399</v>
      </c>
      <c r="I24">
        <f t="shared" si="5"/>
        <v>356.72726807425232</v>
      </c>
    </row>
    <row r="25" spans="1:9">
      <c r="A25">
        <v>24</v>
      </c>
      <c r="B25" s="1">
        <v>48228</v>
      </c>
      <c r="C25">
        <f t="shared" si="0"/>
        <v>2.627043219611469E-2</v>
      </c>
      <c r="D25">
        <v>2.1767727907350616</v>
      </c>
      <c r="E25">
        <f t="shared" si="1"/>
        <v>2176.7727907350618</v>
      </c>
      <c r="F25">
        <f t="shared" si="2"/>
        <v>57.184762005352795</v>
      </c>
      <c r="G25">
        <f t="shared" si="3"/>
        <v>1372.434288128467</v>
      </c>
      <c r="H25">
        <f t="shared" si="4"/>
        <v>0.26433282559465876</v>
      </c>
      <c r="I25">
        <f t="shared" si="5"/>
        <v>362.77943332399173</v>
      </c>
    </row>
    <row r="26" spans="1:9">
      <c r="A26">
        <v>25</v>
      </c>
      <c r="B26" s="1">
        <v>48410</v>
      </c>
      <c r="C26">
        <f t="shared" si="0"/>
        <v>2.627043219611469E-2</v>
      </c>
      <c r="D26">
        <v>2.2425287270968037</v>
      </c>
      <c r="E26">
        <f t="shared" si="1"/>
        <v>2242.5287270968038</v>
      </c>
      <c r="F26">
        <f t="shared" si="2"/>
        <v>58.912198873035969</v>
      </c>
      <c r="G26">
        <f t="shared" si="3"/>
        <v>1472.8049718258992</v>
      </c>
      <c r="H26">
        <f t="shared" si="4"/>
        <v>0.25007717853314843</v>
      </c>
      <c r="I26">
        <f t="shared" si="5"/>
        <v>368.31491188381403</v>
      </c>
    </row>
    <row r="27" spans="1:9">
      <c r="A27">
        <v>26</v>
      </c>
      <c r="B27" s="1">
        <v>48594</v>
      </c>
      <c r="C27">
        <f t="shared" si="0"/>
        <v>2.627043219611469E-2</v>
      </c>
      <c r="D27">
        <v>2.3102955731120569</v>
      </c>
      <c r="E27">
        <f t="shared" si="1"/>
        <v>2310.2955731120569</v>
      </c>
      <c r="F27">
        <f t="shared" si="2"/>
        <v>60.692463206424222</v>
      </c>
      <c r="G27">
        <f t="shared" si="3"/>
        <v>1578.0040433670297</v>
      </c>
      <c r="H27">
        <f t="shared" si="4"/>
        <v>0.23659034810530874</v>
      </c>
      <c r="I27">
        <f t="shared" si="5"/>
        <v>373.34052593179024</v>
      </c>
    </row>
    <row r="28" spans="1:9">
      <c r="A28">
        <v>27</v>
      </c>
      <c r="B28" s="1">
        <v>48775</v>
      </c>
      <c r="C28">
        <f t="shared" si="0"/>
        <v>2.627043219611469E-2</v>
      </c>
      <c r="D28">
        <v>2.3802445654384523</v>
      </c>
      <c r="E28">
        <f t="shared" si="1"/>
        <v>2380.2445654384524</v>
      </c>
      <c r="F28">
        <f t="shared" si="2"/>
        <v>62.530053466521338</v>
      </c>
      <c r="G28">
        <f t="shared" si="3"/>
        <v>1688.3114435960761</v>
      </c>
      <c r="H28">
        <f t="shared" si="4"/>
        <v>0.22383087151301786</v>
      </c>
      <c r="I28">
        <f t="shared" si="5"/>
        <v>377.896221805511</v>
      </c>
    </row>
    <row r="29" spans="1:9">
      <c r="A29">
        <v>28</v>
      </c>
      <c r="B29" s="1">
        <v>48959</v>
      </c>
      <c r="C29">
        <f t="shared" si="0"/>
        <v>2.627043219611469E-2</v>
      </c>
      <c r="D29">
        <v>2.4523134435284684</v>
      </c>
      <c r="E29">
        <f t="shared" si="1"/>
        <v>2452.3134435284683</v>
      </c>
      <c r="F29">
        <f t="shared" si="2"/>
        <v>64.423334041835162</v>
      </c>
      <c r="G29">
        <f t="shared" si="3"/>
        <v>1803.8533531713845</v>
      </c>
      <c r="H29">
        <f t="shared" si="4"/>
        <v>0.21175952207474241</v>
      </c>
      <c r="I29">
        <f t="shared" si="5"/>
        <v>381.98312396049391</v>
      </c>
    </row>
    <row r="30" spans="1:9">
      <c r="A30">
        <v>29</v>
      </c>
      <c r="B30" s="1">
        <v>49140</v>
      </c>
      <c r="C30">
        <f t="shared" si="0"/>
        <v>2.627043219611469E-2</v>
      </c>
      <c r="D30">
        <v>2.5267053369573156</v>
      </c>
      <c r="E30">
        <f t="shared" si="1"/>
        <v>2526.7053369573155</v>
      </c>
      <c r="F30">
        <f t="shared" si="2"/>
        <v>66.377641234098277</v>
      </c>
      <c r="G30">
        <f t="shared" si="3"/>
        <v>1924.95159578885</v>
      </c>
      <c r="H30">
        <f t="shared" si="4"/>
        <v>0.20033918863026598</v>
      </c>
      <c r="I30">
        <f t="shared" si="5"/>
        <v>385.64324085287393</v>
      </c>
    </row>
    <row r="31" spans="1:9">
      <c r="A31">
        <v>30</v>
      </c>
      <c r="B31" s="1">
        <v>49324</v>
      </c>
      <c r="C31">
        <f t="shared" si="0"/>
        <v>2.627043219611469E-2</v>
      </c>
      <c r="D31">
        <v>2.60333497166756</v>
      </c>
      <c r="E31">
        <f t="shared" si="1"/>
        <v>2603.3349716675598</v>
      </c>
      <c r="F31">
        <f t="shared" si="2"/>
        <v>68.390734856966787</v>
      </c>
      <c r="G31">
        <f t="shared" si="3"/>
        <v>2051.7220457090034</v>
      </c>
      <c r="H31">
        <f t="shared" si="4"/>
        <v>0.18953476144920187</v>
      </c>
      <c r="I31">
        <f t="shared" si="5"/>
        <v>388.87264849352442</v>
      </c>
    </row>
    <row r="32" spans="1:9">
      <c r="A32">
        <v>31</v>
      </c>
      <c r="B32" s="1">
        <v>49505</v>
      </c>
      <c r="C32">
        <f t="shared" si="0"/>
        <v>2.627043219611469E-2</v>
      </c>
      <c r="D32">
        <v>2.6824367873064148</v>
      </c>
      <c r="E32">
        <f t="shared" si="1"/>
        <v>2682.4367873064148</v>
      </c>
      <c r="F32">
        <f t="shared" si="2"/>
        <v>70.468773741296886</v>
      </c>
      <c r="G32">
        <f t="shared" si="3"/>
        <v>2184.5319859802034</v>
      </c>
      <c r="H32">
        <f t="shared" si="4"/>
        <v>0.17931302429253607</v>
      </c>
      <c r="I32">
        <f t="shared" si="5"/>
        <v>391.71503706989029</v>
      </c>
    </row>
    <row r="33" spans="1:9">
      <c r="H33" t="s">
        <v>4</v>
      </c>
      <c r="I33">
        <f>SUM(I2:I32)</f>
        <v>8251.8482545302886</v>
      </c>
    </row>
    <row r="34" spans="1:9">
      <c r="A34" t="s">
        <v>98</v>
      </c>
      <c r="B34" s="8">
        <v>1000</v>
      </c>
      <c r="H34" t="s">
        <v>5</v>
      </c>
      <c r="I34">
        <f>(A32*B36)*H32</f>
        <v>14910.871436969494</v>
      </c>
    </row>
    <row r="35" spans="1:9">
      <c r="A35" t="s">
        <v>79</v>
      </c>
      <c r="B35" s="13">
        <v>5.3231000000000001E-2</v>
      </c>
      <c r="H35" t="s">
        <v>6</v>
      </c>
      <c r="I35">
        <f>SUM(I33:I34)</f>
        <v>23162.719691499784</v>
      </c>
    </row>
    <row r="36" spans="1:9">
      <c r="A36" t="s">
        <v>111</v>
      </c>
      <c r="B36">
        <f>B34*D32</f>
        <v>2682.4367873064148</v>
      </c>
      <c r="H36" t="s">
        <v>89</v>
      </c>
      <c r="I36">
        <f>(I35/B37)/2</f>
        <v>10.849185730489898</v>
      </c>
    </row>
    <row r="37" spans="1:9">
      <c r="A37" t="s">
        <v>90</v>
      </c>
      <c r="B37">
        <v>1067.4865500000001</v>
      </c>
      <c r="H37" s="6" t="s">
        <v>18</v>
      </c>
      <c r="I37">
        <f>I36/(1+B38)</f>
        <v>10.264081847418618</v>
      </c>
    </row>
    <row r="38" spans="1:9">
      <c r="A38" t="s">
        <v>101</v>
      </c>
      <c r="B38">
        <v>5.7004989999999998E-2</v>
      </c>
    </row>
    <row r="39" spans="1:9">
      <c r="A39" t="s">
        <v>119</v>
      </c>
      <c r="B39">
        <f>F6/B37</f>
        <v>3.0204711796572345E-2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FE1A2-9361-45D8-BCB4-59FBBA7CEACC}">
  <dimension ref="A1:J36"/>
  <sheetViews>
    <sheetView topLeftCell="A25" workbookViewId="0">
      <selection activeCell="B36" sqref="B36"/>
    </sheetView>
  </sheetViews>
  <sheetFormatPr defaultRowHeight="15"/>
  <cols>
    <col min="2" max="2" width="10.7109375" bestFit="1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43753</v>
      </c>
      <c r="C2">
        <f>(1+$B$32)^(1/2)-1</f>
        <v>1.9170250743220985E-2</v>
      </c>
      <c r="D2">
        <v>1.0036034900531641</v>
      </c>
      <c r="E2">
        <f>$B$31*D2</f>
        <v>1003.603490053164</v>
      </c>
      <c r="F2">
        <f>C2*E2</f>
        <v>19.239330551090841</v>
      </c>
      <c r="G2">
        <f>A2*F2</f>
        <v>19.239330551090841</v>
      </c>
      <c r="H2">
        <f>(1+$B$35)^(-A2)</f>
        <v>0.95266993800185995</v>
      </c>
      <c r="I2">
        <f>G2*H2</f>
        <v>18.328731843305</v>
      </c>
    </row>
    <row r="3" spans="1:9">
      <c r="A3">
        <v>2</v>
      </c>
      <c r="B3" s="1">
        <v>43936</v>
      </c>
      <c r="C3">
        <f t="shared" ref="C3:C29" si="0">(1+$B$32)^(1/2)-1</f>
        <v>1.9170250743220985E-2</v>
      </c>
      <c r="D3">
        <v>1.0225587332882629</v>
      </c>
      <c r="E3">
        <f t="shared" ref="E3:E29" si="1">$B$31*D3</f>
        <v>1022.5587332882628</v>
      </c>
      <c r="F3">
        <f t="shared" ref="F3:F29" si="2">C3*E3</f>
        <v>19.602707316806431</v>
      </c>
      <c r="G3">
        <f t="shared" ref="G3:G29" si="3">A3*F3</f>
        <v>39.205414633612861</v>
      </c>
      <c r="H3">
        <f t="shared" ref="H3:H29" si="4">(1+$B$35)^(-A3)</f>
        <v>0.90758001077246764</v>
      </c>
      <c r="I3">
        <f t="shared" ref="I3:I29" si="5">G3*H3</f>
        <v>35.582050635513419</v>
      </c>
    </row>
    <row r="4" spans="1:9">
      <c r="A4">
        <v>3</v>
      </c>
      <c r="B4" s="1">
        <v>44119</v>
      </c>
      <c r="C4">
        <f t="shared" si="0"/>
        <v>1.9170250743220985E-2</v>
      </c>
      <c r="D4">
        <v>1.0429267395140414</v>
      </c>
      <c r="E4">
        <f t="shared" si="1"/>
        <v>1042.9267395140414</v>
      </c>
      <c r="F4">
        <f t="shared" si="2"/>
        <v>19.993167103294091</v>
      </c>
      <c r="G4">
        <f t="shared" si="3"/>
        <v>59.979501309882274</v>
      </c>
      <c r="H4">
        <f t="shared" si="4"/>
        <v>0.8646241925943341</v>
      </c>
      <c r="I4">
        <f t="shared" si="5"/>
        <v>51.859727892267763</v>
      </c>
    </row>
    <row r="5" spans="1:9">
      <c r="A5">
        <v>4</v>
      </c>
      <c r="B5" s="1">
        <v>44301</v>
      </c>
      <c r="C5">
        <f t="shared" si="0"/>
        <v>1.9170250743220985E-2</v>
      </c>
      <c r="D5">
        <v>1.0916754058695304</v>
      </c>
      <c r="E5">
        <f t="shared" si="1"/>
        <v>1091.6754058695303</v>
      </c>
      <c r="F5">
        <f t="shared" si="2"/>
        <v>20.927691260726434</v>
      </c>
      <c r="G5">
        <f t="shared" si="3"/>
        <v>83.710765042905734</v>
      </c>
      <c r="H5">
        <f t="shared" si="4"/>
        <v>0.82370147595375254</v>
      </c>
      <c r="I5">
        <f t="shared" si="5"/>
        <v>68.952680719059245</v>
      </c>
    </row>
    <row r="6" spans="1:9">
      <c r="A6">
        <v>5</v>
      </c>
      <c r="B6" s="1">
        <v>44484</v>
      </c>
      <c r="C6">
        <f t="shared" si="0"/>
        <v>1.9170250743220985E-2</v>
      </c>
      <c r="D6">
        <v>1.1542348723840554</v>
      </c>
      <c r="E6">
        <f t="shared" si="1"/>
        <v>1154.2348723840555</v>
      </c>
      <c r="F6">
        <f t="shared" si="2"/>
        <v>22.126971920172018</v>
      </c>
      <c r="G6">
        <f t="shared" si="3"/>
        <v>110.6348596008601</v>
      </c>
      <c r="H6">
        <f t="shared" si="4"/>
        <v>0.78471563402890199</v>
      </c>
      <c r="I6">
        <f t="shared" si="5"/>
        <v>86.816903997387485</v>
      </c>
    </row>
    <row r="7" spans="1:9">
      <c r="A7">
        <v>6</v>
      </c>
      <c r="B7" s="1">
        <v>44666</v>
      </c>
      <c r="C7">
        <f t="shared" si="0"/>
        <v>1.9170250743220985E-2</v>
      </c>
      <c r="D7">
        <v>1.2241118017593806</v>
      </c>
      <c r="E7">
        <f t="shared" si="1"/>
        <v>1224.1118017593806</v>
      </c>
      <c r="F7">
        <f t="shared" si="2"/>
        <v>23.466530177463344</v>
      </c>
      <c r="G7">
        <f t="shared" si="3"/>
        <v>140.79918106478007</v>
      </c>
      <c r="H7">
        <f t="shared" si="4"/>
        <v>0.74757499441940423</v>
      </c>
      <c r="I7">
        <f t="shared" si="5"/>
        <v>105.25794699875965</v>
      </c>
    </row>
    <row r="8" spans="1:9">
      <c r="A8">
        <v>7</v>
      </c>
      <c r="B8" s="1">
        <v>44849</v>
      </c>
      <c r="C8">
        <f t="shared" si="0"/>
        <v>1.9170250743220985E-2</v>
      </c>
      <c r="D8">
        <v>1.2257376160350351</v>
      </c>
      <c r="E8">
        <f t="shared" si="1"/>
        <v>1225.737616035035</v>
      </c>
      <c r="F8">
        <f t="shared" si="2"/>
        <v>23.497697444789548</v>
      </c>
      <c r="G8">
        <f t="shared" si="3"/>
        <v>164.48388211352685</v>
      </c>
      <c r="H8">
        <f t="shared" si="4"/>
        <v>0.71219222358527456</v>
      </c>
      <c r="I8">
        <f t="shared" si="5"/>
        <v>117.14414174637085</v>
      </c>
    </row>
    <row r="9" spans="1:9">
      <c r="A9">
        <v>8</v>
      </c>
      <c r="B9" s="1">
        <v>45031</v>
      </c>
      <c r="C9">
        <f t="shared" si="0"/>
        <v>1.9170250743220985E-2</v>
      </c>
      <c r="D9">
        <v>1.3081063150664309</v>
      </c>
      <c r="E9">
        <f t="shared" si="1"/>
        <v>1308.1063150664309</v>
      </c>
      <c r="F9">
        <f t="shared" si="2"/>
        <v>25.076726058614309</v>
      </c>
      <c r="G9">
        <f t="shared" si="3"/>
        <v>200.61380846891447</v>
      </c>
      <c r="H9">
        <f t="shared" si="4"/>
        <v>0.67848412148839032</v>
      </c>
      <c r="I9">
        <f t="shared" si="5"/>
        <v>136.11328359747162</v>
      </c>
    </row>
    <row r="10" spans="1:9">
      <c r="A10">
        <v>9</v>
      </c>
      <c r="B10" s="1">
        <v>45214</v>
      </c>
      <c r="C10">
        <f t="shared" si="0"/>
        <v>1.9170250743220985E-2</v>
      </c>
      <c r="D10">
        <v>1.3284815856954044</v>
      </c>
      <c r="E10">
        <f t="shared" si="1"/>
        <v>1328.4815856954044</v>
      </c>
      <c r="F10">
        <f t="shared" si="2"/>
        <v>25.467325105532719</v>
      </c>
      <c r="G10">
        <f t="shared" si="3"/>
        <v>229.20592594979448</v>
      </c>
      <c r="H10">
        <f t="shared" si="4"/>
        <v>0.64637142595359121</v>
      </c>
      <c r="I10">
        <f t="shared" si="5"/>
        <v>148.15216119318188</v>
      </c>
    </row>
    <row r="11" spans="1:9">
      <c r="A11">
        <v>10</v>
      </c>
      <c r="B11" s="1">
        <v>45397</v>
      </c>
      <c r="C11">
        <f t="shared" si="0"/>
        <v>1.9170250743220985E-2</v>
      </c>
      <c r="D11">
        <v>1.3909614264894521</v>
      </c>
      <c r="E11">
        <f t="shared" si="1"/>
        <v>1390.9614264894522</v>
      </c>
      <c r="F11">
        <f t="shared" si="2"/>
        <v>26.66507931995114</v>
      </c>
      <c r="G11">
        <f t="shared" si="3"/>
        <v>266.65079319951138</v>
      </c>
      <c r="H11">
        <f t="shared" si="4"/>
        <v>0.61577862628938151</v>
      </c>
      <c r="I11">
        <f t="shared" si="5"/>
        <v>164.19785913536907</v>
      </c>
    </row>
    <row r="12" spans="1:9">
      <c r="A12">
        <v>11</v>
      </c>
      <c r="B12" s="1">
        <v>45580</v>
      </c>
      <c r="C12">
        <f t="shared" si="0"/>
        <v>1.9170250743220985E-2</v>
      </c>
      <c r="D12">
        <v>1.410229522298569</v>
      </c>
      <c r="E12">
        <f t="shared" si="1"/>
        <v>1410.229522298569</v>
      </c>
      <c r="F12">
        <f t="shared" si="2"/>
        <v>27.034453547956318</v>
      </c>
      <c r="G12">
        <f t="shared" si="3"/>
        <v>297.37898902751948</v>
      </c>
      <c r="H12">
        <f t="shared" si="4"/>
        <v>0.58663378572997549</v>
      </c>
      <c r="I12">
        <f t="shared" si="5"/>
        <v>174.45256212976659</v>
      </c>
    </row>
    <row r="13" spans="1:9">
      <c r="A13">
        <v>12</v>
      </c>
      <c r="B13" s="1">
        <v>45762</v>
      </c>
      <c r="C13">
        <f t="shared" si="0"/>
        <v>1.9170250743220985E-2</v>
      </c>
      <c r="D13">
        <v>1.4745249799511888</v>
      </c>
      <c r="E13">
        <f t="shared" si="1"/>
        <v>1474.5249799511887</v>
      </c>
      <c r="F13">
        <f t="shared" si="2"/>
        <v>28.267013592807182</v>
      </c>
      <c r="G13">
        <f t="shared" si="3"/>
        <v>339.20416311368615</v>
      </c>
      <c r="H13">
        <f t="shared" si="4"/>
        <v>0.55886837228117225</v>
      </c>
      <c r="I13">
        <f t="shared" si="5"/>
        <v>189.57047851034304</v>
      </c>
    </row>
    <row r="14" spans="1:9">
      <c r="A14">
        <v>13</v>
      </c>
      <c r="B14" s="1">
        <v>45945</v>
      </c>
      <c r="C14">
        <f t="shared" si="0"/>
        <v>1.9170250743220985E-2</v>
      </c>
      <c r="D14">
        <v>1.494333626042778</v>
      </c>
      <c r="E14">
        <f t="shared" si="1"/>
        <v>1494.333626042778</v>
      </c>
      <c r="F14">
        <f t="shared" si="2"/>
        <v>28.646750305266671</v>
      </c>
      <c r="G14">
        <f t="shared" si="3"/>
        <v>372.40775396846675</v>
      </c>
      <c r="H14">
        <f t="shared" si="4"/>
        <v>0.53241709757230471</v>
      </c>
      <c r="I14">
        <f t="shared" si="5"/>
        <v>198.27625548131201</v>
      </c>
    </row>
    <row r="15" spans="1:9">
      <c r="A15">
        <v>14</v>
      </c>
      <c r="B15" s="1">
        <v>46127</v>
      </c>
      <c r="C15">
        <f t="shared" si="0"/>
        <v>1.9170250743220985E-2</v>
      </c>
      <c r="D15">
        <v>1.5623919858807593</v>
      </c>
      <c r="E15">
        <f t="shared" si="1"/>
        <v>1562.3919858807594</v>
      </c>
      <c r="F15">
        <f t="shared" si="2"/>
        <v>29.951446128533139</v>
      </c>
      <c r="G15">
        <f t="shared" si="3"/>
        <v>419.32024579946392</v>
      </c>
      <c r="H15">
        <f t="shared" si="4"/>
        <v>0.50721776333533775</v>
      </c>
      <c r="I15">
        <f t="shared" si="5"/>
        <v>212.68667719562814</v>
      </c>
    </row>
    <row r="16" spans="1:9">
      <c r="A16">
        <v>15</v>
      </c>
      <c r="B16" s="1">
        <v>46310</v>
      </c>
      <c r="C16">
        <f t="shared" si="0"/>
        <v>1.9170250743220985E-2</v>
      </c>
      <c r="D16">
        <v>1.5833592535052421</v>
      </c>
      <c r="E16">
        <f t="shared" si="1"/>
        <v>1583.3592535052421</v>
      </c>
      <c r="F16">
        <f t="shared" si="2"/>
        <v>30.353393906294691</v>
      </c>
      <c r="G16">
        <f t="shared" si="3"/>
        <v>455.30090859442038</v>
      </c>
      <c r="H16">
        <f t="shared" si="4"/>
        <v>0.48321111515011828</v>
      </c>
      <c r="I16">
        <f t="shared" si="5"/>
        <v>220.00645977077195</v>
      </c>
    </row>
    <row r="17" spans="1:9">
      <c r="A17">
        <v>16</v>
      </c>
      <c r="B17" s="1">
        <v>46492</v>
      </c>
      <c r="C17">
        <f t="shared" si="0"/>
        <v>1.9170250743220985E-2</v>
      </c>
      <c r="D17">
        <v>1.6558881857540186</v>
      </c>
      <c r="E17">
        <f t="shared" si="1"/>
        <v>1655.8881857540187</v>
      </c>
      <c r="F17">
        <f t="shared" si="2"/>
        <v>31.743791723641824</v>
      </c>
      <c r="G17">
        <f t="shared" si="3"/>
        <v>507.90066757826918</v>
      </c>
      <c r="H17">
        <f t="shared" si="4"/>
        <v>0.46034070311187275</v>
      </c>
      <c r="I17">
        <f t="shared" si="5"/>
        <v>233.80735042396998</v>
      </c>
    </row>
    <row r="18" spans="1:9">
      <c r="A18">
        <v>17</v>
      </c>
      <c r="B18" s="1">
        <v>46675</v>
      </c>
      <c r="C18">
        <f t="shared" si="0"/>
        <v>1.9170250743220985E-2</v>
      </c>
      <c r="D18">
        <v>1.6782367270312788</v>
      </c>
      <c r="E18">
        <f t="shared" si="1"/>
        <v>1678.2367270312789</v>
      </c>
      <c r="F18">
        <f t="shared" si="2"/>
        <v>32.172218863672128</v>
      </c>
      <c r="G18">
        <f t="shared" si="3"/>
        <v>546.92772068242618</v>
      </c>
      <c r="H18">
        <f t="shared" si="4"/>
        <v>0.43855274909332043</v>
      </c>
      <c r="I18">
        <f t="shared" si="5"/>
        <v>239.85665546062168</v>
      </c>
    </row>
    <row r="19" spans="1:9">
      <c r="A19">
        <v>18</v>
      </c>
      <c r="B19" s="1">
        <v>46858</v>
      </c>
      <c r="C19">
        <f t="shared" si="0"/>
        <v>1.9170250743220985E-2</v>
      </c>
      <c r="D19">
        <v>1.7555915647943519</v>
      </c>
      <c r="E19">
        <f t="shared" si="1"/>
        <v>1755.5915647943518</v>
      </c>
      <c r="F19">
        <f t="shared" si="2"/>
        <v>33.655130499791412</v>
      </c>
      <c r="G19">
        <f t="shared" si="3"/>
        <v>605.79234899624544</v>
      </c>
      <c r="H19">
        <f t="shared" si="4"/>
        <v>0.41779602028927881</v>
      </c>
      <c r="I19">
        <f t="shared" si="5"/>
        <v>253.09763253232524</v>
      </c>
    </row>
    <row r="20" spans="1:9">
      <c r="A20">
        <v>19</v>
      </c>
      <c r="B20" s="1">
        <v>47041</v>
      </c>
      <c r="C20">
        <f t="shared" si="0"/>
        <v>1.9170250743220985E-2</v>
      </c>
      <c r="D20">
        <v>1.7794317564835556</v>
      </c>
      <c r="E20">
        <f t="shared" si="1"/>
        <v>1779.4317564835555</v>
      </c>
      <c r="F20">
        <f t="shared" si="2"/>
        <v>34.112152952239903</v>
      </c>
      <c r="G20">
        <f t="shared" si="3"/>
        <v>648.13090609255812</v>
      </c>
      <c r="H20">
        <f t="shared" si="4"/>
        <v>0.39802170874641102</v>
      </c>
      <c r="I20">
        <f t="shared" si="5"/>
        <v>257.97017073431965</v>
      </c>
    </row>
    <row r="21" spans="1:9">
      <c r="A21">
        <v>20</v>
      </c>
      <c r="B21" s="1">
        <v>47223</v>
      </c>
      <c r="C21">
        <f t="shared" si="0"/>
        <v>1.9170250743220985E-2</v>
      </c>
      <c r="D21">
        <v>1.861890208882726</v>
      </c>
      <c r="E21">
        <f t="shared" si="1"/>
        <v>1861.890208882726</v>
      </c>
      <c r="F21">
        <f t="shared" si="2"/>
        <v>35.692902160629956</v>
      </c>
      <c r="G21">
        <f t="shared" si="3"/>
        <v>713.85804321259911</v>
      </c>
      <c r="H21">
        <f t="shared" si="4"/>
        <v>0.37918331659483778</v>
      </c>
      <c r="I21">
        <f t="shared" si="5"/>
        <v>270.68306040325439</v>
      </c>
    </row>
    <row r="22" spans="1:9">
      <c r="A22">
        <v>21</v>
      </c>
      <c r="B22" s="1">
        <v>47406</v>
      </c>
      <c r="C22">
        <f t="shared" si="0"/>
        <v>1.9170250743220985E-2</v>
      </c>
      <c r="D22">
        <v>1.8873075581463861</v>
      </c>
      <c r="E22">
        <f t="shared" si="1"/>
        <v>1887.3075581463861</v>
      </c>
      <c r="F22">
        <f t="shared" si="2"/>
        <v>36.18015911924234</v>
      </c>
      <c r="G22">
        <f t="shared" si="3"/>
        <v>759.78334150408909</v>
      </c>
      <c r="H22">
        <f t="shared" si="4"/>
        <v>0.36123654671174377</v>
      </c>
      <c r="I22">
        <f t="shared" si="5"/>
        <v>274.46151053404662</v>
      </c>
    </row>
    <row r="23" spans="1:9">
      <c r="A23">
        <v>22</v>
      </c>
      <c r="B23" s="1">
        <v>47588</v>
      </c>
      <c r="C23">
        <f t="shared" si="0"/>
        <v>1.9170250743220985E-2</v>
      </c>
      <c r="D23">
        <v>1.9751404231745895</v>
      </c>
      <c r="E23">
        <f t="shared" si="1"/>
        <v>1975.1404231745894</v>
      </c>
      <c r="F23">
        <f t="shared" si="2"/>
        <v>37.86393716532848</v>
      </c>
      <c r="G23">
        <f t="shared" si="3"/>
        <v>833.00661763722655</v>
      </c>
      <c r="H23">
        <f t="shared" si="4"/>
        <v>0.3441391985598829</v>
      </c>
      <c r="I23">
        <f t="shared" si="5"/>
        <v>286.67022978875394</v>
      </c>
    </row>
    <row r="24" spans="1:9">
      <c r="A24">
        <v>23</v>
      </c>
      <c r="B24" s="1">
        <v>47771</v>
      </c>
      <c r="C24">
        <f t="shared" si="0"/>
        <v>1.9170250743220985E-2</v>
      </c>
      <c r="D24">
        <v>2.002218062427203</v>
      </c>
      <c r="E24">
        <f t="shared" si="1"/>
        <v>2002.218062427203</v>
      </c>
      <c r="F24">
        <f t="shared" si="2"/>
        <v>38.383022299335565</v>
      </c>
      <c r="G24">
        <f t="shared" si="3"/>
        <v>882.80951288471795</v>
      </c>
      <c r="H24">
        <f t="shared" si="4"/>
        <v>0.32785106895605343</v>
      </c>
      <c r="I24">
        <f t="shared" si="5"/>
        <v>289.43004248382761</v>
      </c>
    </row>
    <row r="25" spans="1:9">
      <c r="A25">
        <v>24</v>
      </c>
      <c r="B25" s="1">
        <v>47953</v>
      </c>
      <c r="C25">
        <f t="shared" si="0"/>
        <v>1.9170250743220985E-2</v>
      </c>
      <c r="D25">
        <v>2.0957251062548141</v>
      </c>
      <c r="E25">
        <f t="shared" si="1"/>
        <v>2095.7251062548139</v>
      </c>
      <c r="F25">
        <f t="shared" si="2"/>
        <v>40.175575775768223</v>
      </c>
      <c r="G25">
        <f t="shared" si="3"/>
        <v>964.21381861843736</v>
      </c>
      <c r="H25">
        <f t="shared" si="4"/>
        <v>0.3123338575362069</v>
      </c>
      <c r="I25">
        <f t="shared" si="5"/>
        <v>301.15662145881305</v>
      </c>
    </row>
    <row r="26" spans="1:9">
      <c r="A26">
        <v>25</v>
      </c>
      <c r="B26" s="1">
        <v>48136</v>
      </c>
      <c r="C26">
        <f t="shared" si="0"/>
        <v>1.9170250743220985E-2</v>
      </c>
      <c r="D26">
        <v>2.1245618438383076</v>
      </c>
      <c r="E26">
        <f t="shared" si="1"/>
        <v>2124.5618438383076</v>
      </c>
      <c r="F26">
        <f t="shared" si="2"/>
        <v>40.728383265860259</v>
      </c>
      <c r="G26">
        <f t="shared" si="3"/>
        <v>1018.2095816465064</v>
      </c>
      <c r="H26">
        <f t="shared" si="4"/>
        <v>0.2975510766949</v>
      </c>
      <c r="I26">
        <f t="shared" si="5"/>
        <v>302.96935731998167</v>
      </c>
    </row>
    <row r="27" spans="1:9">
      <c r="A27">
        <v>26</v>
      </c>
      <c r="B27" s="1">
        <v>48319</v>
      </c>
      <c r="C27">
        <f t="shared" si="0"/>
        <v>1.9170250743220985E-2</v>
      </c>
      <c r="D27">
        <v>2.224062710121721</v>
      </c>
      <c r="E27">
        <f t="shared" si="1"/>
        <v>2224.062710121721</v>
      </c>
      <c r="F27">
        <f t="shared" si="2"/>
        <v>42.635839821680996</v>
      </c>
      <c r="G27">
        <f t="shared" si="3"/>
        <v>1108.5318353637058</v>
      </c>
      <c r="H27">
        <f t="shared" si="4"/>
        <v>0.28346796578731698</v>
      </c>
      <c r="I27">
        <f t="shared" si="5"/>
        <v>314.23326438103066</v>
      </c>
    </row>
    <row r="28" spans="1:9">
      <c r="A28">
        <v>27</v>
      </c>
      <c r="B28" s="1">
        <v>48502</v>
      </c>
      <c r="C28">
        <f t="shared" si="0"/>
        <v>1.9170250743220985E-2</v>
      </c>
      <c r="D28">
        <v>2.2547493301099424</v>
      </c>
      <c r="E28">
        <f t="shared" si="1"/>
        <v>2254.7493301099425</v>
      </c>
      <c r="F28">
        <f t="shared" si="2"/>
        <v>43.224110021317145</v>
      </c>
      <c r="G28">
        <f t="shared" si="3"/>
        <v>1167.0509705755628</v>
      </c>
      <c r="H28">
        <f t="shared" si="4"/>
        <v>0.27005140939211664</v>
      </c>
      <c r="I28">
        <f t="shared" si="5"/>
        <v>315.16375943636837</v>
      </c>
    </row>
    <row r="29" spans="1:9">
      <c r="A29">
        <v>28</v>
      </c>
      <c r="B29" s="1">
        <v>48684</v>
      </c>
      <c r="C29">
        <f t="shared" si="0"/>
        <v>1.9170250743220985E-2</v>
      </c>
      <c r="D29">
        <v>2.3605903973353088</v>
      </c>
      <c r="E29">
        <f t="shared" si="1"/>
        <v>2360.5903973353088</v>
      </c>
      <c r="F29">
        <f t="shared" si="2"/>
        <v>45.253109818957526</v>
      </c>
      <c r="G29">
        <f t="shared" si="3"/>
        <v>1267.0870749308108</v>
      </c>
      <c r="H29">
        <f t="shared" si="4"/>
        <v>0.25726985944290265</v>
      </c>
      <c r="I29">
        <f t="shared" si="5"/>
        <v>325.98331366936833</v>
      </c>
    </row>
    <row r="30" spans="1:9">
      <c r="H30" t="s">
        <v>4</v>
      </c>
      <c r="I30">
        <f>SUM(I2:I29)</f>
        <v>5592.8808894731901</v>
      </c>
    </row>
    <row r="31" spans="1:9">
      <c r="A31" t="s">
        <v>98</v>
      </c>
      <c r="B31" s="8">
        <v>1000</v>
      </c>
      <c r="H31" t="s">
        <v>5</v>
      </c>
      <c r="I31">
        <f>(A29*B33)*H29</f>
        <v>17004.645272292179</v>
      </c>
    </row>
    <row r="32" spans="1:9">
      <c r="A32" t="s">
        <v>79</v>
      </c>
      <c r="B32" s="13">
        <v>3.8707999999999999E-2</v>
      </c>
      <c r="H32" t="s">
        <v>6</v>
      </c>
      <c r="I32">
        <f>SUM(I30:I31)</f>
        <v>22597.526161765367</v>
      </c>
    </row>
    <row r="33" spans="1:10">
      <c r="A33" t="s">
        <v>111</v>
      </c>
      <c r="B33">
        <f>B31*D29</f>
        <v>2360.5903973353088</v>
      </c>
      <c r="H33" t="s">
        <v>89</v>
      </c>
      <c r="I33">
        <f>(I32/B34)/2</f>
        <v>11.030222335767217</v>
      </c>
      <c r="J33" s="6"/>
    </row>
    <row r="34" spans="1:10">
      <c r="A34" t="s">
        <v>90</v>
      </c>
      <c r="B34">
        <v>1024.3459049999999</v>
      </c>
      <c r="H34" t="s">
        <v>18</v>
      </c>
      <c r="I34">
        <f>I33/(1+B35)</f>
        <v>10.508161228762086</v>
      </c>
    </row>
    <row r="35" spans="1:10">
      <c r="A35" t="s">
        <v>101</v>
      </c>
      <c r="B35">
        <v>4.9681490000000002E-2</v>
      </c>
    </row>
    <row r="36" spans="1:10">
      <c r="A36" t="s">
        <v>119</v>
      </c>
      <c r="B36">
        <f>F8/B34</f>
        <v>2.2939221341241708E-2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BF660-EA11-45D5-861F-93CD21B955BB}">
  <dimension ref="A1:I19"/>
  <sheetViews>
    <sheetView workbookViewId="0">
      <selection activeCell="B18" sqref="B18"/>
    </sheetView>
  </sheetViews>
  <sheetFormatPr defaultRowHeight="15"/>
  <cols>
    <col min="2" max="2" width="10.7109375" bestFit="1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43997</v>
      </c>
      <c r="C2">
        <f>(1+$B$14)^(1/2)-1</f>
        <v>2.0147048223931208E-2</v>
      </c>
      <c r="D2">
        <v>1.0213215599280319</v>
      </c>
      <c r="E2">
        <f>$B$13*D2</f>
        <v>1021.3215599280319</v>
      </c>
      <c r="F2">
        <f>C2*E2</f>
        <v>20.576614720010706</v>
      </c>
      <c r="G2">
        <f>A2*F2</f>
        <v>20.576614720010706</v>
      </c>
      <c r="H2">
        <f>(1+$B$17)^(-A2)</f>
        <v>0.93113811811008429</v>
      </c>
      <c r="I2">
        <f>G2*H2</f>
        <v>19.159670307467028</v>
      </c>
    </row>
    <row r="3" spans="1:9">
      <c r="A3">
        <v>2</v>
      </c>
      <c r="B3" s="1">
        <v>44362</v>
      </c>
      <c r="C3">
        <f t="shared" ref="C3:C11" si="0">(1+$B$14)^(1/2)-1</f>
        <v>2.0147048223931208E-2</v>
      </c>
      <c r="D3">
        <v>1.1065702141904601</v>
      </c>
      <c r="E3">
        <f t="shared" ref="E3:E11" si="1">$B$13*D3</f>
        <v>1106.5702141904601</v>
      </c>
      <c r="F3">
        <f t="shared" ref="F3:F11" si="2">C3*E3</f>
        <v>22.294123468461084</v>
      </c>
      <c r="G3">
        <f t="shared" ref="G3:G11" si="3">A3*F3</f>
        <v>44.588246936922168</v>
      </c>
      <c r="H3">
        <f t="shared" ref="H3:H11" si="4">(1+$B$17)^(-A3)</f>
        <v>0.86701819499758925</v>
      </c>
      <c r="I3">
        <f t="shared" ref="I3:I11" si="5">G3*H3</f>
        <v>38.658821377357043</v>
      </c>
    </row>
    <row r="4" spans="1:9">
      <c r="A4">
        <v>3</v>
      </c>
      <c r="B4" s="1">
        <v>44727</v>
      </c>
      <c r="C4">
        <f t="shared" si="0"/>
        <v>2.0147048223931208E-2</v>
      </c>
      <c r="D4">
        <v>1.2381052235800747</v>
      </c>
      <c r="E4">
        <f t="shared" si="1"/>
        <v>1238.1052235800746</v>
      </c>
      <c r="F4">
        <f t="shared" si="2"/>
        <v>24.944165645768894</v>
      </c>
      <c r="G4">
        <f t="shared" si="3"/>
        <v>74.832496937306686</v>
      </c>
      <c r="H4">
        <f t="shared" si="4"/>
        <v>0.8073136904572572</v>
      </c>
      <c r="I4">
        <f t="shared" si="5"/>
        <v>60.41329926858846</v>
      </c>
    </row>
    <row r="5" spans="1:9">
      <c r="A5">
        <v>4</v>
      </c>
      <c r="B5" s="1">
        <v>45092</v>
      </c>
      <c r="C5">
        <f t="shared" si="0"/>
        <v>2.0147048223931208E-2</v>
      </c>
      <c r="D5">
        <v>1.3185655720646243</v>
      </c>
      <c r="E5">
        <f t="shared" si="1"/>
        <v>1318.5655720646243</v>
      </c>
      <c r="F5">
        <f t="shared" si="2"/>
        <v>26.565204166801426</v>
      </c>
      <c r="G5">
        <f t="shared" si="3"/>
        <v>106.2608166672057</v>
      </c>
      <c r="H5">
        <f t="shared" si="4"/>
        <v>0.75172055045687758</v>
      </c>
      <c r="I5">
        <f t="shared" si="5"/>
        <v>79.878439597069217</v>
      </c>
    </row>
    <row r="6" spans="1:9">
      <c r="A6">
        <v>5</v>
      </c>
      <c r="B6" s="1">
        <v>45458</v>
      </c>
      <c r="C6">
        <f t="shared" si="0"/>
        <v>2.0147048223931208E-2</v>
      </c>
      <c r="D6">
        <v>1.4008569042321342</v>
      </c>
      <c r="E6">
        <f t="shared" si="1"/>
        <v>1400.8569042321342</v>
      </c>
      <c r="F6">
        <f t="shared" si="2"/>
        <v>28.223131604391789</v>
      </c>
      <c r="G6">
        <f t="shared" si="3"/>
        <v>141.11565802195895</v>
      </c>
      <c r="H6">
        <f t="shared" si="4"/>
        <v>0.69995565869709364</v>
      </c>
      <c r="I6">
        <f t="shared" si="5"/>
        <v>98.774703363234082</v>
      </c>
    </row>
    <row r="7" spans="1:9">
      <c r="A7">
        <v>6</v>
      </c>
      <c r="B7" s="1">
        <v>45823</v>
      </c>
      <c r="C7">
        <f t="shared" si="0"/>
        <v>2.0147048223931208E-2</v>
      </c>
      <c r="D7">
        <v>1.48469919396473</v>
      </c>
      <c r="E7">
        <f t="shared" si="1"/>
        <v>1484.6991939647301</v>
      </c>
      <c r="F7">
        <f t="shared" si="2"/>
        <v>29.912306258839209</v>
      </c>
      <c r="G7">
        <f t="shared" si="3"/>
        <v>179.47383755303525</v>
      </c>
      <c r="H7">
        <f t="shared" si="4"/>
        <v>0.65175539479971611</v>
      </c>
      <c r="I7">
        <f t="shared" si="5"/>
        <v>116.97304185059861</v>
      </c>
    </row>
    <row r="8" spans="1:9">
      <c r="A8">
        <v>7</v>
      </c>
      <c r="B8" s="1">
        <v>46188</v>
      </c>
      <c r="C8">
        <f t="shared" si="0"/>
        <v>2.0147048223931208E-2</v>
      </c>
      <c r="D8">
        <v>1.5731613365131021</v>
      </c>
      <c r="E8">
        <f t="shared" si="1"/>
        <v>1573.161336513102</v>
      </c>
      <c r="F8">
        <f t="shared" si="2"/>
        <v>31.694557310753538</v>
      </c>
      <c r="G8">
        <f t="shared" si="3"/>
        <v>221.86190117527477</v>
      </c>
      <c r="H8">
        <f t="shared" si="4"/>
        <v>0.60687429178190266</v>
      </c>
      <c r="I8">
        <f t="shared" si="5"/>
        <v>134.64228414913134</v>
      </c>
    </row>
    <row r="9" spans="1:9">
      <c r="A9">
        <v>8</v>
      </c>
      <c r="B9" s="1">
        <v>46553</v>
      </c>
      <c r="C9">
        <f t="shared" si="0"/>
        <v>2.0147048223931208E-2</v>
      </c>
      <c r="D9">
        <v>1.6673667632872384</v>
      </c>
      <c r="E9">
        <f t="shared" si="1"/>
        <v>1667.3667632872384</v>
      </c>
      <c r="F9">
        <f t="shared" si="2"/>
        <v>33.592518586928087</v>
      </c>
      <c r="G9">
        <f t="shared" si="3"/>
        <v>268.74014869542469</v>
      </c>
      <c r="H9">
        <f t="shared" si="4"/>
        <v>0.56508378597919096</v>
      </c>
      <c r="I9">
        <f t="shared" si="5"/>
        <v>151.86070066942133</v>
      </c>
    </row>
    <row r="10" spans="1:9">
      <c r="A10">
        <v>9</v>
      </c>
      <c r="B10" s="1">
        <v>46919</v>
      </c>
      <c r="C10">
        <f t="shared" si="0"/>
        <v>2.0147048223931208E-2</v>
      </c>
      <c r="D10">
        <v>1.767836008849077</v>
      </c>
      <c r="E10">
        <f t="shared" si="1"/>
        <v>1767.836008849077</v>
      </c>
      <c r="F10">
        <f t="shared" si="2"/>
        <v>35.616677322284431</v>
      </c>
      <c r="G10">
        <f t="shared" si="3"/>
        <v>320.55009590055988</v>
      </c>
      <c r="H10">
        <f t="shared" si="4"/>
        <v>0.5261710530511855</v>
      </c>
      <c r="I10">
        <f t="shared" si="5"/>
        <v>168.66418151565608</v>
      </c>
    </row>
    <row r="11" spans="1:9">
      <c r="A11">
        <v>10</v>
      </c>
      <c r="B11" s="1">
        <v>47284</v>
      </c>
      <c r="C11">
        <f t="shared" si="0"/>
        <v>2.0147048223931208E-2</v>
      </c>
      <c r="D11">
        <v>1.874944441015487</v>
      </c>
      <c r="E11">
        <f t="shared" si="1"/>
        <v>1874.944441015487</v>
      </c>
      <c r="F11">
        <f t="shared" si="2"/>
        <v>37.774596070330759</v>
      </c>
      <c r="G11">
        <f t="shared" si="3"/>
        <v>377.74596070330756</v>
      </c>
      <c r="H11">
        <f t="shared" si="4"/>
        <v>0.4899379241420822</v>
      </c>
      <c r="I11">
        <f t="shared" si="5"/>
        <v>185.07207184003505</v>
      </c>
    </row>
    <row r="12" spans="1:9">
      <c r="H12" t="s">
        <v>4</v>
      </c>
      <c r="I12">
        <f>SUM(I2:I11)</f>
        <v>1054.0972139385583</v>
      </c>
    </row>
    <row r="13" spans="1:9">
      <c r="A13" t="s">
        <v>98</v>
      </c>
      <c r="B13" s="8">
        <v>1000</v>
      </c>
      <c r="H13" t="s">
        <v>5</v>
      </c>
      <c r="I13">
        <f>(A11*B15)*H11</f>
        <v>9186.0638731286435</v>
      </c>
    </row>
    <row r="14" spans="1:9">
      <c r="A14" t="s">
        <v>79</v>
      </c>
      <c r="B14" s="11">
        <v>4.07E-2</v>
      </c>
      <c r="H14" t="s">
        <v>6</v>
      </c>
      <c r="I14">
        <f>SUM(I12:I13)</f>
        <v>10240.161087067201</v>
      </c>
    </row>
    <row r="15" spans="1:9">
      <c r="A15" t="s">
        <v>111</v>
      </c>
      <c r="B15">
        <f>B13*D11</f>
        <v>1874.944441015487</v>
      </c>
      <c r="H15" t="s">
        <v>89</v>
      </c>
      <c r="I15">
        <f>I14/B16</f>
        <v>9.2095408654164572</v>
      </c>
    </row>
    <row r="16" spans="1:9">
      <c r="A16" t="s">
        <v>90</v>
      </c>
      <c r="B16">
        <v>1111.9078830000001</v>
      </c>
      <c r="H16" t="s">
        <v>18</v>
      </c>
      <c r="I16">
        <f>I15/(1+B17)</f>
        <v>8.575354550081796</v>
      </c>
    </row>
    <row r="17" spans="1:2">
      <c r="A17" t="s">
        <v>101</v>
      </c>
      <c r="B17">
        <v>7.3954530000000004E-2</v>
      </c>
    </row>
    <row r="18" spans="1:2">
      <c r="A18" t="s">
        <v>119</v>
      </c>
      <c r="B18">
        <f>F4/B16</f>
        <v>2.2433662021055113E-2</v>
      </c>
    </row>
    <row r="19" spans="1:2">
      <c r="A19" t="s">
        <v>19</v>
      </c>
      <c r="B19" t="s">
        <v>133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A7751-E9C5-45DC-BE6B-220A2801D65C}">
  <dimension ref="A1:J17"/>
  <sheetViews>
    <sheetView workbookViewId="0">
      <selection activeCell="B17" sqref="B17"/>
    </sheetView>
  </sheetViews>
  <sheetFormatPr defaultRowHeight="15"/>
  <cols>
    <col min="2" max="2" width="10.5703125" customWidth="1"/>
    <col min="4" max="4" width="10.7109375" bestFit="1" customWidth="1"/>
  </cols>
  <sheetData>
    <row r="1" spans="1:10">
      <c r="A1" t="s">
        <v>96</v>
      </c>
      <c r="B1" t="s">
        <v>0</v>
      </c>
      <c r="C1" t="s">
        <v>121</v>
      </c>
      <c r="D1" t="s">
        <v>141</v>
      </c>
      <c r="E1" t="s">
        <v>116</v>
      </c>
      <c r="F1" t="s">
        <v>142</v>
      </c>
      <c r="G1" t="s">
        <v>107</v>
      </c>
      <c r="H1" t="s">
        <v>12</v>
      </c>
      <c r="I1" t="s">
        <v>3</v>
      </c>
      <c r="J1" t="s">
        <v>102</v>
      </c>
    </row>
    <row r="2" spans="1:10">
      <c r="A2">
        <v>0</v>
      </c>
      <c r="B2" s="1">
        <v>43684</v>
      </c>
      <c r="C2">
        <v>5.8999999999999997E-2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</v>
      </c>
      <c r="B3" s="1">
        <v>43845</v>
      </c>
      <c r="C3">
        <v>4.3999999999999997E-2</v>
      </c>
      <c r="D3" s="15">
        <f>(1+C3)^(NETWORKDAYS.INTL(B2,B3)/252)-1</f>
        <v>2.0018775858324123E-2</v>
      </c>
      <c r="E3">
        <v>1.0900000000000001</v>
      </c>
      <c r="F3">
        <f>D3*E3</f>
        <v>2.1820465685573297E-2</v>
      </c>
      <c r="G3">
        <f>F3*$B$14</f>
        <v>21.820465685573296</v>
      </c>
      <c r="H3">
        <f>A3*G3</f>
        <v>21.820465685573296</v>
      </c>
      <c r="I3">
        <f>(1+$B$16)^(-A3)</f>
        <v>0.96188071534491681</v>
      </c>
      <c r="J3">
        <f>H3*I3</f>
        <v>20.988685142798452</v>
      </c>
    </row>
    <row r="4" spans="1:10">
      <c r="A4">
        <v>2</v>
      </c>
      <c r="B4" s="1">
        <v>44027</v>
      </c>
      <c r="C4">
        <v>2.1499999999999998E-2</v>
      </c>
      <c r="D4" s="15">
        <f t="shared" ref="D4:D12" si="0">(1+C4)^(NETWORKDAYS.INTL(B3,B4)/252)-1</f>
        <v>1.1119500969064555E-2</v>
      </c>
      <c r="E4">
        <v>1.0900000000000001</v>
      </c>
      <c r="F4">
        <f t="shared" ref="F4:F12" si="1">D4*E4</f>
        <v>1.2120256056280367E-2</v>
      </c>
      <c r="G4">
        <f t="shared" ref="G4:G12" si="2">F4*$B$14</f>
        <v>12.120256056280367</v>
      </c>
      <c r="H4">
        <f t="shared" ref="H4:H12" si="3">A4*G4</f>
        <v>24.240512112560733</v>
      </c>
      <c r="I4">
        <f t="shared" ref="I4:I12" si="4">(1+$B$16)^(-A4)</f>
        <v>0.92521451055244874</v>
      </c>
      <c r="J4">
        <f t="shared" ref="J4:J12" si="5">H4*I4</f>
        <v>22.427673549763583</v>
      </c>
    </row>
    <row r="5" spans="1:10">
      <c r="A5">
        <v>3</v>
      </c>
      <c r="B5" s="1">
        <v>44211</v>
      </c>
      <c r="C5">
        <v>1.9E-2</v>
      </c>
      <c r="D5" s="15">
        <f t="shared" si="0"/>
        <v>9.9832066411607023E-3</v>
      </c>
      <c r="E5">
        <v>1.0900000000000001</v>
      </c>
      <c r="F5">
        <f t="shared" si="1"/>
        <v>1.0881695238865166E-2</v>
      </c>
      <c r="G5">
        <f t="shared" si="2"/>
        <v>10.881695238865166</v>
      </c>
      <c r="H5">
        <f t="shared" si="3"/>
        <v>32.645085716595503</v>
      </c>
      <c r="I5">
        <f t="shared" si="4"/>
        <v>0.88994599525768658</v>
      </c>
      <c r="J5">
        <f t="shared" si="5"/>
        <v>29.052363298328075</v>
      </c>
    </row>
    <row r="6" spans="1:10">
      <c r="A6">
        <v>4</v>
      </c>
      <c r="B6" s="1">
        <v>44392</v>
      </c>
      <c r="C6">
        <v>4.1500000000000002E-2</v>
      </c>
      <c r="D6" s="15">
        <f t="shared" si="0"/>
        <v>2.11979706279386E-2</v>
      </c>
      <c r="E6">
        <v>1.0900000000000001</v>
      </c>
      <c r="F6">
        <f t="shared" si="1"/>
        <v>2.3105787984453077E-2</v>
      </c>
      <c r="G6">
        <f t="shared" si="2"/>
        <v>23.105787984453077</v>
      </c>
      <c r="H6">
        <f t="shared" si="3"/>
        <v>92.423151937812307</v>
      </c>
      <c r="I6">
        <f t="shared" si="4"/>
        <v>0.85602189053680744</v>
      </c>
      <c r="J6">
        <f t="shared" si="5"/>
        <v>79.116241251176689</v>
      </c>
    </row>
    <row r="7" spans="1:10">
      <c r="A7">
        <v>5</v>
      </c>
      <c r="B7" s="1">
        <v>44576</v>
      </c>
      <c r="C7">
        <v>9.1499999999999998E-2</v>
      </c>
      <c r="D7" s="15">
        <f t="shared" si="0"/>
        <v>4.692892095612633E-2</v>
      </c>
      <c r="E7">
        <v>1.0900000000000001</v>
      </c>
      <c r="F7">
        <f t="shared" si="1"/>
        <v>5.1152523842177701E-2</v>
      </c>
      <c r="G7">
        <f t="shared" si="2"/>
        <v>51.1525238421777</v>
      </c>
      <c r="H7">
        <f t="shared" si="3"/>
        <v>255.76261921088849</v>
      </c>
      <c r="I7">
        <f t="shared" si="4"/>
        <v>0.82339094842045235</v>
      </c>
      <c r="J7">
        <f t="shared" si="5"/>
        <v>210.59262560255249</v>
      </c>
    </row>
    <row r="8" spans="1:10">
      <c r="A8">
        <v>6</v>
      </c>
      <c r="B8" s="1">
        <v>44757</v>
      </c>
      <c r="C8">
        <v>0.13150000000000001</v>
      </c>
      <c r="D8" s="15">
        <f t="shared" si="0"/>
        <v>6.5807909322654234E-2</v>
      </c>
      <c r="E8">
        <v>1.0900000000000001</v>
      </c>
      <c r="F8">
        <f t="shared" si="1"/>
        <v>7.1730621161693126E-2</v>
      </c>
      <c r="G8">
        <f t="shared" si="2"/>
        <v>71.730621161693122</v>
      </c>
      <c r="H8">
        <f t="shared" si="3"/>
        <v>430.3837269701587</v>
      </c>
      <c r="I8">
        <f t="shared" si="4"/>
        <v>0.79200387447519416</v>
      </c>
      <c r="J8">
        <f t="shared" si="5"/>
        <v>340.8655792714398</v>
      </c>
    </row>
    <row r="9" spans="1:10">
      <c r="A9">
        <v>7</v>
      </c>
      <c r="B9" s="1">
        <v>44941</v>
      </c>
      <c r="C9">
        <v>0.13672000000000001</v>
      </c>
      <c r="D9" s="15">
        <f t="shared" si="0"/>
        <v>6.8885010430533633E-2</v>
      </c>
      <c r="E9">
        <v>1.0900000000000001</v>
      </c>
      <c r="F9">
        <f t="shared" si="1"/>
        <v>7.5084661369281672E-2</v>
      </c>
      <c r="G9">
        <f t="shared" si="2"/>
        <v>75.084661369281676</v>
      </c>
      <c r="H9">
        <f t="shared" si="3"/>
        <v>525.59262958497175</v>
      </c>
      <c r="I9">
        <f t="shared" si="4"/>
        <v>0.76181325333614547</v>
      </c>
      <c r="J9">
        <f t="shared" si="5"/>
        <v>400.40343107362696</v>
      </c>
    </row>
    <row r="10" spans="1:10">
      <c r="A10">
        <v>8</v>
      </c>
      <c r="B10" s="1">
        <v>45122</v>
      </c>
      <c r="C10">
        <v>0.1361</v>
      </c>
      <c r="D10" s="15">
        <f t="shared" si="0"/>
        <v>6.8040958507421756E-2</v>
      </c>
      <c r="E10">
        <v>1.0900000000000001</v>
      </c>
      <c r="F10">
        <f t="shared" si="1"/>
        <v>7.4164644773089719E-2</v>
      </c>
      <c r="G10">
        <f t="shared" si="2"/>
        <v>74.164644773089719</v>
      </c>
      <c r="H10">
        <f t="shared" si="3"/>
        <v>593.31715818471775</v>
      </c>
      <c r="I10">
        <f t="shared" si="4"/>
        <v>0.73277347707820983</v>
      </c>
      <c r="J10">
        <f t="shared" si="5"/>
        <v>434.76707701317787</v>
      </c>
    </row>
    <row r="11" spans="1:10">
      <c r="A11">
        <v>9</v>
      </c>
      <c r="B11" s="1">
        <v>45306</v>
      </c>
      <c r="C11">
        <v>0.12934999999999999</v>
      </c>
      <c r="D11" s="15">
        <f t="shared" si="0"/>
        <v>6.5276787347437359E-2</v>
      </c>
      <c r="E11">
        <v>1.0900000000000001</v>
      </c>
      <c r="F11">
        <f t="shared" si="1"/>
        <v>7.1151698208706732E-2</v>
      </c>
      <c r="G11">
        <f t="shared" si="2"/>
        <v>71.151698208706733</v>
      </c>
      <c r="H11">
        <f t="shared" si="3"/>
        <v>640.36528387836063</v>
      </c>
      <c r="I11">
        <f t="shared" si="4"/>
        <v>0.70484067631777048</v>
      </c>
      <c r="J11">
        <f t="shared" si="5"/>
        <v>451.35549977924478</v>
      </c>
    </row>
    <row r="12" spans="1:10">
      <c r="A12">
        <v>10</v>
      </c>
      <c r="B12" s="1">
        <v>45488</v>
      </c>
      <c r="C12">
        <v>0.1205</v>
      </c>
      <c r="D12" s="15">
        <f t="shared" si="0"/>
        <v>6.0929009015429525E-2</v>
      </c>
      <c r="E12">
        <v>1.0900000000000001</v>
      </c>
      <c r="F12">
        <f t="shared" si="1"/>
        <v>6.6412619826818189E-2</v>
      </c>
      <c r="G12">
        <f t="shared" si="2"/>
        <v>66.412619826818187</v>
      </c>
      <c r="H12">
        <f t="shared" si="3"/>
        <v>664.12619826818184</v>
      </c>
      <c r="I12">
        <f t="shared" si="4"/>
        <v>0.67797265394073203</v>
      </c>
      <c r="J12">
        <f t="shared" si="5"/>
        <v>450.25940119144803</v>
      </c>
    </row>
    <row r="13" spans="1:10">
      <c r="I13" t="s">
        <v>4</v>
      </c>
      <c r="J13">
        <f>SUM(J3:J12)</f>
        <v>2439.8285771735568</v>
      </c>
    </row>
    <row r="14" spans="1:10">
      <c r="A14" t="s">
        <v>98</v>
      </c>
      <c r="B14" s="8">
        <v>1000</v>
      </c>
      <c r="I14" t="s">
        <v>5</v>
      </c>
      <c r="J14">
        <f>(A12*B14)*I12</f>
        <v>6779.7265394073202</v>
      </c>
    </row>
    <row r="15" spans="1:10">
      <c r="A15" t="s">
        <v>90</v>
      </c>
      <c r="B15" s="8">
        <v>1045.1072059999999</v>
      </c>
      <c r="I15" t="s">
        <v>6</v>
      </c>
      <c r="J15">
        <f>SUM(J13:J14)</f>
        <v>9219.5551165808774</v>
      </c>
    </row>
    <row r="16" spans="1:10">
      <c r="A16" t="s">
        <v>101</v>
      </c>
      <c r="B16">
        <v>3.9629949999999997E-2</v>
      </c>
      <c r="I16" t="s">
        <v>89</v>
      </c>
      <c r="J16">
        <f>(J15/B15)/2</f>
        <v>4.4108178872229873</v>
      </c>
    </row>
    <row r="17" spans="1:10">
      <c r="A17" t="s">
        <v>119</v>
      </c>
      <c r="B17">
        <f>G8/B15</f>
        <v>6.8634701540554802E-2</v>
      </c>
      <c r="I17" s="6" t="s">
        <v>18</v>
      </c>
      <c r="J17">
        <f>J16/(1+B16)</f>
        <v>4.2426806646182014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73B2-2FEB-4FBC-99C6-B355C9EA992E}">
  <dimension ref="A1:J17"/>
  <sheetViews>
    <sheetView workbookViewId="0">
      <selection activeCell="B16" sqref="B16"/>
    </sheetView>
  </sheetViews>
  <sheetFormatPr defaultRowHeight="15"/>
  <cols>
    <col min="2" max="2" width="13.28515625" customWidth="1"/>
    <col min="4" max="4" width="10.7109375" bestFit="1" customWidth="1"/>
  </cols>
  <sheetData>
    <row r="1" spans="1:10">
      <c r="A1" t="s">
        <v>96</v>
      </c>
      <c r="B1" t="s">
        <v>0</v>
      </c>
      <c r="C1" t="s">
        <v>121</v>
      </c>
      <c r="D1" t="s">
        <v>141</v>
      </c>
      <c r="E1" t="s">
        <v>116</v>
      </c>
      <c r="F1" t="s">
        <v>142</v>
      </c>
      <c r="G1" t="s">
        <v>107</v>
      </c>
      <c r="H1" t="s">
        <v>12</v>
      </c>
      <c r="I1" t="s">
        <v>3</v>
      </c>
      <c r="J1" t="s">
        <v>102</v>
      </c>
    </row>
    <row r="2" spans="1:10">
      <c r="A2">
        <v>0</v>
      </c>
      <c r="B2" s="1">
        <v>43616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</v>
      </c>
      <c r="B3" s="1">
        <v>43784</v>
      </c>
      <c r="C3">
        <v>4.9000000000000002E-2</v>
      </c>
      <c r="D3" s="15">
        <f>(1+C3)^(NETWORKDAYS.INTL(B2,B3)/252)-1</f>
        <v>2.3235342003012027E-2</v>
      </c>
      <c r="E3">
        <v>1.06</v>
      </c>
      <c r="F3">
        <f>D3*E3</f>
        <v>2.4629462523192751E-2</v>
      </c>
      <c r="G3">
        <f>$B$13*F3</f>
        <v>246.29462523192751</v>
      </c>
      <c r="H3">
        <f>A3*G3</f>
        <v>246.29462523192751</v>
      </c>
      <c r="I3">
        <f>(1+$B$15)^(-A3)</f>
        <v>0.96753434630825275</v>
      </c>
      <c r="J3">
        <f>H3*I3</f>
        <v>238.29850922300909</v>
      </c>
    </row>
    <row r="4" spans="1:10">
      <c r="A4">
        <v>2</v>
      </c>
      <c r="B4" s="1">
        <v>43966</v>
      </c>
      <c r="C4">
        <v>2.9000000000000001E-2</v>
      </c>
      <c r="D4" s="15">
        <f t="shared" ref="D4:D12" si="0">(1+C4)^(NETWORKDAYS.INTL(B3,B4)/252)-1</f>
        <v>1.4971912676972066E-2</v>
      </c>
      <c r="E4">
        <v>1.06</v>
      </c>
      <c r="F4">
        <f t="shared" ref="F4:F11" si="1">D4*E4</f>
        <v>1.5870227437590392E-2</v>
      </c>
      <c r="G4">
        <f t="shared" ref="G4:G11" si="2">$B$13*F4</f>
        <v>158.70227437590393</v>
      </c>
      <c r="H4">
        <f t="shared" ref="H4:H11" si="3">A4*G4</f>
        <v>317.40454875180785</v>
      </c>
      <c r="I4">
        <f t="shared" ref="I4:I11" si="4">(1+$B$15)^(-A4)</f>
        <v>0.936122711286138</v>
      </c>
      <c r="J4">
        <f t="shared" ref="J4:J11" si="5">H4*I4</f>
        <v>297.12960675209553</v>
      </c>
    </row>
    <row r="5" spans="1:10">
      <c r="A5">
        <v>3</v>
      </c>
      <c r="B5" s="1">
        <v>44150</v>
      </c>
      <c r="C5">
        <v>1.9E-2</v>
      </c>
      <c r="D5" s="15">
        <f t="shared" si="0"/>
        <v>9.8323476256725328E-3</v>
      </c>
      <c r="E5">
        <v>1.06</v>
      </c>
      <c r="F5">
        <f t="shared" si="1"/>
        <v>1.0422288483212885E-2</v>
      </c>
      <c r="G5">
        <f t="shared" si="2"/>
        <v>104.22288483212884</v>
      </c>
      <c r="H5">
        <f t="shared" si="3"/>
        <v>312.66865449638652</v>
      </c>
      <c r="I5">
        <f t="shared" si="4"/>
        <v>0.90573087552854281</v>
      </c>
      <c r="J5">
        <f t="shared" si="5"/>
        <v>283.19365418734361</v>
      </c>
    </row>
    <row r="6" spans="1:10">
      <c r="A6">
        <v>4</v>
      </c>
      <c r="B6" s="1">
        <v>44331</v>
      </c>
      <c r="C6">
        <v>3.4000000000000002E-2</v>
      </c>
      <c r="D6" s="15">
        <f t="shared" si="0"/>
        <v>1.7397706140109825E-2</v>
      </c>
      <c r="E6">
        <v>1.06</v>
      </c>
      <c r="F6">
        <f t="shared" si="1"/>
        <v>1.8441568508516415E-2</v>
      </c>
      <c r="G6">
        <f t="shared" si="2"/>
        <v>184.41568508516414</v>
      </c>
      <c r="H6">
        <f t="shared" si="3"/>
        <v>737.66274034065657</v>
      </c>
      <c r="I6">
        <f t="shared" si="4"/>
        <v>0.87632573058571006</v>
      </c>
      <c r="J6">
        <f t="shared" si="5"/>
        <v>646.43283985488279</v>
      </c>
    </row>
    <row r="7" spans="1:10">
      <c r="A7">
        <v>5</v>
      </c>
      <c r="B7" s="1">
        <v>44515</v>
      </c>
      <c r="C7">
        <v>7.6499999999999999E-2</v>
      </c>
      <c r="D7" s="15">
        <f t="shared" si="0"/>
        <v>3.9063803573089029E-2</v>
      </c>
      <c r="E7">
        <v>1.06</v>
      </c>
      <c r="F7">
        <f t="shared" si="1"/>
        <v>4.1407631787474371E-2</v>
      </c>
      <c r="G7">
        <f t="shared" si="2"/>
        <v>414.07631787474372</v>
      </c>
      <c r="H7">
        <f t="shared" si="3"/>
        <v>2070.3815893737187</v>
      </c>
      <c r="I7">
        <f t="shared" si="4"/>
        <v>0.84787524289534699</v>
      </c>
      <c r="J7">
        <f t="shared" si="5"/>
        <v>1755.4252929762963</v>
      </c>
    </row>
    <row r="8" spans="1:10">
      <c r="A8">
        <v>6</v>
      </c>
      <c r="B8" s="1">
        <v>44696</v>
      </c>
      <c r="C8">
        <v>0.1265</v>
      </c>
      <c r="D8" s="15">
        <f t="shared" si="0"/>
        <v>6.3375691247208543E-2</v>
      </c>
      <c r="E8">
        <v>1.06</v>
      </c>
      <c r="F8">
        <f t="shared" si="1"/>
        <v>6.7178232722041056E-2</v>
      </c>
      <c r="G8">
        <f t="shared" si="2"/>
        <v>671.78232722041059</v>
      </c>
      <c r="H8">
        <f t="shared" si="3"/>
        <v>4030.6939633224638</v>
      </c>
      <c r="I8">
        <f t="shared" si="4"/>
        <v>0.82034841888570065</v>
      </c>
      <c r="J8">
        <f t="shared" si="5"/>
        <v>3306.5734198237215</v>
      </c>
    </row>
    <row r="9" spans="1:10">
      <c r="A9">
        <v>7</v>
      </c>
      <c r="B9" s="1">
        <v>44880</v>
      </c>
      <c r="C9">
        <v>0.13650000000000001</v>
      </c>
      <c r="D9" s="15">
        <f t="shared" si="0"/>
        <v>6.9320276311037654E-2</v>
      </c>
      <c r="E9">
        <v>1.06</v>
      </c>
      <c r="F9">
        <f t="shared" si="1"/>
        <v>7.3479492889699918E-2</v>
      </c>
      <c r="G9">
        <f t="shared" si="2"/>
        <v>734.79492889699918</v>
      </c>
      <c r="H9">
        <f t="shared" si="3"/>
        <v>5143.564502278994</v>
      </c>
      <c r="I9">
        <f t="shared" si="4"/>
        <v>0.79371527121158525</v>
      </c>
      <c r="J9">
        <f t="shared" si="5"/>
        <v>4082.5256939206542</v>
      </c>
    </row>
    <row r="10" spans="1:10">
      <c r="A10">
        <v>8</v>
      </c>
      <c r="B10" s="1">
        <v>45061</v>
      </c>
      <c r="C10">
        <v>0.13694999999999999</v>
      </c>
      <c r="D10" s="15">
        <f t="shared" si="0"/>
        <v>6.8453107700698235E-2</v>
      </c>
      <c r="E10">
        <v>1.06</v>
      </c>
      <c r="F10">
        <f t="shared" si="1"/>
        <v>7.2560294162740138E-2</v>
      </c>
      <c r="G10">
        <f t="shared" si="2"/>
        <v>725.60294162740138</v>
      </c>
      <c r="H10">
        <f t="shared" si="3"/>
        <v>5804.823533019211</v>
      </c>
      <c r="I10">
        <f t="shared" si="4"/>
        <v>0.76794678608657863</v>
      </c>
      <c r="J10">
        <f t="shared" si="5"/>
        <v>4457.7955759818415</v>
      </c>
    </row>
    <row r="11" spans="1:10">
      <c r="A11">
        <v>9</v>
      </c>
      <c r="B11" s="1">
        <v>45245</v>
      </c>
      <c r="C11">
        <v>0.13150999999999999</v>
      </c>
      <c r="D11" s="15">
        <f t="shared" si="0"/>
        <v>6.7381593339385093E-2</v>
      </c>
      <c r="E11">
        <v>1.06</v>
      </c>
      <c r="F11">
        <f t="shared" si="1"/>
        <v>7.1424488939748204E-2</v>
      </c>
      <c r="G11">
        <f t="shared" si="2"/>
        <v>714.2448893974821</v>
      </c>
      <c r="H11">
        <f t="shared" si="3"/>
        <v>6428.2040045773392</v>
      </c>
      <c r="I11">
        <f t="shared" si="4"/>
        <v>0.74301489167580137</v>
      </c>
      <c r="J11">
        <f t="shared" si="5"/>
        <v>4776.2513021309842</v>
      </c>
    </row>
    <row r="12" spans="1:10">
      <c r="D12" s="15"/>
      <c r="I12" t="s">
        <v>4</v>
      </c>
      <c r="J12">
        <f>SUM(J3:J11)</f>
        <v>19843.625894850829</v>
      </c>
    </row>
    <row r="13" spans="1:10">
      <c r="A13" t="s">
        <v>98</v>
      </c>
      <c r="B13" s="8">
        <v>10000</v>
      </c>
      <c r="I13" t="s">
        <v>5</v>
      </c>
      <c r="J13">
        <f>(A11*B13)*I11</f>
        <v>66871.340250822119</v>
      </c>
    </row>
    <row r="14" spans="1:10">
      <c r="A14" t="s">
        <v>90</v>
      </c>
      <c r="B14" s="13">
        <v>10646.258518000001</v>
      </c>
      <c r="I14" t="s">
        <v>6</v>
      </c>
      <c r="J14">
        <f>SUM(J12:J13)</f>
        <v>86714.966145672952</v>
      </c>
    </row>
    <row r="15" spans="1:10">
      <c r="A15" t="s">
        <v>101</v>
      </c>
      <c r="B15">
        <v>3.3555040000000001E-2</v>
      </c>
      <c r="I15" t="s">
        <v>89</v>
      </c>
      <c r="J15">
        <f>(J14/B14)/2</f>
        <v>4.0725559124391415</v>
      </c>
    </row>
    <row r="16" spans="1:10">
      <c r="A16" t="s">
        <v>119</v>
      </c>
      <c r="B16">
        <f>G8/B14</f>
        <v>6.3100320745039656E-2</v>
      </c>
      <c r="I16" t="s">
        <v>18</v>
      </c>
      <c r="J16">
        <f>J15/(1+B15)</f>
        <v>3.9403377225456144</v>
      </c>
    </row>
    <row r="17" spans="7:7">
      <c r="G17" s="6"/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73D69-0582-4415-A31F-AA1B96620C7C}">
  <dimension ref="A1:J18"/>
  <sheetViews>
    <sheetView workbookViewId="0">
      <selection activeCell="B15" sqref="B15"/>
    </sheetView>
  </sheetViews>
  <sheetFormatPr defaultRowHeight="15"/>
  <cols>
    <col min="2" max="2" width="12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44392</v>
      </c>
      <c r="C2">
        <f>(1+$B$10)^(1/2)-1</f>
        <v>1.8331969448077245E-2</v>
      </c>
      <c r="D2">
        <v>1.115074646418494</v>
      </c>
      <c r="E2">
        <f>$B$9*D2</f>
        <v>1115.074646418494</v>
      </c>
      <c r="F2">
        <f>C2*E2</f>
        <v>20.441514350469369</v>
      </c>
      <c r="G2">
        <f>A2*F2</f>
        <v>20.441514350469369</v>
      </c>
      <c r="H2">
        <f>(1+$B$13)^(-A2)</f>
        <v>0.93393245972294858</v>
      </c>
      <c r="I2">
        <f>G2*H2</f>
        <v>19.090993777795809</v>
      </c>
    </row>
    <row r="3" spans="1:9">
      <c r="A3">
        <v>2</v>
      </c>
      <c r="B3" s="1">
        <v>44757</v>
      </c>
      <c r="C3">
        <f t="shared" ref="C3:C7" si="0">(1+$B$10)^(1/2)-1</f>
        <v>1.8331969448077245E-2</v>
      </c>
      <c r="D3">
        <v>1.227354135202845</v>
      </c>
      <c r="E3">
        <f t="shared" ref="E3:E7" si="1">$B$9*D3</f>
        <v>1227.3541352028449</v>
      </c>
      <c r="F3">
        <f t="shared" ref="F3:F7" si="2">C3*E3</f>
        <v>22.499818508509822</v>
      </c>
      <c r="G3">
        <f t="shared" ref="G3:G7" si="3">A3*F3</f>
        <v>44.999637017019644</v>
      </c>
      <c r="H3">
        <f t="shared" ref="H3:H7" si="4">(1+$B$13)^(-A3)</f>
        <v>0.87222983932415687</v>
      </c>
      <c r="I3">
        <f t="shared" ref="I3:I7" si="5">G3*H3</f>
        <v>39.250026165000428</v>
      </c>
    </row>
    <row r="4" spans="1:9">
      <c r="A4">
        <v>3</v>
      </c>
      <c r="B4" s="1">
        <v>45122</v>
      </c>
      <c r="C4">
        <f t="shared" si="0"/>
        <v>1.8331969448077245E-2</v>
      </c>
      <c r="D4">
        <v>1.3206860160707237</v>
      </c>
      <c r="E4">
        <f t="shared" si="1"/>
        <v>1320.6860160707238</v>
      </c>
      <c r="F4">
        <f t="shared" si="2"/>
        <v>24.210775697111362</v>
      </c>
      <c r="G4">
        <f t="shared" si="3"/>
        <v>72.632327091334091</v>
      </c>
      <c r="H4">
        <f t="shared" si="4"/>
        <v>0.81460375928376205</v>
      </c>
      <c r="I4">
        <f t="shared" si="5"/>
        <v>59.166566694128583</v>
      </c>
    </row>
    <row r="5" spans="1:9">
      <c r="A5">
        <v>4</v>
      </c>
      <c r="B5" s="1">
        <v>45488</v>
      </c>
      <c r="C5">
        <f t="shared" si="0"/>
        <v>1.8331969448077245E-2</v>
      </c>
      <c r="D5">
        <v>1.4025692490237218</v>
      </c>
      <c r="E5">
        <f t="shared" si="1"/>
        <v>1402.5692490237218</v>
      </c>
      <c r="F5">
        <f t="shared" si="2"/>
        <v>25.711856621915516</v>
      </c>
      <c r="G5">
        <f t="shared" si="3"/>
        <v>102.84742648766206</v>
      </c>
      <c r="H5">
        <f t="shared" si="4"/>
        <v>0.76078489260744453</v>
      </c>
      <c r="I5">
        <f t="shared" si="5"/>
        <v>78.244768315368034</v>
      </c>
    </row>
    <row r="6" spans="1:9">
      <c r="A6">
        <v>5</v>
      </c>
      <c r="B6" s="1">
        <v>45853</v>
      </c>
      <c r="C6">
        <f t="shared" si="0"/>
        <v>1.8331969448077245E-2</v>
      </c>
      <c r="D6">
        <v>1.4863748882918746</v>
      </c>
      <c r="E6">
        <f t="shared" si="1"/>
        <v>1486.3748882918746</v>
      </c>
      <c r="F6">
        <f t="shared" si="2"/>
        <v>27.248179040555875</v>
      </c>
      <c r="G6">
        <f t="shared" si="3"/>
        <v>136.24089520277937</v>
      </c>
      <c r="H6">
        <f t="shared" si="4"/>
        <v>0.71052170607292997</v>
      </c>
      <c r="I6">
        <f t="shared" si="5"/>
        <v>96.802113296382061</v>
      </c>
    </row>
    <row r="7" spans="1:9">
      <c r="A7">
        <v>6</v>
      </c>
      <c r="B7" s="1">
        <v>46218</v>
      </c>
      <c r="C7">
        <f t="shared" si="0"/>
        <v>1.8331969448077245E-2</v>
      </c>
      <c r="D7">
        <v>1.5749319614998669</v>
      </c>
      <c r="E7">
        <f t="shared" si="1"/>
        <v>1574.9319614998669</v>
      </c>
      <c r="F7">
        <f t="shared" si="2"/>
        <v>28.871604601015928</v>
      </c>
      <c r="G7">
        <f t="shared" si="3"/>
        <v>173.22962760609556</v>
      </c>
      <c r="H7">
        <f t="shared" si="4"/>
        <v>0.66357928463923732</v>
      </c>
      <c r="I7">
        <f t="shared" si="5"/>
        <v>114.95159236517436</v>
      </c>
    </row>
    <row r="8" spans="1:9">
      <c r="H8" t="s">
        <v>4</v>
      </c>
      <c r="I8">
        <f>SUM(I2:I7)</f>
        <v>407.50606061384929</v>
      </c>
    </row>
    <row r="9" spans="1:9">
      <c r="A9" t="s">
        <v>98</v>
      </c>
      <c r="B9" s="8">
        <v>1000</v>
      </c>
      <c r="H9" t="s">
        <v>5</v>
      </c>
      <c r="I9">
        <f>(A7*B11)*H7</f>
        <v>6270.5533462053154</v>
      </c>
    </row>
    <row r="10" spans="1:9">
      <c r="A10" t="s">
        <v>79</v>
      </c>
      <c r="B10" s="10">
        <v>3.6999999999999998E-2</v>
      </c>
      <c r="H10" t="s">
        <v>6</v>
      </c>
      <c r="I10">
        <f>SUM(I8:I9)</f>
        <v>6678.0594068191649</v>
      </c>
    </row>
    <row r="11" spans="1:9">
      <c r="A11" t="s">
        <v>111</v>
      </c>
      <c r="B11">
        <f>B9*D7</f>
        <v>1574.9319614998669</v>
      </c>
      <c r="H11" t="s">
        <v>89</v>
      </c>
      <c r="I11">
        <f>I10/B12</f>
        <v>5.7505229233602932</v>
      </c>
    </row>
    <row r="12" spans="1:9">
      <c r="A12" t="s">
        <v>90</v>
      </c>
      <c r="B12">
        <v>1161.296024</v>
      </c>
      <c r="H12" t="s">
        <v>18</v>
      </c>
      <c r="I12">
        <f>I11/(1+B13)</f>
        <v>5.370600018507079</v>
      </c>
    </row>
    <row r="13" spans="1:9">
      <c r="A13" t="s">
        <v>101</v>
      </c>
      <c r="B13">
        <v>7.0741239999999997E-2</v>
      </c>
    </row>
    <row r="14" spans="1:9">
      <c r="A14" t="s">
        <v>119</v>
      </c>
      <c r="B14">
        <f>F3/B12</f>
        <v>1.9374748594256638E-2</v>
      </c>
    </row>
    <row r="15" spans="1:9">
      <c r="A15" t="s">
        <v>19</v>
      </c>
      <c r="B15" t="s">
        <v>109</v>
      </c>
    </row>
    <row r="18" spans="10:10" ht="18">
      <c r="J18" s="7"/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11150-8FE1-45D2-969B-D7A9FF9A5A5E}">
  <dimension ref="A1:I20"/>
  <sheetViews>
    <sheetView workbookViewId="0">
      <selection activeCell="B17" sqref="B17"/>
    </sheetView>
  </sheetViews>
  <sheetFormatPr defaultRowHeight="15"/>
  <cols>
    <col min="1" max="1" width="10" bestFit="1" customWidth="1"/>
    <col min="2" max="2" width="10.5703125" customWidth="1"/>
    <col min="7" max="7" width="9.140625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44392</v>
      </c>
      <c r="C2">
        <f>(1+$B$13)^(1/2)-1</f>
        <v>1.9313494465760472E-2</v>
      </c>
      <c r="D2">
        <v>1.115074646418494</v>
      </c>
      <c r="E2">
        <f>$B$12*D2</f>
        <v>1115.074646418494</v>
      </c>
      <c r="F2">
        <f>C2*E2</f>
        <v>21.5359880125134</v>
      </c>
      <c r="G2">
        <f>A2*F2</f>
        <v>21.5359880125134</v>
      </c>
      <c r="H2">
        <f>(1+$B$16)^(-A2)</f>
        <v>0.92522249125944622</v>
      </c>
      <c r="I2">
        <f>G2*H2</f>
        <v>19.925580480671218</v>
      </c>
    </row>
    <row r="3" spans="1:9">
      <c r="A3">
        <v>2</v>
      </c>
      <c r="B3" s="1">
        <v>44757</v>
      </c>
      <c r="C3">
        <f t="shared" ref="C3:C10" si="0">(1+$B$13)^(1/2)-1</f>
        <v>1.9313494465760472E-2</v>
      </c>
      <c r="D3">
        <v>1.227354135202845</v>
      </c>
      <c r="E3">
        <f t="shared" ref="E3:E10" si="1">$B$12*D3</f>
        <v>1227.3541352028449</v>
      </c>
      <c r="F3">
        <f t="shared" ref="F3:F10" si="2">C3*E3</f>
        <v>23.704497297768373</v>
      </c>
      <c r="G3">
        <f t="shared" ref="G3:G10" si="3">A3*F3</f>
        <v>47.408994595536747</v>
      </c>
      <c r="H3">
        <f t="shared" ref="H3:H10" si="4">(1+$B$16)^(-A3)</f>
        <v>0.85603665833233611</v>
      </c>
      <c r="I3">
        <f t="shared" ref="I3:I10" si="5">G3*H3</f>
        <v>40.58383730845906</v>
      </c>
    </row>
    <row r="4" spans="1:9">
      <c r="A4">
        <v>3</v>
      </c>
      <c r="B4" s="1">
        <v>45122</v>
      </c>
      <c r="C4">
        <f t="shared" si="0"/>
        <v>1.9313494465760472E-2</v>
      </c>
      <c r="D4">
        <v>1.3206860160707237</v>
      </c>
      <c r="E4">
        <f t="shared" si="1"/>
        <v>1320.6860160707238</v>
      </c>
      <c r="F4">
        <f t="shared" si="2"/>
        <v>25.507062062389171</v>
      </c>
      <c r="G4">
        <f t="shared" si="3"/>
        <v>76.521186187167515</v>
      </c>
      <c r="H4">
        <f t="shared" si="4"/>
        <v>0.79202436963165535</v>
      </c>
      <c r="I4">
        <f t="shared" si="5"/>
        <v>60.606644253357885</v>
      </c>
    </row>
    <row r="5" spans="1:9">
      <c r="A5">
        <v>4</v>
      </c>
      <c r="B5" s="1">
        <v>45488</v>
      </c>
      <c r="C5">
        <f t="shared" si="0"/>
        <v>1.9313494465760472E-2</v>
      </c>
      <c r="D5">
        <v>1.4025692490237218</v>
      </c>
      <c r="E5">
        <f t="shared" si="1"/>
        <v>1402.5692490237218</v>
      </c>
      <c r="F5">
        <f t="shared" si="2"/>
        <v>27.088513428865472</v>
      </c>
      <c r="G5">
        <f t="shared" si="3"/>
        <v>108.35405371546189</v>
      </c>
      <c r="H5">
        <f t="shared" si="4"/>
        <v>0.73279876040879266</v>
      </c>
      <c r="I5">
        <f t="shared" si="5"/>
        <v>79.401716247958205</v>
      </c>
    </row>
    <row r="6" spans="1:9">
      <c r="A6">
        <v>5</v>
      </c>
      <c r="B6" s="1">
        <v>45853</v>
      </c>
      <c r="C6">
        <f t="shared" si="0"/>
        <v>1.9313494465760472E-2</v>
      </c>
      <c r="D6">
        <v>1.4863748882918746</v>
      </c>
      <c r="E6">
        <f t="shared" si="1"/>
        <v>1486.3748882918746</v>
      </c>
      <c r="F6">
        <f t="shared" si="2"/>
        <v>28.707093179070462</v>
      </c>
      <c r="G6">
        <f t="shared" si="3"/>
        <v>143.5354658953523</v>
      </c>
      <c r="H6">
        <f t="shared" si="4"/>
        <v>0.67800189469725725</v>
      </c>
      <c r="I6">
        <f t="shared" si="5"/>
        <v>97.317317833302411</v>
      </c>
    </row>
    <row r="7" spans="1:9">
      <c r="A7">
        <v>6</v>
      </c>
      <c r="B7" s="1">
        <v>46218</v>
      </c>
      <c r="C7">
        <f t="shared" si="0"/>
        <v>1.9313494465760472E-2</v>
      </c>
      <c r="D7">
        <v>1.5749319614998669</v>
      </c>
      <c r="E7">
        <f t="shared" si="1"/>
        <v>1574.9319614998669</v>
      </c>
      <c r="F7">
        <f t="shared" si="2"/>
        <v>30.417439722376965</v>
      </c>
      <c r="G7">
        <f t="shared" si="3"/>
        <v>182.50463833426178</v>
      </c>
      <c r="H7">
        <f t="shared" si="4"/>
        <v>0.6273026020904211</v>
      </c>
      <c r="I7">
        <f t="shared" si="5"/>
        <v>114.48563452065363</v>
      </c>
    </row>
    <row r="8" spans="1:9">
      <c r="A8">
        <v>7</v>
      </c>
      <c r="B8" s="1">
        <v>46583</v>
      </c>
      <c r="C8">
        <f t="shared" si="0"/>
        <v>1.9313494465760472E-2</v>
      </c>
      <c r="D8">
        <v>1.669271962264659</v>
      </c>
      <c r="E8">
        <f t="shared" si="1"/>
        <v>1669.2719622646591</v>
      </c>
      <c r="F8">
        <f t="shared" si="2"/>
        <v>32.239474805047621</v>
      </c>
      <c r="G8">
        <f t="shared" si="3"/>
        <v>225.67632363533335</v>
      </c>
      <c r="H8">
        <f t="shared" si="4"/>
        <v>0.58039447627963248</v>
      </c>
      <c r="I8">
        <f t="shared" si="5"/>
        <v>130.98129166504214</v>
      </c>
    </row>
    <row r="9" spans="1:9">
      <c r="A9">
        <v>8</v>
      </c>
      <c r="B9" s="1">
        <v>46949</v>
      </c>
      <c r="C9">
        <f t="shared" si="0"/>
        <v>1.9313494465760472E-2</v>
      </c>
      <c r="D9">
        <v>1.7698889393962991</v>
      </c>
      <c r="E9">
        <f t="shared" si="1"/>
        <v>1769.8889393962991</v>
      </c>
      <c r="F9">
        <f t="shared" si="2"/>
        <v>34.182740236041091</v>
      </c>
      <c r="G9">
        <f t="shared" si="3"/>
        <v>273.46192188832873</v>
      </c>
      <c r="H9">
        <f t="shared" si="4"/>
        <v>0.53699402325666312</v>
      </c>
      <c r="I9">
        <f t="shared" si="5"/>
        <v>146.84741764231299</v>
      </c>
    </row>
    <row r="10" spans="1:9">
      <c r="A10">
        <v>9</v>
      </c>
      <c r="B10" s="1">
        <v>47314</v>
      </c>
      <c r="C10">
        <f t="shared" si="0"/>
        <v>1.9313494465760472E-2</v>
      </c>
      <c r="D10">
        <v>1.8771518993177607</v>
      </c>
      <c r="E10">
        <f t="shared" si="1"/>
        <v>1877.1518993177608</v>
      </c>
      <c r="F10">
        <f t="shared" si="2"/>
        <v>36.254362818865332</v>
      </c>
      <c r="G10">
        <f t="shared" si="3"/>
        <v>326.28926536978798</v>
      </c>
      <c r="H10">
        <f t="shared" si="4"/>
        <v>0.49683894798896289</v>
      </c>
      <c r="I10">
        <f t="shared" si="5"/>
        <v>162.11321534641701</v>
      </c>
    </row>
    <row r="11" spans="1:9">
      <c r="H11" t="s">
        <v>4</v>
      </c>
      <c r="I11">
        <f>SUM(I2:I10)</f>
        <v>852.26265529817442</v>
      </c>
    </row>
    <row r="12" spans="1:9">
      <c r="A12" t="s">
        <v>98</v>
      </c>
      <c r="B12" s="8">
        <v>1000</v>
      </c>
      <c r="H12" t="s">
        <v>5</v>
      </c>
      <c r="I12">
        <f>(A10*B14)*H10</f>
        <v>8393.7795738526784</v>
      </c>
    </row>
    <row r="13" spans="1:9">
      <c r="A13" t="s">
        <v>79</v>
      </c>
      <c r="B13" s="10">
        <v>3.9E-2</v>
      </c>
      <c r="H13" t="s">
        <v>6</v>
      </c>
      <c r="I13">
        <f>SUM(I11:I12)</f>
        <v>9246.042229150853</v>
      </c>
    </row>
    <row r="14" spans="1:9">
      <c r="A14" t="s">
        <v>111</v>
      </c>
      <c r="B14">
        <f>B12*D10</f>
        <v>1877.1518993177608</v>
      </c>
      <c r="H14" t="s">
        <v>89</v>
      </c>
      <c r="I14">
        <f>I13/B15</f>
        <v>8.3515209882517691</v>
      </c>
    </row>
    <row r="15" spans="1:9">
      <c r="A15" t="s">
        <v>90</v>
      </c>
      <c r="B15">
        <v>1107.108782</v>
      </c>
      <c r="H15" t="s">
        <v>18</v>
      </c>
      <c r="I15">
        <f>I14/(1+B16)</f>
        <v>7.7270150545558538</v>
      </c>
    </row>
    <row r="16" spans="1:9">
      <c r="A16" t="s">
        <v>101</v>
      </c>
      <c r="B16">
        <v>8.0821110000000002E-2</v>
      </c>
    </row>
    <row r="17" spans="1:2">
      <c r="A17" t="s">
        <v>119</v>
      </c>
      <c r="B17">
        <f>F3/B15</f>
        <v>2.1411172671709847E-2</v>
      </c>
    </row>
    <row r="18" spans="1:2">
      <c r="A18" t="s">
        <v>19</v>
      </c>
      <c r="B18" t="s">
        <v>109</v>
      </c>
    </row>
    <row r="20" spans="1:2" ht="18">
      <c r="A20" s="16"/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B7658-AAB6-4EA0-B84E-05C60980B60E}">
  <dimension ref="A1:N22"/>
  <sheetViews>
    <sheetView topLeftCell="A7" workbookViewId="0">
      <selection activeCell="B22" sqref="B22"/>
    </sheetView>
  </sheetViews>
  <sheetFormatPr defaultRowHeight="15"/>
  <cols>
    <col min="2" max="2" width="10.85546875" customWidth="1"/>
    <col min="4" max="4" width="10.7109375" bestFit="1" customWidth="1"/>
    <col min="6" max="6" width="9.5703125" bestFit="1" customWidth="1"/>
  </cols>
  <sheetData>
    <row r="1" spans="1:14">
      <c r="A1" t="s">
        <v>96</v>
      </c>
      <c r="B1" t="s">
        <v>0</v>
      </c>
      <c r="C1" t="s">
        <v>121</v>
      </c>
      <c r="D1" t="s">
        <v>141</v>
      </c>
      <c r="E1" t="s">
        <v>116</v>
      </c>
      <c r="F1" t="s">
        <v>142</v>
      </c>
      <c r="G1" t="s">
        <v>107</v>
      </c>
      <c r="H1" t="s">
        <v>12</v>
      </c>
      <c r="I1" t="s">
        <v>3</v>
      </c>
      <c r="J1" t="s">
        <v>102</v>
      </c>
    </row>
    <row r="2" spans="1:14">
      <c r="A2">
        <v>0</v>
      </c>
      <c r="B2" s="1">
        <v>43602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4">
      <c r="A3">
        <v>1</v>
      </c>
      <c r="B3" s="1">
        <v>43784</v>
      </c>
      <c r="C3">
        <v>4.9000000000000002E-2</v>
      </c>
      <c r="D3" s="14">
        <f>(1+C3)^(NETWORKDAYS.INTL(B2,B3)/252)-1</f>
        <v>2.5179601348163771E-2</v>
      </c>
      <c r="E3">
        <f>1.2/100</f>
        <v>1.2E-2</v>
      </c>
      <c r="F3" s="14">
        <f>D3+E3</f>
        <v>3.7179601348163768E-2</v>
      </c>
      <c r="G3">
        <f>$B$19*F3</f>
        <v>39.606107135215716</v>
      </c>
      <c r="H3">
        <f>A3*G3</f>
        <v>39.606107135215716</v>
      </c>
      <c r="I3">
        <f>(1+$B$20)^(-A3)</f>
        <v>0.94936815514460471</v>
      </c>
      <c r="J3">
        <f>H3*I3</f>
        <v>37.600776863419306</v>
      </c>
    </row>
    <row r="4" spans="1:14">
      <c r="A4">
        <v>2</v>
      </c>
      <c r="B4" s="1">
        <v>43966</v>
      </c>
      <c r="C4">
        <v>2.9000000000000001E-2</v>
      </c>
      <c r="D4" s="14">
        <f t="shared" ref="D4:D16" si="0">(1+C4)^(NETWORKDAYS.INTL(B3,B4)/252)-1</f>
        <v>1.4971912676972066E-2</v>
      </c>
      <c r="E4">
        <f t="shared" ref="E4:E16" si="1">1.2/100</f>
        <v>1.2E-2</v>
      </c>
      <c r="F4" s="14">
        <f t="shared" ref="F4:F16" si="2">D4+E4</f>
        <v>2.6971912676972066E-2</v>
      </c>
      <c r="G4">
        <f t="shared" ref="G4:G16" si="3">$B$19*F4</f>
        <v>28.732219399619723</v>
      </c>
      <c r="H4">
        <f t="shared" ref="H4:H16" si="4">A4*G4</f>
        <v>57.464438799239446</v>
      </c>
      <c r="I4">
        <f t="shared" ref="I4:I16" si="5">(1+$B$20)^(-A4)</f>
        <v>0.90129989400267041</v>
      </c>
      <c r="J4">
        <f t="shared" ref="J4:J16" si="6">H4*I4</f>
        <v>51.792692598677455</v>
      </c>
    </row>
    <row r="5" spans="1:14">
      <c r="A5">
        <v>3</v>
      </c>
      <c r="B5" s="1">
        <v>44150</v>
      </c>
      <c r="C5">
        <v>1.9E-2</v>
      </c>
      <c r="D5" s="14">
        <f t="shared" si="0"/>
        <v>9.8323476256725328E-3</v>
      </c>
      <c r="E5">
        <f t="shared" si="1"/>
        <v>1.2E-2</v>
      </c>
      <c r="F5" s="14">
        <f t="shared" si="2"/>
        <v>2.1832347625672533E-2</v>
      </c>
      <c r="G5">
        <f t="shared" si="3"/>
        <v>23.257223523682683</v>
      </c>
      <c r="H5">
        <f t="shared" si="4"/>
        <v>69.771670571048048</v>
      </c>
      <c r="I5">
        <f t="shared" si="5"/>
        <v>0.85566541760134307</v>
      </c>
      <c r="J5">
        <f t="shared" si="6"/>
        <v>59.701205635919166</v>
      </c>
    </row>
    <row r="6" spans="1:14">
      <c r="A6">
        <v>4</v>
      </c>
      <c r="B6" s="1">
        <v>44331</v>
      </c>
      <c r="C6">
        <v>3.4000000000000002E-2</v>
      </c>
      <c r="D6" s="14">
        <f t="shared" si="0"/>
        <v>1.7397706140109825E-2</v>
      </c>
      <c r="E6">
        <f t="shared" si="1"/>
        <v>1.2E-2</v>
      </c>
      <c r="F6" s="14">
        <f t="shared" si="2"/>
        <v>2.9397706140109826E-2</v>
      </c>
      <c r="G6">
        <f t="shared" si="3"/>
        <v>31.316330909833241</v>
      </c>
      <c r="H6">
        <f t="shared" si="4"/>
        <v>125.26532363933296</v>
      </c>
      <c r="I6">
        <f t="shared" si="5"/>
        <v>0.81234149892922491</v>
      </c>
      <c r="J6">
        <f t="shared" si="6"/>
        <v>101.7582207690302</v>
      </c>
    </row>
    <row r="7" spans="1:14">
      <c r="A7">
        <v>5</v>
      </c>
      <c r="B7" s="1">
        <v>44515</v>
      </c>
      <c r="C7">
        <v>7.6499999999999999E-2</v>
      </c>
      <c r="D7" s="14">
        <f t="shared" si="0"/>
        <v>3.9063803573089029E-2</v>
      </c>
      <c r="E7">
        <f t="shared" si="1"/>
        <v>1.2E-2</v>
      </c>
      <c r="F7" s="14">
        <f t="shared" si="2"/>
        <v>5.1063803573089026E-2</v>
      </c>
      <c r="G7">
        <f t="shared" si="3"/>
        <v>54.396454015429072</v>
      </c>
      <c r="H7">
        <f t="shared" si="4"/>
        <v>271.98227007714536</v>
      </c>
      <c r="I7">
        <f t="shared" si="5"/>
        <v>0.77121115018584119</v>
      </c>
      <c r="J7">
        <f t="shared" si="6"/>
        <v>209.75575933635136</v>
      </c>
    </row>
    <row r="8" spans="1:14">
      <c r="A8">
        <v>6</v>
      </c>
      <c r="B8" s="1">
        <v>44696</v>
      </c>
      <c r="C8">
        <v>0.1265</v>
      </c>
      <c r="D8" s="14">
        <f t="shared" si="0"/>
        <v>6.3375691247208543E-2</v>
      </c>
      <c r="E8">
        <f t="shared" si="1"/>
        <v>1.2E-2</v>
      </c>
      <c r="F8" s="14">
        <f t="shared" si="2"/>
        <v>7.537569124720854E-2</v>
      </c>
      <c r="G8">
        <f t="shared" si="3"/>
        <v>80.295043375319125</v>
      </c>
      <c r="H8">
        <f t="shared" si="4"/>
        <v>481.77026025191475</v>
      </c>
      <c r="I8">
        <f t="shared" si="5"/>
        <v>0.73216330687888087</v>
      </c>
      <c r="J8">
        <f t="shared" si="6"/>
        <v>352.73450690194096</v>
      </c>
    </row>
    <row r="9" spans="1:14">
      <c r="A9">
        <v>7</v>
      </c>
      <c r="B9" s="1">
        <v>44880</v>
      </c>
      <c r="C9">
        <v>0.13650000000000001</v>
      </c>
      <c r="D9" s="14">
        <f t="shared" si="0"/>
        <v>6.9320276311037654E-2</v>
      </c>
      <c r="E9">
        <f t="shared" si="1"/>
        <v>1.2E-2</v>
      </c>
      <c r="F9" s="14">
        <f t="shared" si="2"/>
        <v>8.1320276311037651E-2</v>
      </c>
      <c r="G9">
        <f t="shared" si="3"/>
        <v>86.627598442482224</v>
      </c>
      <c r="H9">
        <f t="shared" si="4"/>
        <v>606.39318909737563</v>
      </c>
      <c r="I9">
        <f t="shared" si="5"/>
        <v>0.69509252791617615</v>
      </c>
      <c r="J9">
        <f t="shared" si="6"/>
        <v>421.49937472084667</v>
      </c>
    </row>
    <row r="10" spans="1:14">
      <c r="A10">
        <v>8</v>
      </c>
      <c r="B10" s="1">
        <v>45061</v>
      </c>
      <c r="C10">
        <v>0.13694999999999999</v>
      </c>
      <c r="D10" s="14">
        <f t="shared" si="0"/>
        <v>6.8453107700698235E-2</v>
      </c>
      <c r="E10">
        <f t="shared" si="1"/>
        <v>1.2E-2</v>
      </c>
      <c r="F10" s="14">
        <f t="shared" si="2"/>
        <v>8.0453107700698231E-2</v>
      </c>
      <c r="G10">
        <f t="shared" si="3"/>
        <v>85.703834560137764</v>
      </c>
      <c r="H10">
        <f t="shared" si="4"/>
        <v>685.63067648110211</v>
      </c>
      <c r="I10">
        <f t="shared" si="5"/>
        <v>0.6598987108825799</v>
      </c>
      <c r="J10">
        <f t="shared" si="6"/>
        <v>452.4467995514305</v>
      </c>
    </row>
    <row r="11" spans="1:14">
      <c r="A11">
        <v>9</v>
      </c>
      <c r="B11" s="1">
        <v>45245</v>
      </c>
      <c r="C11">
        <v>0.13150999999999999</v>
      </c>
      <c r="D11" s="14">
        <f t="shared" si="0"/>
        <v>6.7381593339385093E-2</v>
      </c>
      <c r="E11">
        <f t="shared" si="1"/>
        <v>1.2E-2</v>
      </c>
      <c r="F11" s="14">
        <f t="shared" si="2"/>
        <v>7.938159333938509E-2</v>
      </c>
      <c r="G11">
        <f t="shared" si="3"/>
        <v>84.562388416224593</v>
      </c>
      <c r="H11">
        <f t="shared" si="4"/>
        <v>761.06149574602136</v>
      </c>
      <c r="I11">
        <f t="shared" si="5"/>
        <v>0.62648682173289783</v>
      </c>
      <c r="J11">
        <f t="shared" si="6"/>
        <v>476.79499761321028</v>
      </c>
    </row>
    <row r="12" spans="1:14">
      <c r="A12">
        <v>10</v>
      </c>
      <c r="B12" s="1">
        <v>45427</v>
      </c>
      <c r="C12">
        <v>0.12570000000000001</v>
      </c>
      <c r="D12" s="14">
        <f t="shared" si="0"/>
        <v>6.3485625154833025E-2</v>
      </c>
      <c r="E12">
        <f t="shared" si="1"/>
        <v>1.2E-2</v>
      </c>
      <c r="F12" s="14">
        <f t="shared" si="2"/>
        <v>7.5485625154833022E-2</v>
      </c>
      <c r="G12">
        <f t="shared" si="3"/>
        <v>80.412152057641862</v>
      </c>
      <c r="H12">
        <f t="shared" si="4"/>
        <v>804.12152057641856</v>
      </c>
      <c r="I12">
        <f t="shared" si="5"/>
        <v>0.59476663817096809</v>
      </c>
      <c r="J12">
        <f t="shared" si="6"/>
        <v>478.26465347416342</v>
      </c>
    </row>
    <row r="13" spans="1:14">
      <c r="A13">
        <v>11</v>
      </c>
      <c r="B13" s="1">
        <v>45611</v>
      </c>
      <c r="C13">
        <v>0.11924999999999999</v>
      </c>
      <c r="D13" s="14">
        <f t="shared" si="0"/>
        <v>6.1262058034533773E-2</v>
      </c>
      <c r="E13">
        <f t="shared" si="1"/>
        <v>1.2E-2</v>
      </c>
      <c r="F13" s="14">
        <f t="shared" si="2"/>
        <v>7.326205803453377E-2</v>
      </c>
      <c r="G13">
        <f t="shared" si="3"/>
        <v>78.043465078880999</v>
      </c>
      <c r="H13">
        <f t="shared" si="4"/>
        <v>858.47811586769103</v>
      </c>
      <c r="I13">
        <f t="shared" si="5"/>
        <v>0.56465250602193062</v>
      </c>
      <c r="J13">
        <f t="shared" si="6"/>
        <v>484.74181948967708</v>
      </c>
    </row>
    <row r="14" spans="1:14">
      <c r="A14">
        <v>12</v>
      </c>
      <c r="B14" s="1">
        <v>45792</v>
      </c>
      <c r="C14">
        <v>0.11595</v>
      </c>
      <c r="D14" s="14">
        <f t="shared" si="0"/>
        <v>5.8226502516244949E-2</v>
      </c>
      <c r="E14">
        <f t="shared" si="1"/>
        <v>1.2E-2</v>
      </c>
      <c r="F14" s="14">
        <f t="shared" si="2"/>
        <v>7.0226502516244946E-2</v>
      </c>
      <c r="G14">
        <f t="shared" si="3"/>
        <v>74.809795735673248</v>
      </c>
      <c r="H14">
        <f t="shared" si="4"/>
        <v>897.71754882807898</v>
      </c>
      <c r="I14">
        <f t="shared" si="5"/>
        <v>0.53606310793981815</v>
      </c>
      <c r="J14">
        <f t="shared" si="6"/>
        <v>481.23325927689547</v>
      </c>
    </row>
    <row r="15" spans="1:14">
      <c r="A15">
        <v>13</v>
      </c>
      <c r="B15" s="1">
        <v>45976</v>
      </c>
      <c r="C15">
        <v>0.11544</v>
      </c>
      <c r="D15" s="14">
        <f t="shared" si="0"/>
        <v>5.8894710677173556E-2</v>
      </c>
      <c r="E15">
        <f t="shared" si="1"/>
        <v>1.2E-2</v>
      </c>
      <c r="F15" s="14">
        <f t="shared" si="2"/>
        <v>7.0894710677173553E-2</v>
      </c>
      <c r="G15">
        <f t="shared" si="3"/>
        <v>75.521614126691873</v>
      </c>
      <c r="H15">
        <f t="shared" si="4"/>
        <v>981.7809836469944</v>
      </c>
      <c r="I15">
        <f t="shared" si="5"/>
        <v>0.50892124382590831</v>
      </c>
      <c r="J15">
        <f t="shared" si="6"/>
        <v>499.64919936225215</v>
      </c>
    </row>
    <row r="16" spans="1:14" ht="18">
      <c r="A16">
        <v>14</v>
      </c>
      <c r="B16" s="1">
        <v>46137</v>
      </c>
      <c r="C16">
        <v>0.11496000000000001</v>
      </c>
      <c r="D16" s="14">
        <f t="shared" si="0"/>
        <v>5.0912936484374338E-2</v>
      </c>
      <c r="E16">
        <f t="shared" si="1"/>
        <v>1.2E-2</v>
      </c>
      <c r="F16" s="14">
        <f t="shared" si="2"/>
        <v>6.2912936484374335E-2</v>
      </c>
      <c r="G16">
        <f t="shared" si="3"/>
        <v>67.018913926956714</v>
      </c>
      <c r="H16">
        <f t="shared" si="4"/>
        <v>938.26479497739399</v>
      </c>
      <c r="I16">
        <f t="shared" si="5"/>
        <v>0.48315362236490017</v>
      </c>
      <c r="J16">
        <f t="shared" si="6"/>
        <v>453.3260344307883</v>
      </c>
      <c r="N16" s="7"/>
    </row>
    <row r="17" spans="1:10">
      <c r="I17" t="s">
        <v>4</v>
      </c>
      <c r="J17">
        <f>SUM(J3:J16)</f>
        <v>4561.2993000246024</v>
      </c>
    </row>
    <row r="18" spans="1:10">
      <c r="A18" t="s">
        <v>98</v>
      </c>
      <c r="B18" s="8">
        <v>1000</v>
      </c>
      <c r="I18" t="s">
        <v>5</v>
      </c>
      <c r="J18">
        <f>(A16*B18)*I16</f>
        <v>6764.1507131086028</v>
      </c>
    </row>
    <row r="19" spans="1:10">
      <c r="A19" t="s">
        <v>90</v>
      </c>
      <c r="B19" s="12">
        <v>1065.2644379999999</v>
      </c>
      <c r="I19" t="s">
        <v>6</v>
      </c>
      <c r="J19">
        <f>SUM(J17:J18)</f>
        <v>11325.450013133206</v>
      </c>
    </row>
    <row r="20" spans="1:10">
      <c r="A20" t="s">
        <v>101</v>
      </c>
      <c r="B20">
        <v>5.3332150000000002E-2</v>
      </c>
      <c r="I20" t="s">
        <v>89</v>
      </c>
      <c r="J20">
        <f>(J19/B19)/2</f>
        <v>5.3157927783623276</v>
      </c>
    </row>
    <row r="21" spans="1:10">
      <c r="A21" t="s">
        <v>119</v>
      </c>
      <c r="B21">
        <f>G8/B19</f>
        <v>7.537569124720854E-2</v>
      </c>
      <c r="I21" t="s">
        <v>18</v>
      </c>
      <c r="J21">
        <f>J20/(1+B20)</f>
        <v>5.046644383124856</v>
      </c>
    </row>
    <row r="22" spans="1:10">
      <c r="A22" t="s">
        <v>19</v>
      </c>
      <c r="B22" t="s">
        <v>133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D36DE-347F-48D8-9B50-BD2A94421ABF}">
  <dimension ref="A1:M38"/>
  <sheetViews>
    <sheetView topLeftCell="A22" workbookViewId="0">
      <selection activeCell="B29" sqref="B29"/>
    </sheetView>
  </sheetViews>
  <sheetFormatPr defaultRowHeight="15"/>
  <cols>
    <col min="2" max="2" width="10.42578125" customWidth="1"/>
    <col min="13" max="13" width="12.5703125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43784</v>
      </c>
      <c r="C2">
        <f>(1+$B$24)^(1/2)-1</f>
        <v>2.5579835995228617E-2</v>
      </c>
      <c r="D2">
        <v>1.0101342096012718</v>
      </c>
      <c r="E2">
        <f>$B$23*D2</f>
        <v>1010.1342096012718</v>
      </c>
      <c r="F2">
        <f>C2*E2</f>
        <v>25.839067414770419</v>
      </c>
      <c r="G2">
        <f>A2*F2</f>
        <v>25.839067414770419</v>
      </c>
      <c r="H2">
        <f>(1+$B$27)^(-A2)</f>
        <v>0.95534448556629248</v>
      </c>
      <c r="I2">
        <f>G2*H2</f>
        <v>24.685210566876595</v>
      </c>
    </row>
    <row r="3" spans="1:9">
      <c r="A3">
        <v>2</v>
      </c>
      <c r="B3" s="1">
        <v>43966</v>
      </c>
      <c r="C3">
        <f t="shared" ref="C3:C21" si="0">(1+$B$24)^(1/2)-1</f>
        <v>2.5579835995228617E-2</v>
      </c>
      <c r="D3">
        <v>1.0200992847434016</v>
      </c>
      <c r="E3">
        <f t="shared" ref="E3:E21" si="1">$B$23*D3</f>
        <v>1020.0992847434017</v>
      </c>
      <c r="F3">
        <f t="shared" ref="F3:F21" si="2">C3*E3</f>
        <v>26.093972402586232</v>
      </c>
      <c r="G3">
        <f t="shared" ref="G3:G21" si="3">A3*F3</f>
        <v>52.187944805172464</v>
      </c>
      <c r="H3">
        <f t="shared" ref="H3:H21" si="4">(1+$B$27)^(-A3)</f>
        <v>0.91268308610192395</v>
      </c>
      <c r="I3">
        <f t="shared" ref="I3:I21" si="5">G3*H3</f>
        <v>47.631054522101671</v>
      </c>
    </row>
    <row r="4" spans="1:9">
      <c r="A4">
        <v>3</v>
      </c>
      <c r="B4" s="1">
        <v>44150</v>
      </c>
      <c r="C4">
        <f t="shared" si="0"/>
        <v>2.5579835995228617E-2</v>
      </c>
      <c r="D4">
        <v>1.0536820165853531</v>
      </c>
      <c r="E4">
        <f t="shared" si="1"/>
        <v>1053.682016585353</v>
      </c>
      <c r="F4">
        <f t="shared" si="2"/>
        <v>26.953013175375091</v>
      </c>
      <c r="G4">
        <f t="shared" si="3"/>
        <v>80.859039526125272</v>
      </c>
      <c r="H4">
        <f t="shared" si="4"/>
        <v>0.8719267533770988</v>
      </c>
      <c r="I4">
        <f t="shared" si="5"/>
        <v>70.50315981520491</v>
      </c>
    </row>
    <row r="5" spans="1:9">
      <c r="A5">
        <v>4</v>
      </c>
      <c r="B5" s="1">
        <v>44331</v>
      </c>
      <c r="C5">
        <f t="shared" si="0"/>
        <v>2.5579835995228617E-2</v>
      </c>
      <c r="D5">
        <v>1.1022774856704021</v>
      </c>
      <c r="E5">
        <f t="shared" si="1"/>
        <v>1102.277485670402</v>
      </c>
      <c r="F5">
        <f t="shared" si="2"/>
        <v>28.196077304681847</v>
      </c>
      <c r="G5">
        <f t="shared" si="3"/>
        <v>112.78430921872739</v>
      </c>
      <c r="H5">
        <f t="shared" si="4"/>
        <v>0.83299041565653187</v>
      </c>
      <c r="I5">
        <f t="shared" si="5"/>
        <v>93.948248615642541</v>
      </c>
    </row>
    <row r="6" spans="1:9">
      <c r="A6">
        <v>5</v>
      </c>
      <c r="B6" s="1">
        <v>44515</v>
      </c>
      <c r="C6">
        <f t="shared" si="0"/>
        <v>2.5579835995228617E-2</v>
      </c>
      <c r="D6">
        <v>1.1668315352928589</v>
      </c>
      <c r="E6">
        <f t="shared" si="1"/>
        <v>1166.8315352928589</v>
      </c>
      <c r="F6">
        <f t="shared" si="2"/>
        <v>29.847359306852145</v>
      </c>
      <c r="G6">
        <f t="shared" si="3"/>
        <v>149.23679653426072</v>
      </c>
      <c r="H6">
        <f t="shared" si="4"/>
        <v>0.79579280012704157</v>
      </c>
      <c r="I6">
        <f t="shared" si="5"/>
        <v>118.76156819598891</v>
      </c>
    </row>
    <row r="7" spans="1:9">
      <c r="A7">
        <v>6</v>
      </c>
      <c r="B7" s="1">
        <v>44696</v>
      </c>
      <c r="C7">
        <f t="shared" si="0"/>
        <v>2.5579835995228617E-2</v>
      </c>
      <c r="D7">
        <v>1.231587098288236</v>
      </c>
      <c r="E7">
        <f t="shared" si="1"/>
        <v>1231.5870982882359</v>
      </c>
      <c r="F7">
        <f t="shared" si="2"/>
        <v>31.50379598805258</v>
      </c>
      <c r="G7">
        <f t="shared" si="3"/>
        <v>189.02277592831547</v>
      </c>
      <c r="H7">
        <f t="shared" si="4"/>
        <v>0.76025626325472784</v>
      </c>
      <c r="I7">
        <f t="shared" si="5"/>
        <v>143.70574929729685</v>
      </c>
    </row>
    <row r="8" spans="1:9">
      <c r="A8">
        <v>7</v>
      </c>
      <c r="B8" s="1">
        <v>44880</v>
      </c>
      <c r="C8">
        <f t="shared" si="0"/>
        <v>2.5579835995228617E-2</v>
      </c>
      <c r="D8">
        <v>1.2390702467819212</v>
      </c>
      <c r="E8">
        <f t="shared" si="1"/>
        <v>1239.0702467819212</v>
      </c>
      <c r="F8">
        <f t="shared" si="2"/>
        <v>31.695213699248995</v>
      </c>
      <c r="G8">
        <f t="shared" si="3"/>
        <v>221.86649589474297</v>
      </c>
      <c r="H8">
        <f t="shared" si="4"/>
        <v>0.72630662871763985</v>
      </c>
      <c r="I8">
        <f t="shared" si="5"/>
        <v>161.14310665870684</v>
      </c>
    </row>
    <row r="9" spans="1:9">
      <c r="A9">
        <v>8</v>
      </c>
      <c r="B9" s="1">
        <v>45061</v>
      </c>
      <c r="C9">
        <f t="shared" si="0"/>
        <v>2.5579835995228617E-2</v>
      </c>
      <c r="D9">
        <v>1.3153734210033687</v>
      </c>
      <c r="E9">
        <f t="shared" si="1"/>
        <v>1315.3734210033688</v>
      </c>
      <c r="F9">
        <f t="shared" si="2"/>
        <v>33.647036381748975</v>
      </c>
      <c r="G9">
        <f t="shared" si="3"/>
        <v>269.1762910539918</v>
      </c>
      <c r="H9">
        <f t="shared" si="4"/>
        <v>0.6938730325756417</v>
      </c>
      <c r="I9">
        <f t="shared" si="5"/>
        <v>186.77416937109686</v>
      </c>
    </row>
    <row r="10" spans="1:9">
      <c r="A10">
        <v>9</v>
      </c>
      <c r="B10" s="1">
        <v>45245</v>
      </c>
      <c r="C10">
        <f t="shared" si="0"/>
        <v>2.5579835995228617E-2</v>
      </c>
      <c r="D10">
        <v>1.3392222588322236</v>
      </c>
      <c r="E10">
        <f t="shared" si="1"/>
        <v>1339.2222588322236</v>
      </c>
      <c r="F10">
        <f t="shared" si="2"/>
        <v>34.257085742087888</v>
      </c>
      <c r="G10">
        <f t="shared" si="3"/>
        <v>308.313771678791</v>
      </c>
      <c r="H10">
        <f t="shared" si="4"/>
        <v>0.66288777535429966</v>
      </c>
      <c r="I10">
        <f t="shared" si="5"/>
        <v>204.37743021924723</v>
      </c>
    </row>
    <row r="11" spans="1:9">
      <c r="A11">
        <v>10</v>
      </c>
      <c r="B11" s="1">
        <v>45427</v>
      </c>
      <c r="C11">
        <f t="shared" si="0"/>
        <v>2.5579835995228617E-2</v>
      </c>
      <c r="D11">
        <v>1.3980526888146056</v>
      </c>
      <c r="E11">
        <f t="shared" si="1"/>
        <v>1398.0526888146057</v>
      </c>
      <c r="F11">
        <f t="shared" si="2"/>
        <v>35.761958492566002</v>
      </c>
      <c r="G11">
        <f t="shared" si="3"/>
        <v>357.61958492566004</v>
      </c>
      <c r="H11">
        <f t="shared" si="4"/>
        <v>0.63328618073403742</v>
      </c>
      <c r="I11">
        <f t="shared" si="5"/>
        <v>226.47554109326299</v>
      </c>
    </row>
    <row r="12" spans="1:9">
      <c r="A12">
        <v>11</v>
      </c>
      <c r="B12" s="1">
        <v>45611</v>
      </c>
      <c r="C12">
        <f t="shared" si="0"/>
        <v>2.5579835995228617E-2</v>
      </c>
      <c r="D12">
        <v>1.421347853939797</v>
      </c>
      <c r="E12">
        <f t="shared" si="1"/>
        <v>1421.347853939797</v>
      </c>
      <c r="F12">
        <f t="shared" si="2"/>
        <v>36.357844995950167</v>
      </c>
      <c r="G12">
        <f t="shared" si="3"/>
        <v>399.93629495545184</v>
      </c>
      <c r="H12">
        <f t="shared" si="4"/>
        <v>0.60500646054960106</v>
      </c>
      <c r="I12">
        <f t="shared" si="5"/>
        <v>241.96404225631917</v>
      </c>
    </row>
    <row r="13" spans="1:9">
      <c r="A13">
        <v>12</v>
      </c>
      <c r="B13" s="1">
        <v>45792</v>
      </c>
      <c r="C13">
        <f t="shared" si="0"/>
        <v>2.5579835995228617E-2</v>
      </c>
      <c r="D13">
        <v>1.4818784122901967</v>
      </c>
      <c r="E13">
        <f t="shared" si="1"/>
        <v>1481.8784122901966</v>
      </c>
      <c r="F13">
        <f t="shared" si="2"/>
        <v>37.906206751253002</v>
      </c>
      <c r="G13">
        <f t="shared" si="3"/>
        <v>454.87448101503605</v>
      </c>
      <c r="H13">
        <f t="shared" si="4"/>
        <v>0.57798958581804205</v>
      </c>
      <c r="I13">
        <f t="shared" si="5"/>
        <v>262.91271288107754</v>
      </c>
    </row>
    <row r="14" spans="1:9">
      <c r="A14">
        <v>13</v>
      </c>
      <c r="B14" s="1">
        <v>45976</v>
      </c>
      <c r="C14">
        <f t="shared" si="0"/>
        <v>2.5579835995228617E-2</v>
      </c>
      <c r="D14">
        <v>1.5061050395207021</v>
      </c>
      <c r="E14">
        <f t="shared" si="1"/>
        <v>1506.1050395207021</v>
      </c>
      <c r="F14">
        <f t="shared" si="2"/>
        <v>38.525919902526873</v>
      </c>
      <c r="G14">
        <f t="shared" si="3"/>
        <v>500.83695873284933</v>
      </c>
      <c r="H14">
        <f t="shared" si="4"/>
        <v>0.55217916352601182</v>
      </c>
      <c r="I14">
        <f t="shared" si="5"/>
        <v>276.55173293601644</v>
      </c>
    </row>
    <row r="15" spans="1:9">
      <c r="A15">
        <v>14</v>
      </c>
      <c r="B15" s="1">
        <v>46157</v>
      </c>
      <c r="C15">
        <f t="shared" si="0"/>
        <v>2.5579835995228617E-2</v>
      </c>
      <c r="D15">
        <v>1.5701778258101666</v>
      </c>
      <c r="E15">
        <f t="shared" si="1"/>
        <v>1570.1778258101667</v>
      </c>
      <c r="F15">
        <f t="shared" si="2"/>
        <v>40.164891267568713</v>
      </c>
      <c r="G15">
        <f t="shared" si="3"/>
        <v>562.30847774596202</v>
      </c>
      <c r="H15">
        <f t="shared" si="4"/>
        <v>0.52752131891918341</v>
      </c>
      <c r="I15">
        <f t="shared" si="5"/>
        <v>296.62970981998819</v>
      </c>
    </row>
    <row r="16" spans="1:9">
      <c r="A16">
        <v>15</v>
      </c>
      <c r="B16" s="1">
        <v>46341</v>
      </c>
      <c r="C16">
        <f t="shared" si="0"/>
        <v>2.5579835995228617E-2</v>
      </c>
      <c r="D16">
        <v>1.5958900534358829</v>
      </c>
      <c r="E16">
        <f t="shared" si="1"/>
        <v>1595.8900534358829</v>
      </c>
      <c r="F16">
        <f t="shared" si="2"/>
        <v>40.822605833306518</v>
      </c>
      <c r="G16">
        <f t="shared" si="3"/>
        <v>612.33908749959778</v>
      </c>
      <c r="H16">
        <f t="shared" si="4"/>
        <v>0.50396458304809943</v>
      </c>
      <c r="I16">
        <f t="shared" si="5"/>
        <v>308.59721291578848</v>
      </c>
    </row>
    <row r="17" spans="1:9">
      <c r="A17">
        <v>16</v>
      </c>
      <c r="B17" s="1">
        <v>46522</v>
      </c>
      <c r="C17">
        <f t="shared" si="0"/>
        <v>2.5579835995228617E-2</v>
      </c>
      <c r="D17">
        <v>1.6641735557019128</v>
      </c>
      <c r="E17">
        <f t="shared" si="1"/>
        <v>1664.1735557019128</v>
      </c>
      <c r="F17">
        <f t="shared" si="2"/>
        <v>42.569286622451386</v>
      </c>
      <c r="G17">
        <f t="shared" si="3"/>
        <v>681.10858595922218</v>
      </c>
      <c r="H17">
        <f t="shared" si="4"/>
        <v>0.48145978533571743</v>
      </c>
      <c r="I17">
        <f t="shared" si="5"/>
        <v>327.92639358624115</v>
      </c>
    </row>
    <row r="18" spans="1:9">
      <c r="A18">
        <v>17</v>
      </c>
      <c r="B18" s="1">
        <v>46706</v>
      </c>
      <c r="C18">
        <f t="shared" si="0"/>
        <v>2.5579835995228617E-2</v>
      </c>
      <c r="D18">
        <v>1.6915854013755949</v>
      </c>
      <c r="E18">
        <f t="shared" si="1"/>
        <v>1691.585401375595</v>
      </c>
      <c r="F18">
        <f t="shared" si="2"/>
        <v>43.270477139110689</v>
      </c>
      <c r="G18">
        <f t="shared" si="3"/>
        <v>735.59811136488167</v>
      </c>
      <c r="H18">
        <f t="shared" si="4"/>
        <v>0.45995995094240855</v>
      </c>
      <c r="I18">
        <f t="shared" si="5"/>
        <v>338.34567121671938</v>
      </c>
    </row>
    <row r="19" spans="1:9">
      <c r="A19">
        <v>18</v>
      </c>
      <c r="B19" s="1">
        <v>46888</v>
      </c>
      <c r="C19">
        <f t="shared" si="0"/>
        <v>2.5579835995228617E-2</v>
      </c>
      <c r="D19">
        <v>1.7644145857076396</v>
      </c>
      <c r="E19">
        <f t="shared" si="1"/>
        <v>1764.4145857076396</v>
      </c>
      <c r="F19">
        <f t="shared" si="2"/>
        <v>45.133435729990666</v>
      </c>
      <c r="G19">
        <f t="shared" si="3"/>
        <v>812.40184313983195</v>
      </c>
      <c r="H19">
        <f t="shared" si="4"/>
        <v>0.43942020271417237</v>
      </c>
      <c r="I19">
        <f t="shared" si="5"/>
        <v>356.98578259787223</v>
      </c>
    </row>
    <row r="20" spans="1:9">
      <c r="A20">
        <v>19</v>
      </c>
      <c r="B20" s="1">
        <v>47072</v>
      </c>
      <c r="C20">
        <f t="shared" si="0"/>
        <v>2.5579835995228617E-2</v>
      </c>
      <c r="D20">
        <v>1.7936466591887716</v>
      </c>
      <c r="E20">
        <f t="shared" si="1"/>
        <v>1793.6466591887715</v>
      </c>
      <c r="F20">
        <f t="shared" si="2"/>
        <v>45.881187375438493</v>
      </c>
      <c r="G20">
        <f t="shared" si="3"/>
        <v>871.74256013333138</v>
      </c>
      <c r="H20">
        <f t="shared" si="4"/>
        <v>0.419797667509407</v>
      </c>
      <c r="I20">
        <f t="shared" si="5"/>
        <v>365.95549341265149</v>
      </c>
    </row>
    <row r="21" spans="1:9">
      <c r="A21">
        <v>20</v>
      </c>
      <c r="B21" s="1">
        <v>47253</v>
      </c>
      <c r="C21">
        <f t="shared" si="0"/>
        <v>2.5579835995228617E-2</v>
      </c>
      <c r="D21">
        <v>1.8712829476609447</v>
      </c>
      <c r="E21">
        <f t="shared" si="1"/>
        <v>1871.2829476609447</v>
      </c>
      <c r="F21">
        <f t="shared" si="2"/>
        <v>47.867110901834941</v>
      </c>
      <c r="G21">
        <f t="shared" si="3"/>
        <v>957.3422180366988</v>
      </c>
      <c r="H21">
        <f t="shared" si="4"/>
        <v>0.40105138670870388</v>
      </c>
      <c r="I21">
        <f t="shared" si="5"/>
        <v>383.94342409840442</v>
      </c>
    </row>
    <row r="22" spans="1:9">
      <c r="H22" t="s">
        <v>4</v>
      </c>
      <c r="I22">
        <f>SUM(I2:I21)</f>
        <v>4437.8174140765032</v>
      </c>
    </row>
    <row r="23" spans="1:9">
      <c r="A23" t="s">
        <v>98</v>
      </c>
      <c r="B23" s="8">
        <v>1000</v>
      </c>
      <c r="H23" t="s">
        <v>5</v>
      </c>
      <c r="I23">
        <f>(A21*B25)*H21</f>
        <v>15009.612421675458</v>
      </c>
    </row>
    <row r="24" spans="1:9">
      <c r="A24" t="s">
        <v>79</v>
      </c>
      <c r="B24" s="13">
        <v>5.1813999999999999E-2</v>
      </c>
      <c r="H24" t="s">
        <v>6</v>
      </c>
      <c r="I24">
        <f>SUM(I22:I23)</f>
        <v>19447.429835751962</v>
      </c>
    </row>
    <row r="25" spans="1:9">
      <c r="A25" t="s">
        <v>111</v>
      </c>
      <c r="B25">
        <f>B23*D21</f>
        <v>1871.2829476609447</v>
      </c>
      <c r="H25" t="s">
        <v>89</v>
      </c>
      <c r="I25">
        <f>(I24/B26)/2</f>
        <v>8.1575959359591561</v>
      </c>
    </row>
    <row r="26" spans="1:9">
      <c r="A26" t="s">
        <v>90</v>
      </c>
      <c r="B26">
        <v>1191.9829070000001</v>
      </c>
      <c r="H26" t="s">
        <v>18</v>
      </c>
      <c r="I26">
        <f>I25/(1+B27)</f>
        <v>7.7933142928965777</v>
      </c>
    </row>
    <row r="27" spans="1:9">
      <c r="A27" t="s">
        <v>101</v>
      </c>
      <c r="B27">
        <v>4.6742840000000001E-2</v>
      </c>
    </row>
    <row r="28" spans="1:9">
      <c r="A28" t="s">
        <v>119</v>
      </c>
      <c r="B28">
        <f>F7/B26</f>
        <v>2.6429738046614942E-2</v>
      </c>
    </row>
    <row r="29" spans="1:9">
      <c r="A29" t="s">
        <v>19</v>
      </c>
      <c r="B29" t="s">
        <v>133</v>
      </c>
    </row>
    <row r="38" spans="13:13" ht="18">
      <c r="M38" s="16"/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33853-604E-40A5-8507-B8B5ED5E4D51}">
  <dimension ref="A1:O22"/>
  <sheetViews>
    <sheetView topLeftCell="A7" workbookViewId="0">
      <selection activeCell="B22" sqref="B22"/>
    </sheetView>
  </sheetViews>
  <sheetFormatPr defaultRowHeight="15"/>
  <cols>
    <col min="2" max="2" width="11.28515625" customWidth="1"/>
    <col min="15" max="15" width="13.85546875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43784</v>
      </c>
      <c r="C2">
        <f>(1+$B$18)^(1/2)-1</f>
        <v>1.9869599507701841E-2</v>
      </c>
      <c r="D2">
        <v>1.0088227400392205</v>
      </c>
      <c r="E2">
        <f>$B$17*D2</f>
        <v>1008.8227400392204</v>
      </c>
      <c r="F2">
        <f>C2*E2</f>
        <v>20.044903818841718</v>
      </c>
      <c r="G2">
        <f>A2*F2</f>
        <v>20.044903818841718</v>
      </c>
      <c r="H2">
        <f>(1+$B$21)^(-A2)</f>
        <v>0.96198436904306217</v>
      </c>
      <c r="I2">
        <f>G2*H2</f>
        <v>19.282884152697317</v>
      </c>
    </row>
    <row r="3" spans="1:9">
      <c r="A3">
        <v>2</v>
      </c>
      <c r="B3" s="1">
        <v>43966</v>
      </c>
      <c r="C3">
        <f t="shared" ref="C3:C15" si="0">(1+$B$18)^(1/2)-1</f>
        <v>1.9869599507701841E-2</v>
      </c>
      <c r="D3">
        <v>1.0187748774027778</v>
      </c>
      <c r="E3">
        <f t="shared" ref="E3:E15" si="1">$B$17*D3</f>
        <v>1018.7748774027779</v>
      </c>
      <c r="F3">
        <f t="shared" ref="F3:F15" si="2">C3*E3</f>
        <v>20.24264880250124</v>
      </c>
      <c r="G3">
        <f t="shared" ref="G3:G15" si="3">A3*F3</f>
        <v>40.485297605002479</v>
      </c>
      <c r="H3">
        <f t="shared" ref="H3:H15" si="4">(1+$B$21)^(-A3)</f>
        <v>0.92541392628317853</v>
      </c>
      <c r="I3">
        <f t="shared" ref="I3:I15" si="5">G3*H3</f>
        <v>37.465658213388309</v>
      </c>
    </row>
    <row r="4" spans="1:9">
      <c r="A4">
        <v>3</v>
      </c>
      <c r="B4" s="1">
        <v>44150</v>
      </c>
      <c r="C4">
        <f t="shared" si="0"/>
        <v>1.9869599507701841E-2</v>
      </c>
      <c r="D4">
        <v>1.052314008374466</v>
      </c>
      <c r="E4">
        <f t="shared" si="1"/>
        <v>1052.3140083744661</v>
      </c>
      <c r="F4">
        <f t="shared" si="2"/>
        <v>20.90905790274504</v>
      </c>
      <c r="G4">
        <f t="shared" si="3"/>
        <v>62.727173708235121</v>
      </c>
      <c r="H4">
        <f t="shared" si="4"/>
        <v>0.89023373197918632</v>
      </c>
      <c r="I4">
        <f t="shared" si="5"/>
        <v>55.841845946788844</v>
      </c>
    </row>
    <row r="5" spans="1:9">
      <c r="A5">
        <v>4</v>
      </c>
      <c r="B5" s="1">
        <v>44331</v>
      </c>
      <c r="C5">
        <f t="shared" si="0"/>
        <v>1.9869599507701841E-2</v>
      </c>
      <c r="D5">
        <v>1.1008463853694215</v>
      </c>
      <c r="E5">
        <f t="shared" si="1"/>
        <v>1100.8463853694216</v>
      </c>
      <c r="F5">
        <f t="shared" si="2"/>
        <v>21.873376796791611</v>
      </c>
      <c r="G5">
        <f t="shared" si="3"/>
        <v>87.493507187166443</v>
      </c>
      <c r="H5">
        <f t="shared" si="4"/>
        <v>0.8563909349588481</v>
      </c>
      <c r="I5">
        <f t="shared" si="5"/>
        <v>74.928646422846171</v>
      </c>
    </row>
    <row r="6" spans="1:9">
      <c r="A6">
        <v>5</v>
      </c>
      <c r="B6" s="1">
        <v>44515</v>
      </c>
      <c r="C6">
        <f t="shared" si="0"/>
        <v>1.9869599507701841E-2</v>
      </c>
      <c r="D6">
        <v>1.1653166236820716</v>
      </c>
      <c r="E6">
        <f t="shared" si="1"/>
        <v>1165.3166236820716</v>
      </c>
      <c r="F6">
        <f t="shared" si="2"/>
        <v>23.154374612230061</v>
      </c>
      <c r="G6">
        <f t="shared" si="3"/>
        <v>115.7718730611503</v>
      </c>
      <c r="H6">
        <f t="shared" si="4"/>
        <v>0.82383469322058567</v>
      </c>
      <c r="I6">
        <f t="shared" si="5"/>
        <v>95.37688552690534</v>
      </c>
    </row>
    <row r="7" spans="1:9">
      <c r="A7">
        <v>6</v>
      </c>
      <c r="B7" s="1">
        <v>44696</v>
      </c>
      <c r="C7">
        <f t="shared" si="0"/>
        <v>1.9869599507701841E-2</v>
      </c>
      <c r="D7">
        <v>1.2299881137403725</v>
      </c>
      <c r="E7">
        <f t="shared" si="1"/>
        <v>1229.9881137403725</v>
      </c>
      <c r="F7">
        <f t="shared" si="2"/>
        <v>24.43937121925482</v>
      </c>
      <c r="G7">
        <f t="shared" si="3"/>
        <v>146.63622731552891</v>
      </c>
      <c r="H7">
        <f t="shared" si="4"/>
        <v>0.79251609755358976</v>
      </c>
      <c r="I7">
        <f t="shared" si="5"/>
        <v>116.21157063208408</v>
      </c>
    </row>
    <row r="8" spans="1:9">
      <c r="A8">
        <v>7</v>
      </c>
      <c r="B8" s="1">
        <v>44880</v>
      </c>
      <c r="C8">
        <f t="shared" si="0"/>
        <v>1.9869599507701841E-2</v>
      </c>
      <c r="D8">
        <v>1.2374615467711179</v>
      </c>
      <c r="E8">
        <f t="shared" si="1"/>
        <v>1237.4615467711178</v>
      </c>
      <c r="F8">
        <f t="shared" si="2"/>
        <v>24.587865340523361</v>
      </c>
      <c r="G8">
        <f t="shared" si="3"/>
        <v>172.11505738366353</v>
      </c>
      <c r="H8">
        <f t="shared" si="4"/>
        <v>0.76238809806155994</v>
      </c>
      <c r="I8">
        <f t="shared" si="5"/>
        <v>131.2184712464875</v>
      </c>
    </row>
    <row r="9" spans="1:9">
      <c r="A9">
        <v>8</v>
      </c>
      <c r="B9" s="1">
        <v>45061</v>
      </c>
      <c r="C9">
        <f t="shared" si="0"/>
        <v>1.9869599507701841E-2</v>
      </c>
      <c r="D9">
        <v>1.3136656556510213</v>
      </c>
      <c r="E9">
        <f t="shared" si="1"/>
        <v>1313.6656556510213</v>
      </c>
      <c r="F9">
        <f t="shared" si="2"/>
        <v>26.102010464808348</v>
      </c>
      <c r="G9">
        <f t="shared" si="3"/>
        <v>208.81608371846679</v>
      </c>
      <c r="H9">
        <f t="shared" si="4"/>
        <v>0.73340543347969012</v>
      </c>
      <c r="I9">
        <f t="shared" si="5"/>
        <v>153.14685039707339</v>
      </c>
    </row>
    <row r="10" spans="1:9">
      <c r="A10">
        <v>9</v>
      </c>
      <c r="B10" s="1">
        <v>45245</v>
      </c>
      <c r="C10">
        <f t="shared" si="0"/>
        <v>1.9869599507701841E-2</v>
      </c>
      <c r="D10">
        <v>1.3374835302429069</v>
      </c>
      <c r="E10">
        <f t="shared" si="1"/>
        <v>1337.4835302429069</v>
      </c>
      <c r="F10">
        <f t="shared" si="2"/>
        <v>26.575262094073782</v>
      </c>
      <c r="G10">
        <f t="shared" si="3"/>
        <v>239.17735884666405</v>
      </c>
      <c r="H10">
        <f t="shared" si="4"/>
        <v>0.70552456317871326</v>
      </c>
      <c r="I10">
        <f t="shared" si="5"/>
        <v>168.74550162253101</v>
      </c>
    </row>
    <row r="11" spans="1:9">
      <c r="A11">
        <v>10</v>
      </c>
      <c r="B11" s="1">
        <v>45427</v>
      </c>
      <c r="C11">
        <f t="shared" si="0"/>
        <v>1.9869599507701841E-2</v>
      </c>
      <c r="D11">
        <v>1.3962375799606559</v>
      </c>
      <c r="E11">
        <f t="shared" si="1"/>
        <v>1396.2375799606559</v>
      </c>
      <c r="F11">
        <f t="shared" si="2"/>
        <v>27.742681531421059</v>
      </c>
      <c r="G11">
        <f t="shared" si="3"/>
        <v>277.42681531421061</v>
      </c>
      <c r="H11">
        <f t="shared" si="4"/>
        <v>0.67870360175385647</v>
      </c>
      <c r="I11">
        <f t="shared" si="5"/>
        <v>188.29057877685668</v>
      </c>
    </row>
    <row r="12" spans="1:9">
      <c r="A12">
        <v>11</v>
      </c>
      <c r="B12" s="1">
        <v>45611</v>
      </c>
      <c r="C12">
        <f t="shared" si="0"/>
        <v>1.9869599507701841E-2</v>
      </c>
      <c r="D12">
        <v>1.419502500688901</v>
      </c>
      <c r="E12">
        <f t="shared" si="1"/>
        <v>1419.5025006889011</v>
      </c>
      <c r="F12">
        <f t="shared" si="2"/>
        <v>28.204946188869723</v>
      </c>
      <c r="G12">
        <f t="shared" si="3"/>
        <v>310.25440807756695</v>
      </c>
      <c r="H12">
        <f t="shared" si="4"/>
        <v>0.65290225610043739</v>
      </c>
      <c r="I12">
        <f t="shared" si="5"/>
        <v>202.56580299894924</v>
      </c>
    </row>
    <row r="13" spans="1:9">
      <c r="A13">
        <v>12</v>
      </c>
      <c r="B13" s="1">
        <v>45792</v>
      </c>
      <c r="C13">
        <f t="shared" si="0"/>
        <v>1.9869599507701841E-2</v>
      </c>
      <c r="D13">
        <v>1.4799544714772757</v>
      </c>
      <c r="E13">
        <f t="shared" si="1"/>
        <v>1479.9544714772755</v>
      </c>
      <c r="F13">
        <f t="shared" si="2"/>
        <v>29.406102637886011</v>
      </c>
      <c r="G13">
        <f t="shared" si="3"/>
        <v>352.87323165463215</v>
      </c>
      <c r="H13">
        <f t="shared" si="4"/>
        <v>0.62808176488157108</v>
      </c>
      <c r="I13">
        <f t="shared" si="5"/>
        <v>221.63324211710483</v>
      </c>
    </row>
    <row r="14" spans="1:9">
      <c r="A14">
        <v>13</v>
      </c>
      <c r="B14" s="1">
        <v>45976</v>
      </c>
      <c r="C14">
        <f t="shared" si="0"/>
        <v>1.9869599507701841E-2</v>
      </c>
      <c r="D14">
        <v>1.5041496449822245</v>
      </c>
      <c r="E14">
        <f t="shared" si="1"/>
        <v>1504.1496449822246</v>
      </c>
      <c r="F14">
        <f t="shared" si="2"/>
        <v>29.886851045448708</v>
      </c>
      <c r="G14">
        <f t="shared" si="3"/>
        <v>388.52906359083318</v>
      </c>
      <c r="H14">
        <f t="shared" si="4"/>
        <v>0.60420484029705113</v>
      </c>
      <c r="I14">
        <f t="shared" si="5"/>
        <v>234.75114081766219</v>
      </c>
    </row>
    <row r="15" spans="1:9">
      <c r="A15">
        <v>14</v>
      </c>
      <c r="B15" s="1">
        <v>46157</v>
      </c>
      <c r="C15">
        <f t="shared" si="0"/>
        <v>1.9869599507701841E-2</v>
      </c>
      <c r="D15">
        <v>1.5681392447919364</v>
      </c>
      <c r="E15">
        <f t="shared" si="1"/>
        <v>1568.1392447919366</v>
      </c>
      <c r="F15">
        <f t="shared" si="2"/>
        <v>31.1582987663258</v>
      </c>
      <c r="G15">
        <f t="shared" si="3"/>
        <v>436.21618272856119</v>
      </c>
      <c r="H15">
        <f t="shared" si="4"/>
        <v>0.58123561206592289</v>
      </c>
      <c r="I15">
        <f t="shared" si="5"/>
        <v>253.54437996129573</v>
      </c>
    </row>
    <row r="16" spans="1:9">
      <c r="H16" t="s">
        <v>4</v>
      </c>
      <c r="I16">
        <f>SUM(I2:I15)</f>
        <v>1953.0034588326707</v>
      </c>
    </row>
    <row r="17" spans="1:15">
      <c r="A17" t="s">
        <v>98</v>
      </c>
      <c r="B17" s="8">
        <v>1000</v>
      </c>
      <c r="H17" t="s">
        <v>5</v>
      </c>
      <c r="I17">
        <f>(A15*B19)*H15</f>
        <v>12760.417232517295</v>
      </c>
    </row>
    <row r="18" spans="1:15">
      <c r="A18" t="s">
        <v>79</v>
      </c>
      <c r="B18" s="13">
        <v>4.0134000000000003E-2</v>
      </c>
      <c r="H18" t="s">
        <v>6</v>
      </c>
      <c r="I18">
        <f>SUM(I16:I17)</f>
        <v>14713.420691349966</v>
      </c>
    </row>
    <row r="19" spans="1:15" ht="18">
      <c r="A19" t="s">
        <v>111</v>
      </c>
      <c r="B19">
        <f>B17*D15</f>
        <v>1568.1392447919366</v>
      </c>
      <c r="H19" t="s">
        <v>89</v>
      </c>
      <c r="I19">
        <f>(I18/B20)/2</f>
        <v>6.2620768395311588</v>
      </c>
      <c r="O19" s="16"/>
    </row>
    <row r="20" spans="1:15">
      <c r="A20" t="s">
        <v>90</v>
      </c>
      <c r="B20">
        <v>1174.8035890000001</v>
      </c>
      <c r="H20" t="s">
        <v>18</v>
      </c>
      <c r="I20">
        <f>I19/(1+B21)</f>
        <v>6.0240200373755544</v>
      </c>
    </row>
    <row r="21" spans="1:15">
      <c r="A21" t="s">
        <v>101</v>
      </c>
      <c r="B21">
        <v>3.951793E-2</v>
      </c>
    </row>
    <row r="22" spans="1:15">
      <c r="A22" t="s">
        <v>119</v>
      </c>
      <c r="B22">
        <f>F7/B20</f>
        <v>2.0802942251868468E-2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54805-A2BA-438A-9D0E-2C6DB1F69F97}">
  <dimension ref="A1:N16"/>
  <sheetViews>
    <sheetView workbookViewId="0">
      <selection activeCell="B16" sqref="B16"/>
    </sheetView>
  </sheetViews>
  <sheetFormatPr defaultRowHeight="15"/>
  <cols>
    <col min="2" max="2" width="11" customWidth="1"/>
    <col min="14" max="14" width="11.5703125" customWidth="1"/>
  </cols>
  <sheetData>
    <row r="1" spans="1:14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14">
      <c r="A2">
        <v>1</v>
      </c>
      <c r="B2" s="1">
        <v>43936</v>
      </c>
      <c r="C2" s="13">
        <f>$B$11</f>
        <v>4.6248999999999998E-2</v>
      </c>
      <c r="D2">
        <v>1.0239904484475022</v>
      </c>
      <c r="E2">
        <f>$B$10*D2</f>
        <v>1023.9904484475022</v>
      </c>
      <c r="F2">
        <f>C2*E2</f>
        <v>47.358534250248532</v>
      </c>
      <c r="G2">
        <f>A2*F2</f>
        <v>47.358534250248532</v>
      </c>
      <c r="H2">
        <f>(1+$B$14)^(-A2)</f>
        <v>0.92447463770393623</v>
      </c>
      <c r="I2">
        <f>G2*H2</f>
        <v>43.78176379318797</v>
      </c>
    </row>
    <row r="3" spans="1:14">
      <c r="A3">
        <v>2</v>
      </c>
      <c r="B3" s="1">
        <v>44301</v>
      </c>
      <c r="C3" s="13">
        <f t="shared" ref="C3:C8" si="0">$B$11</f>
        <v>4.6248999999999998E-2</v>
      </c>
      <c r="D3">
        <v>1.093203893355551</v>
      </c>
      <c r="E3">
        <f t="shared" ref="E3:E8" si="1">$B$10*D3</f>
        <v>1093.2038933555509</v>
      </c>
      <c r="F3">
        <f t="shared" ref="F3:F8" si="2">C3*E3</f>
        <v>50.559586863800874</v>
      </c>
      <c r="G3">
        <f t="shared" ref="G3:G8" si="3">A3*F3</f>
        <v>101.11917372760175</v>
      </c>
      <c r="H3">
        <f t="shared" ref="H3:H8" si="4">(1+$B$14)^(-A3)</f>
        <v>0.85465335575782431</v>
      </c>
      <c r="I3">
        <f t="shared" ref="I3:I8" si="5">G3*H3</f>
        <v>86.421841157753263</v>
      </c>
    </row>
    <row r="4" spans="1:14">
      <c r="A4">
        <v>3</v>
      </c>
      <c r="B4" s="1">
        <v>44666</v>
      </c>
      <c r="C4" s="13">
        <f t="shared" si="0"/>
        <v>4.6248999999999998E-2</v>
      </c>
      <c r="D4">
        <v>1.2258257174163791</v>
      </c>
      <c r="E4">
        <f t="shared" si="1"/>
        <v>1225.8257174163791</v>
      </c>
      <c r="F4">
        <f t="shared" si="2"/>
        <v>56.693213604790117</v>
      </c>
      <c r="G4">
        <f t="shared" si="3"/>
        <v>170.07964081437035</v>
      </c>
      <c r="H4">
        <f t="shared" si="4"/>
        <v>0.79010535142666805</v>
      </c>
      <c r="I4">
        <f t="shared" si="5"/>
        <v>134.38083437615956</v>
      </c>
    </row>
    <row r="5" spans="1:14">
      <c r="A5">
        <v>4</v>
      </c>
      <c r="B5" s="1">
        <v>45031</v>
      </c>
      <c r="C5" s="13">
        <f t="shared" si="0"/>
        <v>4.6248999999999998E-2</v>
      </c>
      <c r="D5">
        <v>1.3099378339613461</v>
      </c>
      <c r="E5">
        <f t="shared" si="1"/>
        <v>1309.9378339613461</v>
      </c>
      <c r="F5">
        <f t="shared" si="2"/>
        <v>60.583314882878291</v>
      </c>
      <c r="G5">
        <f t="shared" si="3"/>
        <v>242.33325953151316</v>
      </c>
      <c r="H5">
        <f t="shared" si="4"/>
        <v>0.73043235850811017</v>
      </c>
      <c r="I5">
        <f t="shared" si="5"/>
        <v>177.00805430456114</v>
      </c>
    </row>
    <row r="6" spans="1:14">
      <c r="A6">
        <v>5</v>
      </c>
      <c r="B6" s="1">
        <v>45397</v>
      </c>
      <c r="C6" s="13">
        <f t="shared" si="0"/>
        <v>4.6248999999999998E-2</v>
      </c>
      <c r="D6">
        <v>1.392908953311524</v>
      </c>
      <c r="E6">
        <f t="shared" si="1"/>
        <v>1392.9089533115239</v>
      </c>
      <c r="F6">
        <f t="shared" si="2"/>
        <v>64.420646181704669</v>
      </c>
      <c r="G6">
        <f t="shared" si="3"/>
        <v>322.10323090852336</v>
      </c>
      <c r="H6">
        <f t="shared" si="4"/>
        <v>0.67526618999901689</v>
      </c>
      <c r="I6">
        <f t="shared" si="5"/>
        <v>217.50542152197215</v>
      </c>
    </row>
    <row r="7" spans="1:14">
      <c r="A7">
        <v>6</v>
      </c>
      <c r="B7" s="1">
        <v>45762</v>
      </c>
      <c r="C7" s="13">
        <f t="shared" si="0"/>
        <v>4.6248999999999998E-2</v>
      </c>
      <c r="D7">
        <v>1.4765895066113688</v>
      </c>
      <c r="E7">
        <f t="shared" si="1"/>
        <v>1476.5895066113687</v>
      </c>
      <c r="F7">
        <f t="shared" si="2"/>
        <v>68.290788091269192</v>
      </c>
      <c r="G7">
        <f t="shared" si="3"/>
        <v>409.74472854761518</v>
      </c>
      <c r="H7">
        <f t="shared" si="4"/>
        <v>0.62426646635305849</v>
      </c>
      <c r="I7">
        <f t="shared" si="5"/>
        <v>255.7898937972129</v>
      </c>
    </row>
    <row r="8" spans="1:14">
      <c r="A8">
        <v>7</v>
      </c>
      <c r="B8" s="1">
        <v>46127</v>
      </c>
      <c r="C8" s="13">
        <f t="shared" si="0"/>
        <v>4.6248999999999998E-2</v>
      </c>
      <c r="D8">
        <v>1.5645795377719514</v>
      </c>
      <c r="E8">
        <f t="shared" si="1"/>
        <v>1564.5795377719514</v>
      </c>
      <c r="F8">
        <f t="shared" si="2"/>
        <v>72.360239042414975</v>
      </c>
      <c r="G8">
        <f t="shared" si="3"/>
        <v>506.52167329690485</v>
      </c>
      <c r="H8">
        <f t="shared" si="4"/>
        <v>0.57711851531246028</v>
      </c>
      <c r="I8">
        <f t="shared" si="5"/>
        <v>292.32303606669279</v>
      </c>
    </row>
    <row r="9" spans="1:14">
      <c r="H9" t="s">
        <v>4</v>
      </c>
      <c r="I9">
        <f>SUM(I2:I8)</f>
        <v>1207.2108450175397</v>
      </c>
    </row>
    <row r="10" spans="1:14">
      <c r="A10" t="s">
        <v>98</v>
      </c>
      <c r="B10" s="8">
        <v>1000</v>
      </c>
      <c r="H10" t="s">
        <v>5</v>
      </c>
      <c r="I10">
        <f>(A8*B12)*H8</f>
        <v>6320.6347394904278</v>
      </c>
    </row>
    <row r="11" spans="1:14">
      <c r="A11" t="s">
        <v>79</v>
      </c>
      <c r="B11" s="13">
        <v>4.6248999999999998E-2</v>
      </c>
      <c r="H11" t="s">
        <v>6</v>
      </c>
      <c r="I11">
        <f>SUM(I9:I10)</f>
        <v>7527.8455845079679</v>
      </c>
    </row>
    <row r="12" spans="1:14">
      <c r="A12" t="s">
        <v>111</v>
      </c>
      <c r="B12">
        <f>B10*D8</f>
        <v>1564.5795377719514</v>
      </c>
      <c r="H12" t="s">
        <v>89</v>
      </c>
      <c r="I12">
        <f>I11/B13</f>
        <v>6.2336609424594256</v>
      </c>
    </row>
    <row r="13" spans="1:14">
      <c r="A13" t="s">
        <v>90</v>
      </c>
      <c r="B13">
        <v>1207.6122929999999</v>
      </c>
      <c r="H13" t="s">
        <v>18</v>
      </c>
      <c r="I13">
        <f>I12/(1+B14)</f>
        <v>5.7628614413493553</v>
      </c>
    </row>
    <row r="14" spans="1:14">
      <c r="A14" t="s">
        <v>101</v>
      </c>
      <c r="B14">
        <v>8.1695439999999994E-2</v>
      </c>
    </row>
    <row r="15" spans="1:14" ht="18">
      <c r="A15" t="s">
        <v>119</v>
      </c>
      <c r="B15">
        <f>F4/B13</f>
        <v>4.6946535683195567E-2</v>
      </c>
      <c r="N15" s="16"/>
    </row>
    <row r="16" spans="1:14">
      <c r="A16" t="s">
        <v>19</v>
      </c>
      <c r="B16" t="s">
        <v>154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4D80A-3561-45A6-A69B-22546D9278EE}">
  <dimension ref="A1:M18"/>
  <sheetViews>
    <sheetView topLeftCell="A4" workbookViewId="0">
      <selection activeCell="B18" sqref="B18"/>
    </sheetView>
  </sheetViews>
  <sheetFormatPr defaultRowHeight="15"/>
  <cols>
    <col min="2" max="2" width="10.7109375" customWidth="1"/>
    <col min="4" max="4" width="10.7109375" bestFit="1" customWidth="1"/>
    <col min="6" max="6" width="10.5703125" bestFit="1" customWidth="1"/>
  </cols>
  <sheetData>
    <row r="1" spans="1:10">
      <c r="A1" t="s">
        <v>96</v>
      </c>
      <c r="B1" t="s">
        <v>0</v>
      </c>
      <c r="C1" t="s">
        <v>121</v>
      </c>
      <c r="D1" t="s">
        <v>141</v>
      </c>
      <c r="E1" t="s">
        <v>116</v>
      </c>
      <c r="F1" t="s">
        <v>142</v>
      </c>
      <c r="G1" t="s">
        <v>107</v>
      </c>
      <c r="H1" t="s">
        <v>12</v>
      </c>
      <c r="I1" t="s">
        <v>3</v>
      </c>
      <c r="J1" t="s">
        <v>102</v>
      </c>
    </row>
    <row r="2" spans="1:10">
      <c r="A2">
        <v>0</v>
      </c>
      <c r="B2" s="1">
        <v>43592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</v>
      </c>
      <c r="B3" s="1">
        <v>43753</v>
      </c>
      <c r="C3">
        <v>5.3999999999999999E-2</v>
      </c>
      <c r="D3" s="15">
        <f>(1+C3)^(NETWORKDAYS.INTL(B2,B3)/252)-1</f>
        <v>2.4504645476604914E-2</v>
      </c>
      <c r="E3">
        <f>1.25/100</f>
        <v>1.2500000000000001E-2</v>
      </c>
      <c r="F3" s="15">
        <f>D3+E3</f>
        <v>3.7004645476604911E-2</v>
      </c>
      <c r="G3">
        <f>$B$14*F3</f>
        <v>37.004645476604914</v>
      </c>
      <c r="H3">
        <f>A3*G3</f>
        <v>37.004645476604914</v>
      </c>
      <c r="I3">
        <f>(1+$B$16)^(-A3)</f>
        <v>0.95054244035118052</v>
      </c>
      <c r="J3">
        <f>H3*I3</f>
        <v>35.17448601566231</v>
      </c>
    </row>
    <row r="4" spans="1:10">
      <c r="A4">
        <v>2</v>
      </c>
      <c r="B4" s="1">
        <v>43936</v>
      </c>
      <c r="C4">
        <v>3.6499999999999998E-2</v>
      </c>
      <c r="D4" s="15">
        <f t="shared" ref="D4:D12" si="0">(1+C4)^(NETWORKDAYS.INTL(B3,B4)/252)-1</f>
        <v>1.8955812400530458E-2</v>
      </c>
      <c r="E4">
        <f t="shared" ref="E4:E12" si="1">1.25/100</f>
        <v>1.2500000000000001E-2</v>
      </c>
      <c r="F4" s="15">
        <f t="shared" ref="F4:F12" si="2">D4+E4</f>
        <v>3.1455812400530456E-2</v>
      </c>
      <c r="G4">
        <f t="shared" ref="G4:G12" si="3">$B$14*F4</f>
        <v>31.455812400530455</v>
      </c>
      <c r="H4">
        <f t="shared" ref="H4:H12" si="4">A4*G4</f>
        <v>62.91162480106091</v>
      </c>
      <c r="I4">
        <f t="shared" ref="I4:I12" si="5">(1+$B$16)^(-A4)</f>
        <v>0.90353093090877779</v>
      </c>
      <c r="J4">
        <f t="shared" ref="J4:J12" si="6">H4*I4</f>
        <v>56.842598921486314</v>
      </c>
    </row>
    <row r="5" spans="1:10">
      <c r="A5">
        <v>3</v>
      </c>
      <c r="B5" s="1">
        <v>44119</v>
      </c>
      <c r="C5">
        <v>1.9E-2</v>
      </c>
      <c r="D5" s="15">
        <f t="shared" si="0"/>
        <v>9.9077743165203458E-3</v>
      </c>
      <c r="E5">
        <f t="shared" si="1"/>
        <v>1.2500000000000001E-2</v>
      </c>
      <c r="F5" s="15">
        <f t="shared" si="2"/>
        <v>2.2407774316520346E-2</v>
      </c>
      <c r="G5">
        <f t="shared" si="3"/>
        <v>22.407774316520346</v>
      </c>
      <c r="H5">
        <f t="shared" si="4"/>
        <v>67.223322949561037</v>
      </c>
      <c r="I5">
        <f t="shared" si="5"/>
        <v>0.85884449599880353</v>
      </c>
      <c r="J5">
        <f t="shared" si="6"/>
        <v>57.734380917980552</v>
      </c>
    </row>
    <row r="6" spans="1:10">
      <c r="A6">
        <v>4</v>
      </c>
      <c r="B6" s="1">
        <v>44301</v>
      </c>
      <c r="C6">
        <v>2.6499999999999999E-2</v>
      </c>
      <c r="D6" s="15">
        <f t="shared" si="0"/>
        <v>1.3689278051643772E-2</v>
      </c>
      <c r="E6">
        <f t="shared" si="1"/>
        <v>1.2500000000000001E-2</v>
      </c>
      <c r="F6" s="15">
        <f t="shared" si="2"/>
        <v>2.6189278051643772E-2</v>
      </c>
      <c r="G6">
        <f t="shared" si="3"/>
        <v>26.189278051643772</v>
      </c>
      <c r="H6">
        <f t="shared" si="4"/>
        <v>104.75711220657509</v>
      </c>
      <c r="I6">
        <f t="shared" si="5"/>
        <v>0.81636814310888239</v>
      </c>
      <c r="J6">
        <f t="shared" si="6"/>
        <v>85.520369169530539</v>
      </c>
    </row>
    <row r="7" spans="1:10">
      <c r="A7">
        <v>5</v>
      </c>
      <c r="B7" s="1">
        <v>44484</v>
      </c>
      <c r="C7">
        <v>6.1499999999999999E-2</v>
      </c>
      <c r="D7" s="15">
        <f t="shared" si="0"/>
        <v>3.175633010592116E-2</v>
      </c>
      <c r="E7">
        <f t="shared" si="1"/>
        <v>1.2500000000000001E-2</v>
      </c>
      <c r="F7" s="15">
        <f t="shared" si="2"/>
        <v>4.4256330105921157E-2</v>
      </c>
      <c r="G7">
        <f t="shared" si="3"/>
        <v>44.256330105921158</v>
      </c>
      <c r="H7">
        <f t="shared" si="4"/>
        <v>221.2816505296058</v>
      </c>
      <c r="I7">
        <f t="shared" si="5"/>
        <v>0.77599256697567898</v>
      </c>
      <c r="J7">
        <f t="shared" si="6"/>
        <v>171.71291601908391</v>
      </c>
    </row>
    <row r="8" spans="1:10">
      <c r="A8">
        <v>6</v>
      </c>
      <c r="B8" s="1">
        <v>44666</v>
      </c>
      <c r="C8">
        <v>0.11650000000000001</v>
      </c>
      <c r="D8" s="15">
        <f t="shared" si="0"/>
        <v>5.8958502313748662E-2</v>
      </c>
      <c r="E8">
        <f t="shared" si="1"/>
        <v>1.2500000000000001E-2</v>
      </c>
      <c r="F8" s="15">
        <f t="shared" si="2"/>
        <v>7.1458502313748659E-2</v>
      </c>
      <c r="G8">
        <f t="shared" si="3"/>
        <v>71.458502313748653</v>
      </c>
      <c r="H8">
        <f t="shared" si="4"/>
        <v>428.75101388249192</v>
      </c>
      <c r="I8">
        <f t="shared" si="5"/>
        <v>0.73761386830743891</v>
      </c>
      <c r="J8">
        <f t="shared" si="6"/>
        <v>316.25269389060128</v>
      </c>
    </row>
    <row r="9" spans="1:10">
      <c r="A9">
        <v>7</v>
      </c>
      <c r="B9" s="1">
        <v>44849</v>
      </c>
      <c r="C9">
        <v>0.13650000000000001</v>
      </c>
      <c r="D9" s="15">
        <f t="shared" si="0"/>
        <v>6.8777465213071487E-2</v>
      </c>
      <c r="E9">
        <f t="shared" si="1"/>
        <v>1.2500000000000001E-2</v>
      </c>
      <c r="F9" s="15">
        <f t="shared" si="2"/>
        <v>8.1277465213071484E-2</v>
      </c>
      <c r="G9">
        <f t="shared" si="3"/>
        <v>81.27746521307148</v>
      </c>
      <c r="H9">
        <f t="shared" si="4"/>
        <v>568.9422564915003</v>
      </c>
      <c r="I9">
        <f t="shared" si="5"/>
        <v>0.70113328641782724</v>
      </c>
      <c r="J9">
        <f t="shared" si="6"/>
        <v>398.90435407586</v>
      </c>
    </row>
    <row r="10" spans="1:10">
      <c r="A10">
        <v>8</v>
      </c>
      <c r="B10" s="1">
        <v>45031</v>
      </c>
      <c r="C10">
        <v>0.13700000000000001</v>
      </c>
      <c r="D10" s="15">
        <f t="shared" si="0"/>
        <v>6.847734712457676E-2</v>
      </c>
      <c r="E10">
        <f t="shared" si="1"/>
        <v>1.2500000000000001E-2</v>
      </c>
      <c r="F10" s="15">
        <f t="shared" si="2"/>
        <v>8.0977347124576757E-2</v>
      </c>
      <c r="G10">
        <f t="shared" si="3"/>
        <v>80.977347124576752</v>
      </c>
      <c r="H10">
        <f t="shared" si="4"/>
        <v>647.81877699661402</v>
      </c>
      <c r="I10">
        <f t="shared" si="5"/>
        <v>0.66645694508304476</v>
      </c>
      <c r="J10">
        <f t="shared" si="6"/>
        <v>431.74332308459759</v>
      </c>
    </row>
    <row r="11" spans="1:10">
      <c r="A11">
        <v>9</v>
      </c>
      <c r="B11" s="1">
        <v>45214</v>
      </c>
      <c r="C11">
        <v>0.13305</v>
      </c>
      <c r="D11" s="15">
        <f t="shared" si="0"/>
        <v>6.6560839934359128E-2</v>
      </c>
      <c r="E11">
        <f t="shared" si="1"/>
        <v>1.2500000000000001E-2</v>
      </c>
      <c r="F11" s="15">
        <f t="shared" si="2"/>
        <v>7.9060839934359126E-2</v>
      </c>
      <c r="G11">
        <f t="shared" si="3"/>
        <v>79.060839934359123</v>
      </c>
      <c r="H11">
        <f t="shared" si="4"/>
        <v>711.54755940923212</v>
      </c>
      <c r="I11">
        <f t="shared" si="5"/>
        <v>0.63349561096823015</v>
      </c>
      <c r="J11">
        <f t="shared" si="6"/>
        <v>450.76225588090455</v>
      </c>
    </row>
    <row r="12" spans="1:10">
      <c r="A12">
        <v>10</v>
      </c>
      <c r="B12" s="1">
        <v>45397</v>
      </c>
      <c r="C12">
        <v>0.12570000000000001</v>
      </c>
      <c r="D12" s="15">
        <f t="shared" si="0"/>
        <v>6.3485625154833025E-2</v>
      </c>
      <c r="E12">
        <f t="shared" si="1"/>
        <v>1.2500000000000001E-2</v>
      </c>
      <c r="F12" s="15">
        <f t="shared" si="2"/>
        <v>7.5985625154833022E-2</v>
      </c>
      <c r="G12">
        <f t="shared" si="3"/>
        <v>75.985625154833016</v>
      </c>
      <c r="H12">
        <f t="shared" si="4"/>
        <v>759.85625154833019</v>
      </c>
      <c r="I12">
        <f t="shared" si="5"/>
        <v>0.60216446400150359</v>
      </c>
      <c r="J12">
        <f t="shared" si="6"/>
        <v>457.55843243179191</v>
      </c>
    </row>
    <row r="13" spans="1:10">
      <c r="I13" t="s">
        <v>4</v>
      </c>
      <c r="J13">
        <f>SUM(J3:J12)</f>
        <v>2462.205810407499</v>
      </c>
    </row>
    <row r="14" spans="1:10">
      <c r="A14" t="s">
        <v>98</v>
      </c>
      <c r="B14" s="8">
        <v>1000</v>
      </c>
      <c r="I14" t="s">
        <v>5</v>
      </c>
      <c r="J14">
        <f>(A12*B14)*I12</f>
        <v>6021.6446400150362</v>
      </c>
    </row>
    <row r="15" spans="1:10">
      <c r="A15" t="s">
        <v>90</v>
      </c>
      <c r="B15" s="12">
        <v>1000.220661</v>
      </c>
      <c r="I15" t="s">
        <v>6</v>
      </c>
      <c r="J15">
        <f>SUM(J13:J14)</f>
        <v>8483.8504504225348</v>
      </c>
    </row>
    <row r="16" spans="1:10">
      <c r="A16" t="s">
        <v>101</v>
      </c>
      <c r="B16">
        <v>5.2030880000000002E-2</v>
      </c>
      <c r="I16" t="s">
        <v>89</v>
      </c>
      <c r="J16">
        <f>(J15/B15)/2</f>
        <v>4.2409894042483369</v>
      </c>
    </row>
    <row r="17" spans="1:13">
      <c r="A17" t="s">
        <v>119</v>
      </c>
      <c r="B17">
        <f>G9/B15</f>
        <v>8.1259534402950598E-2</v>
      </c>
      <c r="I17" t="s">
        <v>18</v>
      </c>
      <c r="J17">
        <f>J16/(1+B16)</f>
        <v>4.0312404178177133</v>
      </c>
    </row>
    <row r="18" spans="1:13" ht="18">
      <c r="A18" t="s">
        <v>19</v>
      </c>
      <c r="B18" t="s">
        <v>133</v>
      </c>
      <c r="M18" s="7"/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454-674D-4C58-8824-F92480E696F4}">
  <dimension ref="A1:M46"/>
  <sheetViews>
    <sheetView topLeftCell="A34" workbookViewId="0">
      <selection activeCell="B44" sqref="B44"/>
    </sheetView>
  </sheetViews>
  <sheetFormatPr defaultRowHeight="15"/>
  <cols>
    <col min="2" max="2" width="11.5703125" customWidth="1"/>
    <col min="13" max="13" width="12.28515625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44576</v>
      </c>
      <c r="C2">
        <f>(1+$B$40)^(1/2)-1</f>
        <v>2.2007827758672383E-2</v>
      </c>
      <c r="D2">
        <v>1.1778062453103324</v>
      </c>
      <c r="E2">
        <f>$B$39*D2</f>
        <v>1177.8062453103323</v>
      </c>
      <c r="F2">
        <f>C2*E2</f>
        <v>25.920956979878426</v>
      </c>
      <c r="G2">
        <f>A2*F2</f>
        <v>25.920956979878426</v>
      </c>
      <c r="H2">
        <f>(1+$B$43)^(-A2)</f>
        <v>0.94928262949010089</v>
      </c>
      <c r="I2">
        <f>G2*H2</f>
        <v>24.606314200758778</v>
      </c>
    </row>
    <row r="3" spans="1:9">
      <c r="A3">
        <v>2</v>
      </c>
      <c r="B3" s="1">
        <v>44757</v>
      </c>
      <c r="C3">
        <f t="shared" ref="C3:C37" si="0">(1+$B$40)^(1/2)-1</f>
        <v>2.2007827758672383E-2</v>
      </c>
      <c r="D3">
        <v>1.227354135202845</v>
      </c>
      <c r="E3">
        <f t="shared" ref="E3:E37" si="1">$B$39*D3</f>
        <v>1227.3541352028449</v>
      </c>
      <c r="F3">
        <f t="shared" ref="F3:F37" si="2">C3*E3</f>
        <v>27.011398406438506</v>
      </c>
      <c r="G3">
        <f t="shared" ref="G3:G37" si="3">A3*F3</f>
        <v>54.022796812877012</v>
      </c>
      <c r="H3">
        <f t="shared" ref="H3:H37" si="4">(1+$B$43)^(-A3)</f>
        <v>0.90113751065164016</v>
      </c>
      <c r="I3">
        <f t="shared" ref="I3:I37" si="5">G3*H3</f>
        <v>48.681968638395347</v>
      </c>
    </row>
    <row r="4" spans="1:9">
      <c r="A4">
        <v>3</v>
      </c>
      <c r="B4" s="1">
        <v>44941</v>
      </c>
      <c r="C4">
        <f t="shared" si="0"/>
        <v>2.2007827758672383E-2</v>
      </c>
      <c r="D4">
        <v>1.2697612930986548</v>
      </c>
      <c r="E4">
        <f t="shared" si="1"/>
        <v>1269.7612930986547</v>
      </c>
      <c r="F4">
        <f t="shared" si="2"/>
        <v>27.944687833144314</v>
      </c>
      <c r="G4">
        <f t="shared" si="3"/>
        <v>83.834063499432943</v>
      </c>
      <c r="H4">
        <f t="shared" si="4"/>
        <v>0.85543418564355278</v>
      </c>
      <c r="I4">
        <f t="shared" si="5"/>
        <v>71.714523838827319</v>
      </c>
    </row>
    <row r="5" spans="1:9">
      <c r="A5">
        <v>4</v>
      </c>
      <c r="B5" s="1">
        <v>45122</v>
      </c>
      <c r="C5">
        <f t="shared" si="0"/>
        <v>2.2007827758672383E-2</v>
      </c>
      <c r="D5">
        <v>1.3206860160707237</v>
      </c>
      <c r="E5">
        <f t="shared" si="1"/>
        <v>1320.6860160707238</v>
      </c>
      <c r="F5">
        <f t="shared" si="2"/>
        <v>29.065430364971714</v>
      </c>
      <c r="G5">
        <f t="shared" si="3"/>
        <v>116.26172145988686</v>
      </c>
      <c r="H5">
        <f t="shared" si="4"/>
        <v>0.81204881310343491</v>
      </c>
      <c r="I5">
        <f t="shared" si="5"/>
        <v>94.410192920863267</v>
      </c>
    </row>
    <row r="6" spans="1:9">
      <c r="A6">
        <v>5</v>
      </c>
      <c r="B6" s="1">
        <v>45306</v>
      </c>
      <c r="C6">
        <f t="shared" si="0"/>
        <v>2.2007827758672383E-2</v>
      </c>
      <c r="D6">
        <v>1.3612756168342039</v>
      </c>
      <c r="E6">
        <f t="shared" si="1"/>
        <v>1361.2756168342039</v>
      </c>
      <c r="F6">
        <f t="shared" si="2"/>
        <v>29.958719307367662</v>
      </c>
      <c r="G6">
        <f t="shared" si="3"/>
        <v>149.79359653683832</v>
      </c>
      <c r="H6">
        <f t="shared" si="4"/>
        <v>0.77086383257714419</v>
      </c>
      <c r="I6">
        <f t="shared" si="5"/>
        <v>115.47046592190162</v>
      </c>
    </row>
    <row r="7" spans="1:9">
      <c r="A7">
        <v>6</v>
      </c>
      <c r="B7" s="1">
        <v>45488</v>
      </c>
      <c r="C7">
        <f t="shared" si="0"/>
        <v>2.2007827758672383E-2</v>
      </c>
      <c r="D7">
        <v>1.4025692490237218</v>
      </c>
      <c r="E7">
        <f t="shared" si="1"/>
        <v>1402.5692490237218</v>
      </c>
      <c r="F7">
        <f t="shared" si="2"/>
        <v>30.86750245212454</v>
      </c>
      <c r="G7">
        <f t="shared" si="3"/>
        <v>185.20501471274724</v>
      </c>
      <c r="H7">
        <f t="shared" si="4"/>
        <v>0.73176764596764832</v>
      </c>
      <c r="I7">
        <f t="shared" si="5"/>
        <v>135.52703763775071</v>
      </c>
    </row>
    <row r="8" spans="1:9">
      <c r="A8">
        <v>7</v>
      </c>
      <c r="B8" s="1">
        <v>45672</v>
      </c>
      <c r="C8">
        <f t="shared" si="0"/>
        <v>2.2007827758672383E-2</v>
      </c>
      <c r="D8">
        <v>1.4439063091331503</v>
      </c>
      <c r="E8">
        <f t="shared" si="1"/>
        <v>1443.9063091331502</v>
      </c>
      <c r="F8">
        <f t="shared" si="2"/>
        <v>31.777241351062731</v>
      </c>
      <c r="G8">
        <f t="shared" si="3"/>
        <v>222.44068945743911</v>
      </c>
      <c r="H8">
        <f t="shared" si="4"/>
        <v>0.69465431513995046</v>
      </c>
      <c r="I8">
        <f t="shared" si="5"/>
        <v>154.51938479431576</v>
      </c>
    </row>
    <row r="9" spans="1:9">
      <c r="A9">
        <v>8</v>
      </c>
      <c r="B9" s="1">
        <v>45853</v>
      </c>
      <c r="C9">
        <f t="shared" si="0"/>
        <v>2.2007827758672383E-2</v>
      </c>
      <c r="D9">
        <v>1.4863748882918746</v>
      </c>
      <c r="E9">
        <f t="shared" si="1"/>
        <v>1486.3748882918746</v>
      </c>
      <c r="F9">
        <f t="shared" si="2"/>
        <v>32.71188252634348</v>
      </c>
      <c r="G9">
        <f t="shared" si="3"/>
        <v>261.69506021074784</v>
      </c>
      <c r="H9">
        <f t="shared" si="4"/>
        <v>0.65942327486269736</v>
      </c>
      <c r="I9">
        <f t="shared" si="5"/>
        <v>172.56781361956212</v>
      </c>
    </row>
    <row r="10" spans="1:9">
      <c r="A10">
        <v>9</v>
      </c>
      <c r="B10" s="1">
        <v>46037</v>
      </c>
      <c r="C10">
        <f t="shared" si="0"/>
        <v>2.2007827758672383E-2</v>
      </c>
      <c r="D10">
        <v>1.5299787838479577</v>
      </c>
      <c r="E10">
        <f t="shared" si="1"/>
        <v>1529.9787838479576</v>
      </c>
      <c r="F10">
        <f t="shared" si="2"/>
        <v>33.671509549348897</v>
      </c>
      <c r="G10">
        <f t="shared" si="3"/>
        <v>303.04358594414009</v>
      </c>
      <c r="H10">
        <f t="shared" si="4"/>
        <v>0.62597906030863482</v>
      </c>
      <c r="I10">
        <f t="shared" si="5"/>
        <v>189.69893916187183</v>
      </c>
    </row>
    <row r="11" spans="1:9">
      <c r="A11">
        <v>10</v>
      </c>
      <c r="B11" s="1">
        <v>46218</v>
      </c>
      <c r="C11">
        <f t="shared" si="0"/>
        <v>2.2007827758672383E-2</v>
      </c>
      <c r="D11">
        <v>1.5749319614998669</v>
      </c>
      <c r="E11">
        <f t="shared" si="1"/>
        <v>1574.9319614998669</v>
      </c>
      <c r="F11">
        <f t="shared" si="2"/>
        <v>34.660831340317117</v>
      </c>
      <c r="G11">
        <f t="shared" si="3"/>
        <v>346.60831340317117</v>
      </c>
      <c r="H11">
        <f t="shared" si="4"/>
        <v>0.59423104837552332</v>
      </c>
      <c r="I11">
        <f t="shared" si="5"/>
        <v>205.96542144923836</v>
      </c>
    </row>
    <row r="12" spans="1:9">
      <c r="A12">
        <v>11</v>
      </c>
      <c r="B12" s="1">
        <v>46402</v>
      </c>
      <c r="C12">
        <f t="shared" si="0"/>
        <v>2.2007827758672383E-2</v>
      </c>
      <c r="D12">
        <v>1.6213607757174053</v>
      </c>
      <c r="E12">
        <f t="shared" si="1"/>
        <v>1621.3607757174054</v>
      </c>
      <c r="F12">
        <f t="shared" si="2"/>
        <v>35.682628686656102</v>
      </c>
      <c r="G12">
        <f t="shared" si="3"/>
        <v>392.50891555321709</v>
      </c>
      <c r="H12">
        <f t="shared" si="4"/>
        <v>0.56409321212657615</v>
      </c>
      <c r="I12">
        <f t="shared" si="5"/>
        <v>221.41161496273327</v>
      </c>
    </row>
    <row r="13" spans="1:9">
      <c r="A13">
        <v>12</v>
      </c>
      <c r="B13" s="1">
        <v>46583</v>
      </c>
      <c r="C13">
        <f t="shared" si="0"/>
        <v>2.2007827758672383E-2</v>
      </c>
      <c r="D13">
        <v>1.669271962264659</v>
      </c>
      <c r="E13">
        <f t="shared" si="1"/>
        <v>1669.2719622646591</v>
      </c>
      <c r="F13">
        <f t="shared" si="2"/>
        <v>36.737049827901686</v>
      </c>
      <c r="G13">
        <f t="shared" si="3"/>
        <v>440.84459793482023</v>
      </c>
      <c r="H13">
        <f t="shared" si="4"/>
        <v>0.53548388768503341</v>
      </c>
      <c r="I13">
        <f t="shared" si="5"/>
        <v>236.06517916708299</v>
      </c>
    </row>
    <row r="14" spans="1:9">
      <c r="A14">
        <v>13</v>
      </c>
      <c r="B14" s="1">
        <v>46767</v>
      </c>
      <c r="C14">
        <f t="shared" si="0"/>
        <v>2.2007827758672383E-2</v>
      </c>
      <c r="D14">
        <v>1.7187838724615263</v>
      </c>
      <c r="E14">
        <f t="shared" si="1"/>
        <v>1718.7838724615262</v>
      </c>
      <c r="F14">
        <f t="shared" si="2"/>
        <v>37.82669941951719</v>
      </c>
      <c r="G14">
        <f t="shared" si="3"/>
        <v>491.7470924537235</v>
      </c>
      <c r="H14">
        <f t="shared" si="4"/>
        <v>0.5083255529512305</v>
      </c>
      <c r="I14">
        <f t="shared" si="5"/>
        <v>249.96761268369886</v>
      </c>
    </row>
    <row r="15" spans="1:9">
      <c r="A15">
        <v>14</v>
      </c>
      <c r="B15" s="1">
        <v>46949</v>
      </c>
      <c r="C15">
        <f t="shared" si="0"/>
        <v>2.2007827758672383E-2</v>
      </c>
      <c r="D15">
        <v>1.7698889393962991</v>
      </c>
      <c r="E15">
        <f t="shared" si="1"/>
        <v>1769.8889393962991</v>
      </c>
      <c r="F15">
        <f t="shared" si="2"/>
        <v>38.951410930213093</v>
      </c>
      <c r="G15">
        <f t="shared" si="3"/>
        <v>545.31975302298326</v>
      </c>
      <c r="H15">
        <f t="shared" si="4"/>
        <v>0.48254461754255351</v>
      </c>
      <c r="I15">
        <f t="shared" si="5"/>
        <v>263.1411116608752</v>
      </c>
    </row>
    <row r="16" spans="1:9">
      <c r="A16">
        <v>15</v>
      </c>
      <c r="B16" s="1">
        <v>47133</v>
      </c>
      <c r="C16">
        <f t="shared" si="0"/>
        <v>2.2007827758672383E-2</v>
      </c>
      <c r="D16">
        <v>1.8226695860759001</v>
      </c>
      <c r="E16">
        <f t="shared" si="1"/>
        <v>1822.6695860759</v>
      </c>
      <c r="F16">
        <f t="shared" si="2"/>
        <v>40.112998311329093</v>
      </c>
      <c r="G16">
        <f t="shared" si="3"/>
        <v>601.69497466993641</v>
      </c>
      <c r="H16">
        <f t="shared" si="4"/>
        <v>0.45807122338709028</v>
      </c>
      <c r="I16">
        <f t="shared" si="5"/>
        <v>275.61915315292208</v>
      </c>
    </row>
    <row r="17" spans="1:9">
      <c r="A17">
        <v>16</v>
      </c>
      <c r="B17" s="1">
        <v>47314</v>
      </c>
      <c r="C17">
        <f t="shared" si="0"/>
        <v>2.2007827758672383E-2</v>
      </c>
      <c r="D17">
        <v>1.8771518993177607</v>
      </c>
      <c r="E17">
        <f t="shared" si="1"/>
        <v>1877.1518993177608</v>
      </c>
      <c r="F17">
        <f t="shared" si="2"/>
        <v>41.312035677049998</v>
      </c>
      <c r="G17">
        <f t="shared" si="3"/>
        <v>660.99257083279997</v>
      </c>
      <c r="H17">
        <f t="shared" si="4"/>
        <v>0.43483905543064449</v>
      </c>
      <c r="I17">
        <f t="shared" si="5"/>
        <v>287.4253851476081</v>
      </c>
    </row>
    <row r="18" spans="1:9">
      <c r="A18">
        <v>17</v>
      </c>
      <c r="B18" s="1">
        <v>47498</v>
      </c>
      <c r="C18">
        <f t="shared" si="0"/>
        <v>2.2007827758672383E-2</v>
      </c>
      <c r="D18">
        <v>1.9333766836395962</v>
      </c>
      <c r="E18">
        <f t="shared" si="1"/>
        <v>1933.3766836395962</v>
      </c>
      <c r="F18">
        <f t="shared" si="2"/>
        <v>42.549421046173457</v>
      </c>
      <c r="G18">
        <f t="shared" si="3"/>
        <v>723.34015778494881</v>
      </c>
      <c r="H18">
        <f t="shared" si="4"/>
        <v>0.41278516194419396</v>
      </c>
      <c r="I18">
        <f t="shared" si="5"/>
        <v>298.58408417199888</v>
      </c>
    </row>
    <row r="19" spans="1:9">
      <c r="A19">
        <v>18</v>
      </c>
      <c r="B19" s="1">
        <v>47679</v>
      </c>
      <c r="C19">
        <f t="shared" si="0"/>
        <v>2.2007827758672383E-2</v>
      </c>
      <c r="D19">
        <v>1.9914147271498714</v>
      </c>
      <c r="E19">
        <f t="shared" si="1"/>
        <v>1991.4147271498714</v>
      </c>
      <c r="F19">
        <f t="shared" si="2"/>
        <v>43.82671231119793</v>
      </c>
      <c r="G19">
        <f t="shared" si="3"/>
        <v>788.88082160156273</v>
      </c>
      <c r="H19">
        <f t="shared" si="4"/>
        <v>0.39184978394488151</v>
      </c>
      <c r="I19">
        <f t="shared" si="5"/>
        <v>309.122779502833</v>
      </c>
    </row>
    <row r="20" spans="1:9">
      <c r="A20">
        <v>19</v>
      </c>
      <c r="B20" s="1">
        <v>47863</v>
      </c>
      <c r="C20">
        <f t="shared" si="0"/>
        <v>2.2007827758672383E-2</v>
      </c>
      <c r="D20">
        <v>2.0512747344025177</v>
      </c>
      <c r="E20">
        <f t="shared" si="1"/>
        <v>2051.2747344025179</v>
      </c>
      <c r="F20">
        <f t="shared" si="2"/>
        <v>45.144101040447055</v>
      </c>
      <c r="G20">
        <f t="shared" si="3"/>
        <v>857.73791976849407</v>
      </c>
      <c r="H20">
        <f t="shared" si="4"/>
        <v>0.37197619326832504</v>
      </c>
      <c r="I20">
        <f t="shared" si="5"/>
        <v>319.0580862173764</v>
      </c>
    </row>
    <row r="21" spans="1:9">
      <c r="A21">
        <v>20</v>
      </c>
      <c r="B21" s="1">
        <v>48044</v>
      </c>
      <c r="C21">
        <f t="shared" si="0"/>
        <v>2.2007827758672383E-2</v>
      </c>
      <c r="D21">
        <v>2.1130662725340157</v>
      </c>
      <c r="E21">
        <f t="shared" si="1"/>
        <v>2113.0662725340158</v>
      </c>
      <c r="F21">
        <f t="shared" si="2"/>
        <v>46.503998568588493</v>
      </c>
      <c r="G21">
        <f t="shared" si="3"/>
        <v>930.07997137176983</v>
      </c>
      <c r="H21">
        <f t="shared" si="4"/>
        <v>0.3531105388534736</v>
      </c>
      <c r="I21">
        <f t="shared" si="5"/>
        <v>328.42103986790892</v>
      </c>
    </row>
    <row r="22" spans="1:9">
      <c r="A22">
        <v>21</v>
      </c>
      <c r="B22" s="1">
        <v>48228</v>
      </c>
      <c r="C22">
        <f t="shared" si="0"/>
        <v>2.2007827758672383E-2</v>
      </c>
      <c r="D22">
        <v>2.1767727907350616</v>
      </c>
      <c r="E22">
        <f t="shared" si="1"/>
        <v>2176.7727907350618</v>
      </c>
      <c r="F22">
        <f t="shared" si="2"/>
        <v>47.906040648261843</v>
      </c>
      <c r="G22">
        <f t="shared" si="3"/>
        <v>1006.0268536134987</v>
      </c>
      <c r="H22">
        <f t="shared" si="4"/>
        <v>0.33520170082349182</v>
      </c>
      <c r="I22">
        <f t="shared" si="5"/>
        <v>337.22191240535079</v>
      </c>
    </row>
    <row r="23" spans="1:9">
      <c r="A23">
        <v>22</v>
      </c>
      <c r="B23" s="1">
        <v>48410</v>
      </c>
      <c r="C23">
        <f t="shared" si="0"/>
        <v>2.2007827758672383E-2</v>
      </c>
      <c r="D23">
        <v>2.2425287270968037</v>
      </c>
      <c r="E23">
        <f t="shared" si="1"/>
        <v>2242.5287270968038</v>
      </c>
      <c r="F23">
        <f t="shared" si="2"/>
        <v>49.353185969821283</v>
      </c>
      <c r="G23">
        <f t="shared" si="3"/>
        <v>1085.7700913360682</v>
      </c>
      <c r="H23">
        <f t="shared" si="4"/>
        <v>0.31820115196727844</v>
      </c>
      <c r="I23">
        <f t="shared" si="5"/>
        <v>345.49329383475401</v>
      </c>
    </row>
    <row r="24" spans="1:9">
      <c r="A24">
        <v>23</v>
      </c>
      <c r="B24" s="1">
        <v>48594</v>
      </c>
      <c r="C24">
        <f t="shared" si="0"/>
        <v>2.2007827758672383E-2</v>
      </c>
      <c r="D24">
        <v>2.3102955731120569</v>
      </c>
      <c r="E24">
        <f t="shared" si="1"/>
        <v>2310.2955731120569</v>
      </c>
      <c r="F24">
        <f t="shared" si="2"/>
        <v>50.844587044673446</v>
      </c>
      <c r="G24">
        <f t="shared" si="3"/>
        <v>1169.4255020274893</v>
      </c>
      <c r="H24">
        <f t="shared" si="4"/>
        <v>0.30206282624627728</v>
      </c>
      <c r="I24">
        <f t="shared" si="5"/>
        <v>353.23997222689508</v>
      </c>
    </row>
    <row r="25" spans="1:9">
      <c r="A25">
        <v>24</v>
      </c>
      <c r="B25" s="1">
        <v>48775</v>
      </c>
      <c r="C25">
        <f t="shared" si="0"/>
        <v>2.2007827758672383E-2</v>
      </c>
      <c r="D25">
        <v>2.3802445654384523</v>
      </c>
      <c r="E25">
        <f t="shared" si="1"/>
        <v>2380.2445654384524</v>
      </c>
      <c r="F25">
        <f t="shared" si="2"/>
        <v>52.384012419685455</v>
      </c>
      <c r="G25">
        <f t="shared" si="3"/>
        <v>1257.2162980724509</v>
      </c>
      <c r="H25">
        <f t="shared" si="4"/>
        <v>0.28674299397027753</v>
      </c>
      <c r="I25">
        <f t="shared" si="5"/>
        <v>360.49796537752343</v>
      </c>
    </row>
    <row r="26" spans="1:9">
      <c r="A26">
        <v>25</v>
      </c>
      <c r="B26" s="1">
        <v>48959</v>
      </c>
      <c r="C26">
        <f t="shared" si="0"/>
        <v>2.2007827758672383E-2</v>
      </c>
      <c r="D26">
        <v>2.4523134435284684</v>
      </c>
      <c r="E26">
        <f t="shared" si="1"/>
        <v>2452.3134435284683</v>
      </c>
      <c r="F26">
        <f t="shared" si="2"/>
        <v>53.970091875451281</v>
      </c>
      <c r="G26">
        <f t="shared" si="3"/>
        <v>1349.252296886282</v>
      </c>
      <c r="H26">
        <f t="shared" si="4"/>
        <v>0.27220014330396919</v>
      </c>
      <c r="I26">
        <f t="shared" si="5"/>
        <v>367.26666856565555</v>
      </c>
    </row>
    <row r="27" spans="1:9">
      <c r="A27">
        <v>26</v>
      </c>
      <c r="B27" s="1">
        <v>49140</v>
      </c>
      <c r="C27">
        <f t="shared" si="0"/>
        <v>2.2007827758672383E-2</v>
      </c>
      <c r="D27">
        <v>2.5267053369573156</v>
      </c>
      <c r="E27">
        <f t="shared" si="1"/>
        <v>2526.7053369573155</v>
      </c>
      <c r="F27">
        <f t="shared" si="2"/>
        <v>55.607295852674866</v>
      </c>
      <c r="G27">
        <f t="shared" si="3"/>
        <v>1445.7896921695465</v>
      </c>
      <c r="H27">
        <f t="shared" si="4"/>
        <v>0.25839486778317416</v>
      </c>
      <c r="I27">
        <f t="shared" si="5"/>
        <v>373.58463635042602</v>
      </c>
    </row>
    <row r="28" spans="1:9">
      <c r="A28">
        <v>27</v>
      </c>
      <c r="B28" s="1">
        <v>49324</v>
      </c>
      <c r="C28">
        <f t="shared" si="0"/>
        <v>2.2007827758672383E-2</v>
      </c>
      <c r="D28">
        <v>2.60333497166756</v>
      </c>
      <c r="E28">
        <f t="shared" si="1"/>
        <v>2603.3349716675598</v>
      </c>
      <c r="F28">
        <f t="shared" si="2"/>
        <v>57.293747654587904</v>
      </c>
      <c r="G28">
        <f t="shared" si="3"/>
        <v>1546.9311866738733</v>
      </c>
      <c r="H28">
        <f t="shared" si="4"/>
        <v>0.24528975953595855</v>
      </c>
      <c r="I28">
        <f t="shared" si="5"/>
        <v>379.4463787979094</v>
      </c>
    </row>
    <row r="29" spans="1:9">
      <c r="A29">
        <v>28</v>
      </c>
      <c r="B29" s="1">
        <v>49505</v>
      </c>
      <c r="C29">
        <f t="shared" si="0"/>
        <v>2.2007827758672383E-2</v>
      </c>
      <c r="D29">
        <v>2.6824367873064148</v>
      </c>
      <c r="E29">
        <f t="shared" si="1"/>
        <v>2682.4367873064148</v>
      </c>
      <c r="F29">
        <f t="shared" si="2"/>
        <v>59.03460678856608</v>
      </c>
      <c r="G29">
        <f t="shared" si="3"/>
        <v>1652.9689900798503</v>
      </c>
      <c r="H29">
        <f t="shared" si="4"/>
        <v>0.23284930791928926</v>
      </c>
      <c r="I29">
        <f t="shared" si="5"/>
        <v>384.89268535213967</v>
      </c>
    </row>
    <row r="30" spans="1:9">
      <c r="A30">
        <v>29</v>
      </c>
      <c r="B30" s="1">
        <v>49689</v>
      </c>
      <c r="C30">
        <f t="shared" si="0"/>
        <v>2.2007827758672383E-2</v>
      </c>
      <c r="D30">
        <v>2.7639042300012191</v>
      </c>
      <c r="E30">
        <f t="shared" si="1"/>
        <v>2763.9042300012193</v>
      </c>
      <c r="F30">
        <f t="shared" si="2"/>
        <v>60.827528235332849</v>
      </c>
      <c r="G30">
        <f t="shared" si="3"/>
        <v>1763.9983188246526</v>
      </c>
      <c r="H30">
        <f t="shared" si="4"/>
        <v>0.22103980329657311</v>
      </c>
      <c r="I30">
        <f t="shared" si="5"/>
        <v>389.91384140848686</v>
      </c>
    </row>
    <row r="31" spans="1:9">
      <c r="A31">
        <v>30</v>
      </c>
      <c r="B31" s="1">
        <v>49871</v>
      </c>
      <c r="C31">
        <f t="shared" si="0"/>
        <v>2.2007827758672383E-2</v>
      </c>
      <c r="D31">
        <v>2.8480020334092644</v>
      </c>
      <c r="E31">
        <f t="shared" si="1"/>
        <v>2848.0020334092642</v>
      </c>
      <c r="F31">
        <f t="shared" si="2"/>
        <v>62.678338207619795</v>
      </c>
      <c r="G31">
        <f t="shared" si="3"/>
        <v>1880.3501462285938</v>
      </c>
      <c r="H31">
        <f t="shared" si="4"/>
        <v>0.20982924569534556</v>
      </c>
      <c r="I31">
        <f t="shared" si="5"/>
        <v>394.55245282627857</v>
      </c>
    </row>
    <row r="32" spans="1:9">
      <c r="A32">
        <v>31</v>
      </c>
      <c r="B32" s="1">
        <v>50055</v>
      </c>
      <c r="C32">
        <f t="shared" si="0"/>
        <v>2.2007827758672383E-2</v>
      </c>
      <c r="D32">
        <v>2.9346033548676176</v>
      </c>
      <c r="E32">
        <f t="shared" si="1"/>
        <v>2934.6033548676178</v>
      </c>
      <c r="F32">
        <f t="shared" si="2"/>
        <v>64.584245173948659</v>
      </c>
      <c r="G32">
        <f t="shared" si="3"/>
        <v>2002.1116003924085</v>
      </c>
      <c r="H32">
        <f t="shared" si="4"/>
        <v>0.1991872580976021</v>
      </c>
      <c r="I32">
        <f t="shared" si="5"/>
        <v>398.79512008756586</v>
      </c>
    </row>
    <row r="33" spans="1:13">
      <c r="A33">
        <v>32</v>
      </c>
      <c r="B33" s="1">
        <v>50236</v>
      </c>
      <c r="C33">
        <f t="shared" si="0"/>
        <v>2.2007827758672383E-2</v>
      </c>
      <c r="D33">
        <v>3.0240028436092445</v>
      </c>
      <c r="E33">
        <f t="shared" si="1"/>
        <v>3024.0028436092443</v>
      </c>
      <c r="F33">
        <f t="shared" si="2"/>
        <v>66.55173372388775</v>
      </c>
      <c r="G33">
        <f t="shared" si="3"/>
        <v>2129.655479164408</v>
      </c>
      <c r="H33">
        <f t="shared" si="4"/>
        <v>0.18908500412781509</v>
      </c>
      <c r="I33">
        <f t="shared" si="5"/>
        <v>402.68591506862612</v>
      </c>
    </row>
    <row r="34" spans="1:13">
      <c r="A34">
        <v>33</v>
      </c>
      <c r="B34" s="1">
        <v>50420</v>
      </c>
      <c r="C34">
        <f t="shared" si="0"/>
        <v>2.2007827758672383E-2</v>
      </c>
      <c r="D34">
        <v>3.1160539219670165</v>
      </c>
      <c r="E34">
        <f t="shared" si="1"/>
        <v>3116.0539219670163</v>
      </c>
      <c r="F34">
        <f t="shared" si="2"/>
        <v>68.577578001385646</v>
      </c>
      <c r="G34">
        <f t="shared" si="3"/>
        <v>2263.0600740457262</v>
      </c>
      <c r="H34">
        <f t="shared" si="4"/>
        <v>0.17949510991559889</v>
      </c>
      <c r="I34">
        <f t="shared" si="5"/>
        <v>406.20821673644099</v>
      </c>
    </row>
    <row r="35" spans="1:13">
      <c r="A35">
        <v>34</v>
      </c>
      <c r="B35" s="1">
        <v>50601</v>
      </c>
      <c r="C35">
        <f t="shared" si="0"/>
        <v>2.2007827758672383E-2</v>
      </c>
      <c r="D35">
        <v>3.2110812455495106</v>
      </c>
      <c r="E35">
        <f t="shared" si="1"/>
        <v>3211.0812455495106</v>
      </c>
      <c r="F35">
        <f t="shared" si="2"/>
        <v>70.668922971156803</v>
      </c>
      <c r="G35">
        <f t="shared" si="3"/>
        <v>2402.7433810193315</v>
      </c>
      <c r="H35">
        <f t="shared" si="4"/>
        <v>0.17039158992129438</v>
      </c>
      <c r="I35">
        <f t="shared" si="5"/>
        <v>409.40726486475035</v>
      </c>
    </row>
    <row r="36" spans="1:13">
      <c r="A36">
        <v>35</v>
      </c>
      <c r="B36" s="1">
        <v>50785</v>
      </c>
      <c r="C36">
        <f t="shared" si="0"/>
        <v>2.2007827758672383E-2</v>
      </c>
      <c r="D36">
        <v>3.3089187389282242</v>
      </c>
      <c r="E36">
        <f t="shared" si="1"/>
        <v>3308.9187389282242</v>
      </c>
      <c r="F36">
        <f t="shared" si="2"/>
        <v>72.822113673775789</v>
      </c>
      <c r="G36">
        <f t="shared" si="3"/>
        <v>2548.7739785821527</v>
      </c>
      <c r="H36">
        <f t="shared" si="4"/>
        <v>0.16174977652348532</v>
      </c>
      <c r="I36">
        <f t="shared" si="5"/>
        <v>412.26362144453776</v>
      </c>
    </row>
    <row r="37" spans="1:13">
      <c r="A37">
        <v>36</v>
      </c>
      <c r="B37" s="1">
        <v>50966</v>
      </c>
      <c r="C37">
        <f t="shared" si="0"/>
        <v>2.2007827758672383E-2</v>
      </c>
      <c r="D37">
        <v>3.4099215080035274</v>
      </c>
      <c r="E37">
        <f t="shared" si="1"/>
        <v>3409.9215080035274</v>
      </c>
      <c r="F37">
        <f t="shared" si="2"/>
        <v>75.044965218734021</v>
      </c>
      <c r="G37">
        <f t="shared" si="3"/>
        <v>2701.6187478744246</v>
      </c>
      <c r="H37">
        <f t="shared" si="4"/>
        <v>0.15354625317765033</v>
      </c>
      <c r="I37">
        <f t="shared" si="5"/>
        <v>414.8234362506131</v>
      </c>
    </row>
    <row r="38" spans="1:13">
      <c r="H38" t="s">
        <v>4</v>
      </c>
      <c r="I38">
        <f>SUM(I2:I37)</f>
        <v>10132.271490316478</v>
      </c>
    </row>
    <row r="39" spans="1:13">
      <c r="A39" t="s">
        <v>98</v>
      </c>
      <c r="B39" s="8">
        <v>1000</v>
      </c>
      <c r="H39" t="s">
        <v>5</v>
      </c>
      <c r="I39">
        <f>(A37*B41)*H37</f>
        <v>18848.904162617695</v>
      </c>
    </row>
    <row r="40" spans="1:13">
      <c r="A40" t="s">
        <v>79</v>
      </c>
      <c r="B40" s="11">
        <v>4.4499999999999998E-2</v>
      </c>
      <c r="H40" t="s">
        <v>6</v>
      </c>
      <c r="I40">
        <f>SUM(I38:I39)</f>
        <v>28981.175652934173</v>
      </c>
    </row>
    <row r="41" spans="1:13">
      <c r="A41" t="s">
        <v>111</v>
      </c>
      <c r="B41">
        <f>B39*D37</f>
        <v>3409.9215080035274</v>
      </c>
      <c r="H41" t="s">
        <v>89</v>
      </c>
      <c r="I41">
        <f>(I40/B42)/2</f>
        <v>12.590153901660299</v>
      </c>
    </row>
    <row r="42" spans="1:13">
      <c r="A42" t="s">
        <v>90</v>
      </c>
      <c r="B42">
        <v>1150.946044</v>
      </c>
      <c r="H42" t="s">
        <v>18</v>
      </c>
      <c r="I42">
        <f>I41/(1+B43)</f>
        <v>11.951614401453142</v>
      </c>
    </row>
    <row r="43" spans="1:13">
      <c r="A43" t="s">
        <v>101</v>
      </c>
      <c r="B43">
        <v>5.3427049999999997E-2</v>
      </c>
    </row>
    <row r="44" spans="1:13">
      <c r="A44" t="s">
        <v>119</v>
      </c>
      <c r="B44">
        <f>F3/B42</f>
        <v>2.3468865936202395E-2</v>
      </c>
    </row>
    <row r="46" spans="1:13" ht="18">
      <c r="M46" s="16"/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B3E5D-17A4-4271-989E-3030D68DA170}">
  <dimension ref="A1:N22"/>
  <sheetViews>
    <sheetView topLeftCell="A7" workbookViewId="0">
      <selection activeCell="B21" sqref="B21"/>
    </sheetView>
  </sheetViews>
  <sheetFormatPr defaultRowHeight="15"/>
  <cols>
    <col min="2" max="2" width="11.7109375" customWidth="1"/>
    <col min="4" max="4" width="10.7109375" bestFit="1" customWidth="1"/>
  </cols>
  <sheetData>
    <row r="1" spans="1:10">
      <c r="A1" t="s">
        <v>96</v>
      </c>
      <c r="B1" t="s">
        <v>0</v>
      </c>
      <c r="C1" t="s">
        <v>121</v>
      </c>
      <c r="D1" t="s">
        <v>141</v>
      </c>
      <c r="E1" t="s">
        <v>116</v>
      </c>
      <c r="F1" t="s">
        <v>142</v>
      </c>
      <c r="G1" t="s">
        <v>107</v>
      </c>
      <c r="H1" t="s">
        <v>12</v>
      </c>
      <c r="I1" t="s">
        <v>3</v>
      </c>
      <c r="J1" t="s">
        <v>102</v>
      </c>
    </row>
    <row r="2" spans="1:10">
      <c r="A2">
        <v>0</v>
      </c>
      <c r="B2" s="1">
        <v>43609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</v>
      </c>
      <c r="B3" s="1">
        <v>43784</v>
      </c>
      <c r="C3">
        <v>4.9000000000000002E-2</v>
      </c>
      <c r="D3" s="14">
        <f>(1+C3)^(NETWORKDAYS.INTL(B2,B3)/252)-1</f>
        <v>2.4207010325549394E-2</v>
      </c>
      <c r="E3">
        <v>1.08</v>
      </c>
      <c r="F3">
        <f>E3*D3</f>
        <v>2.6143571151593346E-2</v>
      </c>
      <c r="G3">
        <f>$B$18*F3</f>
        <v>26.143571151593346</v>
      </c>
      <c r="H3">
        <f>A3*G3</f>
        <v>26.143571151593346</v>
      </c>
      <c r="I3">
        <f>(1+$B$20)^(-A3)</f>
        <v>0.95837337816629553</v>
      </c>
      <c r="J3">
        <f>H3*I3</f>
        <v>25.055302601883422</v>
      </c>
    </row>
    <row r="4" spans="1:10">
      <c r="A4">
        <v>2</v>
      </c>
      <c r="B4" s="1">
        <v>43966</v>
      </c>
      <c r="C4">
        <v>2.9000000000000001E-2</v>
      </c>
      <c r="D4" s="14">
        <f t="shared" ref="D4:D16" si="0">(1+C4)^(NETWORKDAYS.INTL(B3,B4)/252)-1</f>
        <v>1.4971912676972066E-2</v>
      </c>
      <c r="E4">
        <v>1.08</v>
      </c>
      <c r="F4">
        <f t="shared" ref="F4:F16" si="1">E4*D4</f>
        <v>1.6169665691129834E-2</v>
      </c>
      <c r="G4">
        <f t="shared" ref="G4:G16" si="2">$B$18*F4</f>
        <v>16.169665691129833</v>
      </c>
      <c r="H4">
        <f t="shared" ref="H4:H16" si="3">A4*G4</f>
        <v>32.339331382259665</v>
      </c>
      <c r="I4">
        <f t="shared" ref="I4:I16" si="4">(1+$B$20)^(-A4)</f>
        <v>0.91847953197787746</v>
      </c>
      <c r="J4">
        <f t="shared" ref="J4:J16" si="5">H4*I4</f>
        <v>29.703013952455343</v>
      </c>
    </row>
    <row r="5" spans="1:10">
      <c r="A5">
        <v>3</v>
      </c>
      <c r="B5" s="1">
        <v>44150</v>
      </c>
      <c r="C5">
        <v>1.9E-2</v>
      </c>
      <c r="D5" s="14">
        <f t="shared" si="0"/>
        <v>9.8323476256725328E-3</v>
      </c>
      <c r="E5">
        <v>1.08</v>
      </c>
      <c r="F5">
        <f t="shared" si="1"/>
        <v>1.0618935435726336E-2</v>
      </c>
      <c r="G5">
        <f t="shared" si="2"/>
        <v>10.618935435726337</v>
      </c>
      <c r="H5">
        <f t="shared" si="3"/>
        <v>31.856806307179014</v>
      </c>
      <c r="I5">
        <f t="shared" si="4"/>
        <v>0.88024633183823642</v>
      </c>
      <c r="J5">
        <f t="shared" si="5"/>
        <v>28.041836895975521</v>
      </c>
    </row>
    <row r="6" spans="1:10">
      <c r="A6">
        <v>4</v>
      </c>
      <c r="B6" s="1">
        <v>44331</v>
      </c>
      <c r="C6">
        <v>3.4000000000000002E-2</v>
      </c>
      <c r="D6" s="14">
        <f t="shared" si="0"/>
        <v>1.7397706140109825E-2</v>
      </c>
      <c r="E6">
        <v>1.08</v>
      </c>
      <c r="F6">
        <f t="shared" si="1"/>
        <v>1.8789522631318611E-2</v>
      </c>
      <c r="G6">
        <f t="shared" si="2"/>
        <v>18.789522631318611</v>
      </c>
      <c r="H6">
        <f t="shared" si="3"/>
        <v>75.158090525274446</v>
      </c>
      <c r="I6">
        <f t="shared" si="4"/>
        <v>0.84360465066230073</v>
      </c>
      <c r="J6">
        <f t="shared" si="5"/>
        <v>63.40371470201972</v>
      </c>
    </row>
    <row r="7" spans="1:10">
      <c r="A7">
        <v>5</v>
      </c>
      <c r="B7" s="1">
        <v>44515</v>
      </c>
      <c r="C7">
        <v>7.6499999999999999E-2</v>
      </c>
      <c r="D7" s="14">
        <f t="shared" si="0"/>
        <v>3.9063803573089029E-2</v>
      </c>
      <c r="E7">
        <v>1.08</v>
      </c>
      <c r="F7">
        <f t="shared" si="1"/>
        <v>4.2188907858936156E-2</v>
      </c>
      <c r="G7">
        <f t="shared" si="2"/>
        <v>42.188907858936155</v>
      </c>
      <c r="H7">
        <f t="shared" si="3"/>
        <v>210.94453929468077</v>
      </c>
      <c r="I7">
        <f t="shared" si="4"/>
        <v>0.80848823889202681</v>
      </c>
      <c r="J7">
        <f t="shared" si="5"/>
        <v>170.54617907824641</v>
      </c>
    </row>
    <row r="8" spans="1:10">
      <c r="A8">
        <v>6</v>
      </c>
      <c r="B8" s="1">
        <v>44696</v>
      </c>
      <c r="C8">
        <v>0.1265</v>
      </c>
      <c r="D8" s="14">
        <f t="shared" si="0"/>
        <v>6.3375691247208543E-2</v>
      </c>
      <c r="E8">
        <v>1.08</v>
      </c>
      <c r="F8">
        <f t="shared" si="1"/>
        <v>6.8445746546985237E-2</v>
      </c>
      <c r="G8">
        <f t="shared" si="2"/>
        <v>68.445746546985234</v>
      </c>
      <c r="H8">
        <f t="shared" si="3"/>
        <v>410.67447928191143</v>
      </c>
      <c r="I8">
        <f t="shared" si="4"/>
        <v>0.77483360471467078</v>
      </c>
      <c r="J8">
        <f t="shared" si="5"/>
        <v>318.20438714632382</v>
      </c>
    </row>
    <row r="9" spans="1:10">
      <c r="A9">
        <v>7</v>
      </c>
      <c r="B9" s="1">
        <v>44880</v>
      </c>
      <c r="C9">
        <v>0.13650000000000001</v>
      </c>
      <c r="D9" s="14">
        <f t="shared" si="0"/>
        <v>6.9320276311037654E-2</v>
      </c>
      <c r="E9">
        <v>1.08</v>
      </c>
      <c r="F9">
        <f t="shared" si="1"/>
        <v>7.4865898415920673E-2</v>
      </c>
      <c r="G9">
        <f t="shared" si="2"/>
        <v>74.865898415920668</v>
      </c>
      <c r="H9">
        <f t="shared" si="3"/>
        <v>524.06128891144465</v>
      </c>
      <c r="I9">
        <f t="shared" si="4"/>
        <v>0.74257989926716705</v>
      </c>
      <c r="J9">
        <f t="shared" si="5"/>
        <v>389.15737912968228</v>
      </c>
    </row>
    <row r="10" spans="1:10">
      <c r="A10">
        <v>8</v>
      </c>
      <c r="B10" s="1">
        <v>45061</v>
      </c>
      <c r="C10">
        <v>0.13694999999999999</v>
      </c>
      <c r="D10" s="14">
        <f t="shared" si="0"/>
        <v>6.8453107700698235E-2</v>
      </c>
      <c r="E10">
        <v>1.08</v>
      </c>
      <c r="F10">
        <f t="shared" si="1"/>
        <v>7.3929356316754097E-2</v>
      </c>
      <c r="G10">
        <f t="shared" si="2"/>
        <v>73.929356316754095</v>
      </c>
      <c r="H10">
        <f t="shared" si="3"/>
        <v>591.43485053403276</v>
      </c>
      <c r="I10">
        <f t="shared" si="4"/>
        <v>0.7116688066190624</v>
      </c>
      <c r="J10">
        <f t="shared" si="5"/>
        <v>420.90573427247864</v>
      </c>
    </row>
    <row r="11" spans="1:10">
      <c r="A11">
        <v>9</v>
      </c>
      <c r="B11" s="1">
        <v>45245</v>
      </c>
      <c r="C11">
        <v>0.13150999999999999</v>
      </c>
      <c r="D11" s="14">
        <f t="shared" si="0"/>
        <v>6.7381593339385093E-2</v>
      </c>
      <c r="E11">
        <v>1.08</v>
      </c>
      <c r="F11">
        <f t="shared" si="1"/>
        <v>7.2772120806535903E-2</v>
      </c>
      <c r="G11">
        <f t="shared" si="2"/>
        <v>72.772120806535909</v>
      </c>
      <c r="H11">
        <f t="shared" si="3"/>
        <v>654.94908725882317</v>
      </c>
      <c r="I11">
        <f t="shared" si="4"/>
        <v>0.68204443833508699</v>
      </c>
      <c r="J11">
        <f t="shared" si="5"/>
        <v>446.70438235752192</v>
      </c>
    </row>
    <row r="12" spans="1:10">
      <c r="A12">
        <v>10</v>
      </c>
      <c r="B12" s="1">
        <v>45427</v>
      </c>
      <c r="C12">
        <v>0.12570000000000001</v>
      </c>
      <c r="D12" s="14">
        <f t="shared" si="0"/>
        <v>6.3485625154833025E-2</v>
      </c>
      <c r="E12">
        <v>1.08</v>
      </c>
      <c r="F12">
        <f t="shared" si="1"/>
        <v>6.8564475167219668E-2</v>
      </c>
      <c r="G12">
        <f t="shared" si="2"/>
        <v>68.564475167219669</v>
      </c>
      <c r="H12">
        <f t="shared" si="3"/>
        <v>685.64475167219666</v>
      </c>
      <c r="I12">
        <f t="shared" si="4"/>
        <v>0.65365323242673101</v>
      </c>
      <c r="J12">
        <f t="shared" si="5"/>
        <v>448.17390822695461</v>
      </c>
    </row>
    <row r="13" spans="1:10">
      <c r="A13">
        <v>11</v>
      </c>
      <c r="B13" s="1">
        <v>45611</v>
      </c>
      <c r="C13">
        <v>0.11924999999999999</v>
      </c>
      <c r="D13" s="14">
        <f t="shared" si="0"/>
        <v>6.1262058034533773E-2</v>
      </c>
      <c r="E13">
        <v>1.08</v>
      </c>
      <c r="F13">
        <f t="shared" si="1"/>
        <v>6.6163022677296485E-2</v>
      </c>
      <c r="G13">
        <f t="shared" si="2"/>
        <v>66.163022677296482</v>
      </c>
      <c r="H13">
        <f t="shared" si="3"/>
        <v>727.79324945026133</v>
      </c>
      <c r="I13">
        <f t="shared" si="4"/>
        <v>0.62644385651012491</v>
      </c>
      <c r="J13">
        <f t="shared" si="5"/>
        <v>455.92160992765707</v>
      </c>
    </row>
    <row r="14" spans="1:10">
      <c r="A14">
        <v>12</v>
      </c>
      <c r="B14" s="1">
        <v>45792</v>
      </c>
      <c r="C14">
        <v>0.11595</v>
      </c>
      <c r="D14" s="14">
        <f t="shared" si="0"/>
        <v>5.8226502516244949E-2</v>
      </c>
      <c r="E14">
        <v>1.08</v>
      </c>
      <c r="F14">
        <f t="shared" si="1"/>
        <v>6.2884622717544553E-2</v>
      </c>
      <c r="G14">
        <f t="shared" si="2"/>
        <v>62.884622717544552</v>
      </c>
      <c r="H14">
        <f t="shared" si="3"/>
        <v>754.61547261053465</v>
      </c>
      <c r="I14">
        <f t="shared" si="4"/>
        <v>0.60036711499513062</v>
      </c>
      <c r="J14">
        <f t="shared" si="5"/>
        <v>453.04631422187373</v>
      </c>
    </row>
    <row r="15" spans="1:10">
      <c r="A15">
        <v>13</v>
      </c>
      <c r="B15" s="1">
        <v>45976</v>
      </c>
      <c r="C15">
        <v>0.11544</v>
      </c>
      <c r="D15" s="14">
        <f t="shared" si="0"/>
        <v>5.8894710677173556E-2</v>
      </c>
      <c r="E15">
        <v>1.08</v>
      </c>
      <c r="F15">
        <f t="shared" si="1"/>
        <v>6.360628753134745E-2</v>
      </c>
      <c r="G15">
        <f t="shared" si="2"/>
        <v>63.606287531347448</v>
      </c>
      <c r="H15">
        <f t="shared" si="3"/>
        <v>826.88173790751682</v>
      </c>
      <c r="I15">
        <f t="shared" si="4"/>
        <v>0.57537586013783626</v>
      </c>
      <c r="J15">
        <f t="shared" si="5"/>
        <v>475.7677911808064</v>
      </c>
    </row>
    <row r="16" spans="1:10">
      <c r="A16">
        <v>14</v>
      </c>
      <c r="B16" s="1">
        <v>46157</v>
      </c>
      <c r="C16">
        <v>0.11496000000000001</v>
      </c>
      <c r="D16" s="14">
        <f t="shared" si="0"/>
        <v>5.7742101331899942E-2</v>
      </c>
      <c r="E16">
        <v>1.08</v>
      </c>
      <c r="F16">
        <f t="shared" si="1"/>
        <v>6.2361469438451944E-2</v>
      </c>
      <c r="G16">
        <f t="shared" si="2"/>
        <v>62.361469438451941</v>
      </c>
      <c r="H16">
        <f t="shared" si="3"/>
        <v>873.06057213832719</v>
      </c>
      <c r="I16">
        <f t="shared" si="4"/>
        <v>0.55142490679563605</v>
      </c>
      <c r="J16">
        <f t="shared" si="5"/>
        <v>481.42734461832174</v>
      </c>
    </row>
    <row r="17" spans="1:14">
      <c r="I17" t="s">
        <v>4</v>
      </c>
      <c r="J17">
        <f>SUM(J3:J16)</f>
        <v>4206.0588983122007</v>
      </c>
    </row>
    <row r="18" spans="1:14">
      <c r="A18" t="s">
        <v>98</v>
      </c>
      <c r="B18" s="8">
        <v>1000</v>
      </c>
      <c r="I18" t="s">
        <v>5</v>
      </c>
      <c r="J18">
        <f>(A16*B18)*I16</f>
        <v>7719.9486951389044</v>
      </c>
    </row>
    <row r="19" spans="1:14">
      <c r="A19" t="s">
        <v>90</v>
      </c>
      <c r="B19">
        <v>1056.5822949999999</v>
      </c>
      <c r="I19" t="s">
        <v>6</v>
      </c>
      <c r="J19">
        <f>SUM(J17:J18)</f>
        <v>11926.007593451104</v>
      </c>
    </row>
    <row r="20" spans="1:14">
      <c r="A20" t="s">
        <v>101</v>
      </c>
      <c r="B20">
        <v>4.343466E-2</v>
      </c>
      <c r="I20" t="s">
        <v>89</v>
      </c>
      <c r="J20">
        <f>(J19/B19)/2</f>
        <v>5.6436718890179325</v>
      </c>
      <c r="N20" s="6"/>
    </row>
    <row r="21" spans="1:14">
      <c r="A21" t="s">
        <v>119</v>
      </c>
      <c r="B21">
        <f>G8/B19</f>
        <v>6.4780326975841698E-2</v>
      </c>
      <c r="I21" t="s">
        <v>18</v>
      </c>
      <c r="J21">
        <f>J20/(1+B20)</f>
        <v>5.4087448935402751</v>
      </c>
    </row>
    <row r="22" spans="1:14">
      <c r="A22" t="s">
        <v>19</v>
      </c>
      <c r="B22" t="s">
        <v>109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071EE-38C9-407B-A2ED-27FCBE11E06B}">
  <dimension ref="A1:L53"/>
  <sheetViews>
    <sheetView topLeftCell="A40" workbookViewId="0">
      <selection activeCell="B48" sqref="B48"/>
    </sheetView>
  </sheetViews>
  <sheetFormatPr defaultRowHeight="15"/>
  <cols>
    <col min="2" max="2" width="11.5703125" customWidth="1"/>
    <col min="12" max="12" width="10" bestFit="1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45731</v>
      </c>
      <c r="C2">
        <f>(1+$B$44)^(1/2)-1</f>
        <v>2.2252415013043647E-2</v>
      </c>
      <c r="D2">
        <v>1.4594406621886562</v>
      </c>
      <c r="E2">
        <f>$B$43*D2</f>
        <v>1459.4406621886562</v>
      </c>
      <c r="F2">
        <f>C2*E2</f>
        <v>32.476079301933218</v>
      </c>
      <c r="G2">
        <f>A2*F2</f>
        <v>32.476079301933218</v>
      </c>
      <c r="H2">
        <f>(1+$B$47)^(-A2)</f>
        <v>0.94193395392714674</v>
      </c>
      <c r="I2">
        <f>G2*H2</f>
        <v>30.590321784921528</v>
      </c>
    </row>
    <row r="3" spans="1:9">
      <c r="A3">
        <v>2</v>
      </c>
      <c r="B3" s="1">
        <v>45915</v>
      </c>
      <c r="C3">
        <f t="shared" ref="C3:C41" si="0">(1+$B$44)^(1/2)-1</f>
        <v>2.2252415013043647E-2</v>
      </c>
      <c r="D3">
        <v>1.4888162815157573</v>
      </c>
      <c r="E3">
        <f t="shared" ref="E3:E41" si="1">$B$43*D3</f>
        <v>1488.8162815157573</v>
      </c>
      <c r="F3">
        <f t="shared" ref="F3:F41" si="2">C3*E3</f>
        <v>33.129757774465055</v>
      </c>
      <c r="G3">
        <f t="shared" ref="G3:G41" si="3">A3*F3</f>
        <v>66.259515548930111</v>
      </c>
      <c r="H3">
        <f t="shared" ref="H3:H41" si="4">(1+$B$47)^(-A3)</f>
        <v>0.88723957356082817</v>
      </c>
      <c r="I3">
        <f t="shared" ref="I3:I41" si="5">G3*H3</f>
        <v>58.788064319979817</v>
      </c>
    </row>
    <row r="4" spans="1:9">
      <c r="A4">
        <v>3</v>
      </c>
      <c r="B4" s="1">
        <v>46096</v>
      </c>
      <c r="C4">
        <f t="shared" si="0"/>
        <v>2.2252415013043647E-2</v>
      </c>
      <c r="D4">
        <v>1.5464210114584624</v>
      </c>
      <c r="E4">
        <f t="shared" si="1"/>
        <v>1546.4210114584625</v>
      </c>
      <c r="F4">
        <f t="shared" si="2"/>
        <v>34.411602131864434</v>
      </c>
      <c r="G4">
        <f t="shared" si="3"/>
        <v>103.2348063955933</v>
      </c>
      <c r="H4">
        <f t="shared" si="4"/>
        <v>0.83572107960478637</v>
      </c>
      <c r="I4">
        <f t="shared" si="5"/>
        <v>86.27550385371633</v>
      </c>
    </row>
    <row r="5" spans="1:9">
      <c r="A5">
        <v>4</v>
      </c>
      <c r="B5" s="1">
        <v>46280</v>
      </c>
      <c r="C5">
        <f t="shared" si="0"/>
        <v>2.2252415013043647E-2</v>
      </c>
      <c r="D5">
        <v>1.5775150029417564</v>
      </c>
      <c r="E5">
        <f t="shared" si="1"/>
        <v>1577.5150029417564</v>
      </c>
      <c r="F5">
        <f t="shared" si="2"/>
        <v>35.103518534762735</v>
      </c>
      <c r="G5">
        <f t="shared" si="3"/>
        <v>140.41407413905094</v>
      </c>
      <c r="H5">
        <f t="shared" si="4"/>
        <v>0.78719406089240018</v>
      </c>
      <c r="I5">
        <f t="shared" si="5"/>
        <v>110.53312522796605</v>
      </c>
    </row>
    <row r="6" spans="1:9">
      <c r="A6">
        <v>5</v>
      </c>
      <c r="B6" s="1">
        <v>46461</v>
      </c>
      <c r="C6">
        <f t="shared" si="0"/>
        <v>2.2252415013043647E-2</v>
      </c>
      <c r="D6">
        <v>1.6388904762744732</v>
      </c>
      <c r="E6">
        <f t="shared" si="1"/>
        <v>1638.8904762744733</v>
      </c>
      <c r="F6">
        <f t="shared" si="2"/>
        <v>36.469271038984338</v>
      </c>
      <c r="G6">
        <f t="shared" si="3"/>
        <v>182.3463551949217</v>
      </c>
      <c r="H6">
        <f t="shared" si="4"/>
        <v>0.74148481428434565</v>
      </c>
      <c r="I6">
        <f t="shared" si="5"/>
        <v>135.20705331713384</v>
      </c>
    </row>
    <row r="7" spans="1:9">
      <c r="A7">
        <v>6</v>
      </c>
      <c r="B7" s="1">
        <v>46645</v>
      </c>
      <c r="C7">
        <f t="shared" si="0"/>
        <v>2.2252415013043647E-2</v>
      </c>
      <c r="D7">
        <v>1.6720318624865365</v>
      </c>
      <c r="E7">
        <f t="shared" si="1"/>
        <v>1672.0318624865365</v>
      </c>
      <c r="F7">
        <f t="shared" si="2"/>
        <v>37.206746919082732</v>
      </c>
      <c r="G7">
        <f t="shared" si="3"/>
        <v>223.24048151449639</v>
      </c>
      <c r="H7">
        <f t="shared" si="4"/>
        <v>0.69842972289578975</v>
      </c>
      <c r="I7">
        <f t="shared" si="5"/>
        <v>155.9177876432924</v>
      </c>
    </row>
    <row r="8" spans="1:9">
      <c r="A8">
        <v>7</v>
      </c>
      <c r="B8" s="1">
        <v>46827</v>
      </c>
      <c r="C8">
        <f t="shared" si="0"/>
        <v>2.2252415013043647E-2</v>
      </c>
      <c r="D8">
        <v>1.7374884908587442</v>
      </c>
      <c r="E8">
        <f t="shared" si="1"/>
        <v>1737.4884908587442</v>
      </c>
      <c r="F8">
        <f t="shared" si="2"/>
        <v>38.66331497897567</v>
      </c>
      <c r="G8">
        <f t="shared" si="3"/>
        <v>270.64320485282968</v>
      </c>
      <c r="H8">
        <f t="shared" si="4"/>
        <v>0.65787467042747272</v>
      </c>
      <c r="I8">
        <f t="shared" si="5"/>
        <v>178.0493091959903</v>
      </c>
    </row>
    <row r="9" spans="1:9">
      <c r="A9">
        <v>8</v>
      </c>
      <c r="B9" s="1">
        <v>47011</v>
      </c>
      <c r="C9">
        <f t="shared" si="0"/>
        <v>2.2252415013043647E-2</v>
      </c>
      <c r="D9">
        <v>1.7728407299024878</v>
      </c>
      <c r="E9">
        <f t="shared" si="1"/>
        <v>1772.8407299024877</v>
      </c>
      <c r="F9">
        <f t="shared" si="2"/>
        <v>39.449987673817375</v>
      </c>
      <c r="G9">
        <f t="shared" si="3"/>
        <v>315.599901390539</v>
      </c>
      <c r="H9">
        <f t="shared" si="4"/>
        <v>0.61967448950426796</v>
      </c>
      <c r="I9">
        <f t="shared" si="5"/>
        <v>195.56920778177957</v>
      </c>
    </row>
    <row r="10" spans="1:9">
      <c r="A10">
        <v>9</v>
      </c>
      <c r="B10" s="1">
        <v>47192</v>
      </c>
      <c r="C10">
        <f t="shared" si="0"/>
        <v>2.2252415013043647E-2</v>
      </c>
      <c r="D10">
        <v>1.8426160474587938</v>
      </c>
      <c r="E10">
        <f t="shared" si="1"/>
        <v>1842.6160474587939</v>
      </c>
      <c r="F10">
        <f t="shared" si="2"/>
        <v>41.002656997747209</v>
      </c>
      <c r="G10">
        <f t="shared" si="3"/>
        <v>369.02391297972486</v>
      </c>
      <c r="H10">
        <f t="shared" si="4"/>
        <v>0.58369244204654125</v>
      </c>
      <c r="I10">
        <f t="shared" si="5"/>
        <v>215.39646894070594</v>
      </c>
    </row>
    <row r="11" spans="1:9">
      <c r="A11">
        <v>10</v>
      </c>
      <c r="B11" s="1">
        <v>47376</v>
      </c>
      <c r="C11">
        <f t="shared" si="0"/>
        <v>2.2252415013043647E-2</v>
      </c>
      <c r="D11">
        <v>1.8803059566703002</v>
      </c>
      <c r="E11">
        <f t="shared" si="1"/>
        <v>1880.3059566703002</v>
      </c>
      <c r="F11">
        <f t="shared" si="2"/>
        <v>41.841348499325584</v>
      </c>
      <c r="G11">
        <f t="shared" si="3"/>
        <v>418.41348499325585</v>
      </c>
      <c r="H11">
        <f t="shared" si="4"/>
        <v>0.54979972981429059</v>
      </c>
      <c r="I11">
        <f t="shared" si="5"/>
        <v>230.04362099994779</v>
      </c>
    </row>
    <row r="12" spans="1:9">
      <c r="A12">
        <v>11</v>
      </c>
      <c r="B12" s="1">
        <v>47557</v>
      </c>
      <c r="C12">
        <f t="shared" si="0"/>
        <v>2.2252415013043647E-2</v>
      </c>
      <c r="D12">
        <v>1.9546298193895739</v>
      </c>
      <c r="E12">
        <f t="shared" si="1"/>
        <v>1954.6298193895739</v>
      </c>
      <c r="F12">
        <f t="shared" si="2"/>
        <v>43.495233937927345</v>
      </c>
      <c r="G12">
        <f t="shared" si="3"/>
        <v>478.44757331720081</v>
      </c>
      <c r="H12">
        <f t="shared" si="4"/>
        <v>0.51787503337205165</v>
      </c>
      <c r="I12">
        <f t="shared" si="5"/>
        <v>247.7760529984225</v>
      </c>
    </row>
    <row r="13" spans="1:9">
      <c r="A13">
        <v>12</v>
      </c>
      <c r="B13" s="1">
        <v>47741</v>
      </c>
      <c r="C13">
        <f t="shared" si="0"/>
        <v>2.2252415013043647E-2</v>
      </c>
      <c r="D13">
        <v>1.9947807562397195</v>
      </c>
      <c r="E13">
        <f t="shared" si="1"/>
        <v>1994.7807562397195</v>
      </c>
      <c r="F13">
        <f t="shared" si="2"/>
        <v>44.388689247879292</v>
      </c>
      <c r="G13">
        <f t="shared" si="3"/>
        <v>532.66427097455153</v>
      </c>
      <c r="H13">
        <f t="shared" si="4"/>
        <v>0.48780407782428964</v>
      </c>
      <c r="I13">
        <f t="shared" si="5"/>
        <v>259.83580349268863</v>
      </c>
    </row>
    <row r="14" spans="1:9">
      <c r="A14">
        <v>13</v>
      </c>
      <c r="B14" s="1">
        <v>47922</v>
      </c>
      <c r="C14">
        <f t="shared" si="0"/>
        <v>2.2252415013043647E-2</v>
      </c>
      <c r="D14">
        <v>2.0739066011907403</v>
      </c>
      <c r="E14">
        <f t="shared" si="1"/>
        <v>2073.9066011907403</v>
      </c>
      <c r="F14">
        <f t="shared" si="2"/>
        <v>46.149430387987152</v>
      </c>
      <c r="G14">
        <f t="shared" si="3"/>
        <v>599.94259504383297</v>
      </c>
      <c r="H14">
        <f t="shared" si="4"/>
        <v>0.45947922376681882</v>
      </c>
      <c r="I14">
        <f t="shared" si="5"/>
        <v>275.66115787539132</v>
      </c>
    </row>
    <row r="15" spans="1:9">
      <c r="A15">
        <v>14</v>
      </c>
      <c r="B15" s="1">
        <v>48106</v>
      </c>
      <c r="C15">
        <f t="shared" si="0"/>
        <v>2.2252415013043647E-2</v>
      </c>
      <c r="D15">
        <v>2.1166552976456487</v>
      </c>
      <c r="E15">
        <f t="shared" si="1"/>
        <v>2116.6552976456487</v>
      </c>
      <c r="F15">
        <f t="shared" si="2"/>
        <v>47.1006921227684</v>
      </c>
      <c r="G15">
        <f t="shared" si="3"/>
        <v>659.40968971875759</v>
      </c>
      <c r="H15">
        <f t="shared" si="4"/>
        <v>0.43279908199005585</v>
      </c>
      <c r="I15">
        <f t="shared" si="5"/>
        <v>285.39190836562585</v>
      </c>
    </row>
    <row r="16" spans="1:9">
      <c r="A16">
        <v>15</v>
      </c>
      <c r="B16" s="1">
        <v>48288</v>
      </c>
      <c r="C16">
        <f t="shared" si="0"/>
        <v>2.2252415013043647E-2</v>
      </c>
      <c r="D16">
        <v>2.2008602759302955</v>
      </c>
      <c r="E16">
        <f t="shared" si="1"/>
        <v>2200.8602759302958</v>
      </c>
      <c r="F16">
        <f t="shared" si="2"/>
        <v>48.974456245722699</v>
      </c>
      <c r="G16">
        <f t="shared" si="3"/>
        <v>734.61684368584054</v>
      </c>
      <c r="H16">
        <f t="shared" si="4"/>
        <v>0.40766815055493261</v>
      </c>
      <c r="I16">
        <f t="shared" si="5"/>
        <v>299.47989003190861</v>
      </c>
    </row>
    <row r="17" spans="1:9">
      <c r="A17">
        <v>16</v>
      </c>
      <c r="B17" s="1">
        <v>48472</v>
      </c>
      <c r="C17">
        <f t="shared" si="0"/>
        <v>2.2252415013043647E-2</v>
      </c>
      <c r="D17">
        <v>2.2463525549119487</v>
      </c>
      <c r="E17">
        <f t="shared" si="1"/>
        <v>2246.3525549119486</v>
      </c>
      <c r="F17">
        <f t="shared" si="2"/>
        <v>49.986769317511595</v>
      </c>
      <c r="G17">
        <f t="shared" si="3"/>
        <v>799.78830908018551</v>
      </c>
      <c r="H17">
        <f t="shared" si="4"/>
        <v>0.38399647294237499</v>
      </c>
      <c r="I17">
        <f t="shared" si="5"/>
        <v>307.11588978733732</v>
      </c>
    </row>
    <row r="18" spans="1:9">
      <c r="A18">
        <v>17</v>
      </c>
      <c r="B18" s="1">
        <v>48653</v>
      </c>
      <c r="C18">
        <f t="shared" si="0"/>
        <v>2.2252415013043647E-2</v>
      </c>
      <c r="D18">
        <v>2.3359221657079474</v>
      </c>
      <c r="E18">
        <f t="shared" si="1"/>
        <v>2335.9221657079474</v>
      </c>
      <c r="F18">
        <f t="shared" si="2"/>
        <v>51.97990946950096</v>
      </c>
      <c r="G18">
        <f t="shared" si="3"/>
        <v>883.65846098151633</v>
      </c>
      <c r="H18">
        <f t="shared" si="4"/>
        <v>0.3616993160526899</v>
      </c>
      <c r="I18">
        <f t="shared" si="5"/>
        <v>319.618660961187</v>
      </c>
    </row>
    <row r="19" spans="1:9">
      <c r="A19">
        <v>18</v>
      </c>
      <c r="B19" s="1">
        <v>48837</v>
      </c>
      <c r="C19">
        <f t="shared" si="0"/>
        <v>2.2252415013043647E-2</v>
      </c>
      <c r="D19">
        <v>2.3843161555829449</v>
      </c>
      <c r="E19">
        <f t="shared" si="1"/>
        <v>2384.3161555829447</v>
      </c>
      <c r="F19">
        <f t="shared" si="2"/>
        <v>53.056792616336431</v>
      </c>
      <c r="G19">
        <f t="shared" si="3"/>
        <v>955.02226709405579</v>
      </c>
      <c r="H19">
        <f t="shared" si="4"/>
        <v>0.34069686690225487</v>
      </c>
      <c r="I19">
        <f t="shared" si="5"/>
        <v>325.37309422083325</v>
      </c>
    </row>
    <row r="20" spans="1:9">
      <c r="A20">
        <v>19</v>
      </c>
      <c r="B20" s="1">
        <v>49018</v>
      </c>
      <c r="C20">
        <f t="shared" si="0"/>
        <v>2.2252415013043647E-2</v>
      </c>
      <c r="D20">
        <v>2.4795705312960399</v>
      </c>
      <c r="E20">
        <f t="shared" si="1"/>
        <v>2479.5705312960399</v>
      </c>
      <c r="F20">
        <f t="shared" si="2"/>
        <v>55.176432516512612</v>
      </c>
      <c r="G20">
        <f t="shared" si="3"/>
        <v>1048.3522178137396</v>
      </c>
      <c r="H20">
        <f t="shared" si="4"/>
        <v>0.32091394693183178</v>
      </c>
      <c r="I20">
        <f t="shared" si="5"/>
        <v>336.43084799334656</v>
      </c>
    </row>
    <row r="21" spans="1:9">
      <c r="A21">
        <v>20</v>
      </c>
      <c r="B21" s="1">
        <v>49202</v>
      </c>
      <c r="C21">
        <f t="shared" si="0"/>
        <v>2.2252415013043647E-2</v>
      </c>
      <c r="D21">
        <v>2.5310390525138109</v>
      </c>
      <c r="E21">
        <f t="shared" si="1"/>
        <v>2531.0390525138109</v>
      </c>
      <c r="F21">
        <f t="shared" si="2"/>
        <v>56.321731410758098</v>
      </c>
      <c r="G21">
        <f t="shared" si="3"/>
        <v>1126.4346282151619</v>
      </c>
      <c r="H21">
        <f t="shared" si="4"/>
        <v>0.30227974290386689</v>
      </c>
      <c r="I21">
        <f t="shared" si="5"/>
        <v>340.49836981489199</v>
      </c>
    </row>
    <row r="22" spans="1:9">
      <c r="A22">
        <v>21</v>
      </c>
      <c r="B22" s="1">
        <v>49383</v>
      </c>
      <c r="C22">
        <f t="shared" si="0"/>
        <v>2.2252415013043647E-2</v>
      </c>
      <c r="D22">
        <v>2.6323202702742492</v>
      </c>
      <c r="E22">
        <f t="shared" si="1"/>
        <v>2632.3202702742492</v>
      </c>
      <c r="F22">
        <f t="shared" si="2"/>
        <v>58.575483101389814</v>
      </c>
      <c r="G22">
        <f t="shared" si="3"/>
        <v>1230.085145129186</v>
      </c>
      <c r="H22">
        <f t="shared" si="4"/>
        <v>0.2847275534255207</v>
      </c>
      <c r="I22">
        <f t="shared" si="5"/>
        <v>350.23913387770966</v>
      </c>
    </row>
    <row r="23" spans="1:9">
      <c r="A23">
        <v>22</v>
      </c>
      <c r="B23" s="1">
        <v>49567</v>
      </c>
      <c r="C23">
        <f t="shared" si="0"/>
        <v>2.2252415013043647E-2</v>
      </c>
      <c r="D23">
        <v>2.6870480345548819</v>
      </c>
      <c r="E23">
        <f t="shared" si="1"/>
        <v>2687.0480345548817</v>
      </c>
      <c r="F23">
        <f t="shared" si="2"/>
        <v>59.793308024898472</v>
      </c>
      <c r="G23">
        <f t="shared" si="3"/>
        <v>1315.4527765477665</v>
      </c>
      <c r="H23">
        <f t="shared" si="4"/>
        <v>0.26819455019010358</v>
      </c>
      <c r="I23">
        <f t="shared" si="5"/>
        <v>352.79726570255104</v>
      </c>
    </row>
    <row r="24" spans="1:9">
      <c r="A24">
        <v>23</v>
      </c>
      <c r="B24" s="1">
        <v>49749</v>
      </c>
      <c r="C24">
        <f t="shared" si="0"/>
        <v>2.2252415013043647E-2</v>
      </c>
      <c r="D24">
        <v>2.7947224828138197</v>
      </c>
      <c r="E24">
        <f t="shared" si="1"/>
        <v>2794.7224828138196</v>
      </c>
      <c r="F24">
        <f t="shared" si="2"/>
        <v>62.189324533856855</v>
      </c>
      <c r="G24">
        <f t="shared" si="3"/>
        <v>1430.3544642787076</v>
      </c>
      <c r="H24">
        <f t="shared" si="4"/>
        <v>0.25262155308227691</v>
      </c>
      <c r="I24">
        <f t="shared" si="5"/>
        <v>361.33836622425525</v>
      </c>
    </row>
    <row r="25" spans="1:9">
      <c r="A25">
        <v>24</v>
      </c>
      <c r="B25" s="1">
        <v>49933</v>
      </c>
      <c r="C25">
        <f t="shared" si="0"/>
        <v>2.2252415013043647E-2</v>
      </c>
      <c r="D25">
        <v>2.8529073901682662</v>
      </c>
      <c r="E25">
        <f t="shared" si="1"/>
        <v>2852.9073901682664</v>
      </c>
      <c r="F25">
        <f t="shared" si="2"/>
        <v>63.484079239803499</v>
      </c>
      <c r="G25">
        <f t="shared" si="3"/>
        <v>1523.617901755284</v>
      </c>
      <c r="H25">
        <f t="shared" si="4"/>
        <v>0.23795281834200566</v>
      </c>
      <c r="I25">
        <f t="shared" si="5"/>
        <v>362.54917379900292</v>
      </c>
    </row>
    <row r="26" spans="1:9">
      <c r="A26">
        <v>25</v>
      </c>
      <c r="B26" s="1">
        <v>50114</v>
      </c>
      <c r="C26">
        <f t="shared" si="0"/>
        <v>2.2252415013043647E-2</v>
      </c>
      <c r="D26">
        <v>2.9673665370431057</v>
      </c>
      <c r="E26">
        <f t="shared" si="1"/>
        <v>2967.3665370431058</v>
      </c>
      <c r="F26">
        <f t="shared" si="2"/>
        <v>66.031071678101341</v>
      </c>
      <c r="G26">
        <f t="shared" si="3"/>
        <v>1650.7767919525336</v>
      </c>
      <c r="H26">
        <f t="shared" si="4"/>
        <v>0.22413583902899348</v>
      </c>
      <c r="I26">
        <f t="shared" si="5"/>
        <v>369.99824131387135</v>
      </c>
    </row>
    <row r="27" spans="1:9">
      <c r="A27">
        <v>26</v>
      </c>
      <c r="B27" s="1">
        <v>50298</v>
      </c>
      <c r="C27">
        <f t="shared" si="0"/>
        <v>2.2252415013043647E-2</v>
      </c>
      <c r="D27">
        <v>3.0292200796218212</v>
      </c>
      <c r="E27">
        <f t="shared" si="1"/>
        <v>3029.2200796218212</v>
      </c>
      <c r="F27">
        <f t="shared" si="2"/>
        <v>67.40746237758988</v>
      </c>
      <c r="G27">
        <f t="shared" si="3"/>
        <v>1752.5940218173369</v>
      </c>
      <c r="H27">
        <f t="shared" si="4"/>
        <v>0.2111211570733583</v>
      </c>
      <c r="I27">
        <f t="shared" si="5"/>
        <v>370.00967776592671</v>
      </c>
    </row>
    <row r="28" spans="1:9">
      <c r="A28">
        <v>27</v>
      </c>
      <c r="B28" s="1">
        <v>50479</v>
      </c>
      <c r="C28">
        <f t="shared" si="0"/>
        <v>2.2252415013043647E-2</v>
      </c>
      <c r="D28">
        <v>3.1508815334550935</v>
      </c>
      <c r="E28">
        <f t="shared" si="1"/>
        <v>3150.8815334550936</v>
      </c>
      <c r="F28">
        <f t="shared" si="2"/>
        <v>70.114723539378119</v>
      </c>
      <c r="G28">
        <f t="shared" si="3"/>
        <v>1893.0975355632092</v>
      </c>
      <c r="H28">
        <f t="shared" si="4"/>
        <v>0.19886218623978261</v>
      </c>
      <c r="I28">
        <f t="shared" si="5"/>
        <v>376.46551468724442</v>
      </c>
    </row>
    <row r="29" spans="1:9">
      <c r="A29">
        <v>28</v>
      </c>
      <c r="B29" s="1">
        <v>50663</v>
      </c>
      <c r="C29">
        <f t="shared" si="0"/>
        <v>2.2252415013043647E-2</v>
      </c>
      <c r="D29">
        <v>3.2166293610579255</v>
      </c>
      <c r="E29">
        <f t="shared" si="1"/>
        <v>3216.6293610579255</v>
      </c>
      <c r="F29">
        <f t="shared" si="2"/>
        <v>71.57777148540238</v>
      </c>
      <c r="G29">
        <f t="shared" si="3"/>
        <v>2004.1776015912667</v>
      </c>
      <c r="H29">
        <f t="shared" si="4"/>
        <v>0.18731504537143503</v>
      </c>
      <c r="I29">
        <f t="shared" si="5"/>
        <v>375.41261837448195</v>
      </c>
    </row>
    <row r="30" spans="1:9">
      <c r="A30">
        <v>29</v>
      </c>
      <c r="B30" s="1">
        <v>50844</v>
      </c>
      <c r="C30">
        <f t="shared" si="0"/>
        <v>2.2252415013043647E-2</v>
      </c>
      <c r="D30">
        <v>3.3459381694772663</v>
      </c>
      <c r="E30">
        <f t="shared" si="1"/>
        <v>3345.9381694772665</v>
      </c>
      <c r="F30">
        <f t="shared" si="2"/>
        <v>74.455204755191701</v>
      </c>
      <c r="G30">
        <f t="shared" si="3"/>
        <v>2159.2009379005594</v>
      </c>
      <c r="H30">
        <f t="shared" si="4"/>
        <v>0.17643840131675873</v>
      </c>
      <c r="I30">
        <f t="shared" si="5"/>
        <v>380.96596160482073</v>
      </c>
    </row>
    <row r="31" spans="1:9">
      <c r="A31">
        <v>30</v>
      </c>
      <c r="B31" s="1">
        <v>51028</v>
      </c>
      <c r="C31">
        <f t="shared" si="0"/>
        <v>2.2252415013043647E-2</v>
      </c>
      <c r="D31">
        <v>3.4158207866433647</v>
      </c>
      <c r="E31">
        <f t="shared" si="1"/>
        <v>3415.820786643365</v>
      </c>
      <c r="F31">
        <f t="shared" si="2"/>
        <v>76.01026175456937</v>
      </c>
      <c r="G31">
        <f t="shared" si="3"/>
        <v>2280.3078526370809</v>
      </c>
      <c r="H31">
        <f t="shared" si="4"/>
        <v>0.16619332097687922</v>
      </c>
      <c r="I31">
        <f t="shared" si="5"/>
        <v>378.97193487941257</v>
      </c>
    </row>
    <row r="32" spans="1:9">
      <c r="A32">
        <v>31</v>
      </c>
      <c r="B32" s="1">
        <v>51210</v>
      </c>
      <c r="C32">
        <f t="shared" si="0"/>
        <v>2.2252415013043647E-2</v>
      </c>
      <c r="D32">
        <v>3.5532508606633346</v>
      </c>
      <c r="E32">
        <f t="shared" si="1"/>
        <v>3553.2508606633346</v>
      </c>
      <c r="F32">
        <f t="shared" si="2"/>
        <v>79.06841279693505</v>
      </c>
      <c r="G32">
        <f t="shared" si="3"/>
        <v>2451.1207967049863</v>
      </c>
      <c r="H32">
        <f t="shared" si="4"/>
        <v>0.15654313194403524</v>
      </c>
      <c r="I32">
        <f t="shared" si="5"/>
        <v>383.70612628935743</v>
      </c>
    </row>
    <row r="33" spans="1:9">
      <c r="A33">
        <v>32</v>
      </c>
      <c r="B33" s="1">
        <v>51394</v>
      </c>
      <c r="C33">
        <f t="shared" si="0"/>
        <v>2.2252415013043647E-2</v>
      </c>
      <c r="D33">
        <v>3.6275243919484517</v>
      </c>
      <c r="E33">
        <f t="shared" si="1"/>
        <v>3627.5243919484515</v>
      </c>
      <c r="F33">
        <f t="shared" si="2"/>
        <v>80.72117823957575</v>
      </c>
      <c r="G33">
        <f t="shared" si="3"/>
        <v>2583.077703666424</v>
      </c>
      <c r="H33">
        <f t="shared" si="4"/>
        <v>0.14745329123218415</v>
      </c>
      <c r="I33">
        <f t="shared" si="5"/>
        <v>380.88330891408668</v>
      </c>
    </row>
    <row r="34" spans="1:9">
      <c r="A34">
        <v>33</v>
      </c>
      <c r="B34" s="1">
        <v>51575</v>
      </c>
      <c r="C34">
        <f t="shared" si="0"/>
        <v>2.2252415013043647E-2</v>
      </c>
      <c r="D34">
        <v>3.7735800818922898</v>
      </c>
      <c r="E34">
        <f t="shared" si="1"/>
        <v>3773.5800818922899</v>
      </c>
      <c r="F34">
        <f t="shared" si="2"/>
        <v>83.971270067222463</v>
      </c>
      <c r="G34">
        <f t="shared" si="3"/>
        <v>2771.0519122183414</v>
      </c>
      <c r="H34">
        <f t="shared" si="4"/>
        <v>0.13889126162990229</v>
      </c>
      <c r="I34">
        <f t="shared" si="5"/>
        <v>384.8748961299587</v>
      </c>
    </row>
    <row r="35" spans="1:9">
      <c r="A35">
        <v>34</v>
      </c>
      <c r="B35" s="1">
        <v>51759</v>
      </c>
      <c r="C35">
        <f t="shared" si="0"/>
        <v>2.2252415013043647E-2</v>
      </c>
      <c r="D35">
        <v>3.8525171201725232</v>
      </c>
      <c r="E35">
        <f t="shared" si="1"/>
        <v>3852.5171201725234</v>
      </c>
      <c r="F35">
        <f t="shared" si="2"/>
        <v>85.727809802934729</v>
      </c>
      <c r="G35">
        <f t="shared" si="3"/>
        <v>2914.7455332997806</v>
      </c>
      <c r="H35">
        <f t="shared" si="4"/>
        <v>0.13082639523298364</v>
      </c>
      <c r="I35">
        <f t="shared" si="5"/>
        <v>381.32565114305078</v>
      </c>
    </row>
    <row r="36" spans="1:9">
      <c r="A36">
        <v>35</v>
      </c>
      <c r="B36" s="1">
        <v>51940</v>
      </c>
      <c r="C36">
        <f t="shared" si="0"/>
        <v>2.2252415013043647E-2</v>
      </c>
      <c r="D36">
        <v>4.0077350257556388</v>
      </c>
      <c r="E36">
        <f t="shared" si="1"/>
        <v>4007.7350257556386</v>
      </c>
      <c r="F36">
        <f t="shared" si="2"/>
        <v>89.18178305542564</v>
      </c>
      <c r="G36">
        <f t="shared" si="3"/>
        <v>3121.3624069398975</v>
      </c>
      <c r="H36">
        <f t="shared" si="4"/>
        <v>0.12322982373983991</v>
      </c>
      <c r="I36">
        <f t="shared" si="5"/>
        <v>384.64493923536605</v>
      </c>
    </row>
    <row r="37" spans="1:9">
      <c r="A37">
        <v>36</v>
      </c>
      <c r="B37" s="1">
        <v>52124</v>
      </c>
      <c r="C37">
        <f t="shared" si="0"/>
        <v>2.2252415013043647E-2</v>
      </c>
      <c r="D37">
        <v>4.0916256093287817</v>
      </c>
      <c r="E37">
        <f t="shared" si="1"/>
        <v>4091.6256093287816</v>
      </c>
      <c r="F37">
        <f t="shared" si="2"/>
        <v>91.04855113678164</v>
      </c>
      <c r="G37">
        <f t="shared" si="3"/>
        <v>3277.7478409241389</v>
      </c>
      <c r="H37">
        <f t="shared" si="4"/>
        <v>0.11607435511701276</v>
      </c>
      <c r="I37">
        <f t="shared" si="5"/>
        <v>380.46246687145037</v>
      </c>
    </row>
    <row r="38" spans="1:9">
      <c r="A38">
        <v>37</v>
      </c>
      <c r="B38" s="1">
        <v>52305</v>
      </c>
      <c r="C38">
        <f t="shared" si="0"/>
        <v>2.2252415013043647E-2</v>
      </c>
      <c r="D38">
        <v>4.256576458393921</v>
      </c>
      <c r="E38">
        <f t="shared" si="1"/>
        <v>4256.5764583939208</v>
      </c>
      <c r="F38">
        <f t="shared" si="2"/>
        <v>94.719105886933036</v>
      </c>
      <c r="G38">
        <f t="shared" si="3"/>
        <v>3504.6069178165221</v>
      </c>
      <c r="H38">
        <f t="shared" si="4"/>
        <v>0.10933437626491159</v>
      </c>
      <c r="I38">
        <f t="shared" si="5"/>
        <v>383.17401141316373</v>
      </c>
    </row>
    <row r="39" spans="1:9">
      <c r="A39">
        <v>38</v>
      </c>
      <c r="B39" s="1">
        <v>52489</v>
      </c>
      <c r="C39">
        <f t="shared" si="0"/>
        <v>2.2252415013043647E-2</v>
      </c>
      <c r="D39">
        <v>4.3457290844065737</v>
      </c>
      <c r="E39">
        <f t="shared" si="1"/>
        <v>4345.7290844065737</v>
      </c>
      <c r="F39">
        <f t="shared" si="2"/>
        <v>96.702967120469268</v>
      </c>
      <c r="G39">
        <f t="shared" si="3"/>
        <v>3674.7127505778321</v>
      </c>
      <c r="H39">
        <f t="shared" si="4"/>
        <v>0.10298576133536655</v>
      </c>
      <c r="I39">
        <f t="shared" si="5"/>
        <v>378.44309030703698</v>
      </c>
    </row>
    <row r="40" spans="1:9">
      <c r="A40">
        <v>39</v>
      </c>
      <c r="B40" s="1">
        <v>52671</v>
      </c>
      <c r="C40">
        <f t="shared" si="0"/>
        <v>2.2252415013043647E-2</v>
      </c>
      <c r="D40">
        <v>4.521019736594539</v>
      </c>
      <c r="E40">
        <f t="shared" si="1"/>
        <v>4521.0197365945387</v>
      </c>
      <c r="F40">
        <f t="shared" si="2"/>
        <v>100.60360746086295</v>
      </c>
      <c r="G40">
        <f t="shared" si="3"/>
        <v>3923.5406909736548</v>
      </c>
      <c r="H40">
        <f t="shared" si="4"/>
        <v>9.7005785372819286E-2</v>
      </c>
      <c r="I40">
        <f t="shared" si="5"/>
        <v>380.60614617011345</v>
      </c>
    </row>
    <row r="41" spans="1:9">
      <c r="A41">
        <v>40</v>
      </c>
      <c r="B41" s="1">
        <v>52855</v>
      </c>
      <c r="C41">
        <f t="shared" si="0"/>
        <v>2.2252415013043647E-2</v>
      </c>
      <c r="D41">
        <v>4.6157624421014098</v>
      </c>
      <c r="E41">
        <f t="shared" si="1"/>
        <v>4615.7624421014098</v>
      </c>
      <c r="F41">
        <f t="shared" si="2"/>
        <v>102.71186146326042</v>
      </c>
      <c r="G41">
        <f t="shared" si="3"/>
        <v>4108.474458530417</v>
      </c>
      <c r="H41">
        <f t="shared" si="4"/>
        <v>9.1373042970027837E-2</v>
      </c>
      <c r="I41">
        <f t="shared" si="5"/>
        <v>375.40381324056165</v>
      </c>
    </row>
    <row r="42" spans="1:9">
      <c r="H42" t="s">
        <v>4</v>
      </c>
      <c r="I42">
        <f>SUM(I2:I41)</f>
        <v>11885.82447655049</v>
      </c>
    </row>
    <row r="43" spans="1:9">
      <c r="A43" t="s">
        <v>98</v>
      </c>
      <c r="B43" s="8">
        <v>1000</v>
      </c>
      <c r="H43" t="s">
        <v>5</v>
      </c>
      <c r="I43">
        <f>(A41*B45)*H41</f>
        <v>16870.250398462911</v>
      </c>
    </row>
    <row r="44" spans="1:9">
      <c r="A44" t="s">
        <v>79</v>
      </c>
      <c r="B44" s="10">
        <v>4.4999999999999998E-2</v>
      </c>
      <c r="H44" t="s">
        <v>6</v>
      </c>
      <c r="I44">
        <f>SUM(I42:I43)</f>
        <v>28756.074875013401</v>
      </c>
    </row>
    <row r="45" spans="1:9">
      <c r="A45" t="s">
        <v>111</v>
      </c>
      <c r="B45">
        <f>B43*D41</f>
        <v>4615.7624421014098</v>
      </c>
      <c r="H45" t="s">
        <v>89</v>
      </c>
      <c r="I45">
        <f>(I44/B46)/2</f>
        <v>12.62623655918023</v>
      </c>
    </row>
    <row r="46" spans="1:9">
      <c r="A46" t="s">
        <v>90</v>
      </c>
      <c r="B46">
        <v>1138.7429159999999</v>
      </c>
      <c r="H46" t="s">
        <v>18</v>
      </c>
      <c r="I46">
        <f>I45/(1+B47)</f>
        <v>11.893080925408126</v>
      </c>
    </row>
    <row r="47" spans="1:9">
      <c r="A47" t="s">
        <v>101</v>
      </c>
      <c r="B47">
        <v>6.1645560000000002E-2</v>
      </c>
    </row>
    <row r="48" spans="1:9">
      <c r="A48" t="s">
        <v>119</v>
      </c>
      <c r="B48">
        <f>F2/B46</f>
        <v>2.8519237174278254E-2</v>
      </c>
    </row>
    <row r="49" spans="1:12">
      <c r="A49" t="s">
        <v>19</v>
      </c>
      <c r="B49" t="s">
        <v>109</v>
      </c>
    </row>
    <row r="53" spans="1:12" ht="18">
      <c r="L53" s="16"/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8B625-2F96-489E-96D4-D3DDF4A997EF}">
  <dimension ref="A1:I28"/>
  <sheetViews>
    <sheetView topLeftCell="A22" workbookViewId="0">
      <selection activeCell="B28" sqref="B28"/>
    </sheetView>
  </sheetViews>
  <sheetFormatPr defaultRowHeight="15"/>
  <cols>
    <col min="2" max="2" width="11.28515625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43723</v>
      </c>
      <c r="C2">
        <f>(1+$B$24)^(1/2)-1</f>
        <v>2.3295167583625487E-2</v>
      </c>
      <c r="D2">
        <v>1.0097274873132032</v>
      </c>
      <c r="E2">
        <f>$B$23*D2</f>
        <v>1009.7274873132031</v>
      </c>
      <c r="F2">
        <f>C2*E2</f>
        <v>23.521771030754145</v>
      </c>
      <c r="G2">
        <f>A2*F2</f>
        <v>23.521771030754145</v>
      </c>
      <c r="H2">
        <f>(1+$B$27)^(-A2)</f>
        <v>0.95543469455292629</v>
      </c>
      <c r="I2">
        <f>G2*H2</f>
        <v>22.473516120112457</v>
      </c>
    </row>
    <row r="3" spans="1:9">
      <c r="A3">
        <v>2</v>
      </c>
      <c r="B3" s="1">
        <v>43905</v>
      </c>
      <c r="C3">
        <f t="shared" ref="C3:C21" si="0">(1+$B$24)^(1/2)-1</f>
        <v>2.3295167583625487E-2</v>
      </c>
      <c r="D3">
        <v>1.033029585719383</v>
      </c>
      <c r="E3">
        <f t="shared" ref="E3:E21" si="1">$B$23*D3</f>
        <v>1033.029585719383</v>
      </c>
      <c r="F3">
        <f t="shared" ref="F3:F21" si="2">C3*E3</f>
        <v>24.064597318176236</v>
      </c>
      <c r="G3">
        <f t="shared" ref="G3:G21" si="3">A3*F3</f>
        <v>48.129194636352473</v>
      </c>
      <c r="H3">
        <f t="shared" ref="H3:H21" si="4">(1+$B$27)^(-A3)</f>
        <v>0.91285545555544356</v>
      </c>
      <c r="I3">
        <f t="shared" ref="I3:I21" si="5">G3*H3</f>
        <v>43.934997895284148</v>
      </c>
    </row>
    <row r="4" spans="1:9">
      <c r="A4">
        <v>3</v>
      </c>
      <c r="B4" s="1">
        <v>44089</v>
      </c>
      <c r="C4">
        <f t="shared" si="0"/>
        <v>2.3295167583625487E-2</v>
      </c>
      <c r="D4">
        <v>1.0413840752263113</v>
      </c>
      <c r="E4">
        <f t="shared" si="1"/>
        <v>1041.3840752263113</v>
      </c>
      <c r="F4">
        <f t="shared" si="2"/>
        <v>24.259216551315774</v>
      </c>
      <c r="G4">
        <f t="shared" si="3"/>
        <v>72.777649653947321</v>
      </c>
      <c r="H4">
        <f t="shared" si="4"/>
        <v>0.87217377334958757</v>
      </c>
      <c r="I4">
        <f t="shared" si="5"/>
        <v>63.474757314197539</v>
      </c>
    </row>
    <row r="5" spans="1:9">
      <c r="A5">
        <v>4</v>
      </c>
      <c r="B5" s="1">
        <v>44270</v>
      </c>
      <c r="C5">
        <f t="shared" si="0"/>
        <v>2.3295167583625487E-2</v>
      </c>
      <c r="D5">
        <v>1.0960374394852728</v>
      </c>
      <c r="E5">
        <f t="shared" si="1"/>
        <v>1096.0374394852727</v>
      </c>
      <c r="F5">
        <f t="shared" si="2"/>
        <v>25.532375830737205</v>
      </c>
      <c r="G5">
        <f t="shared" si="3"/>
        <v>102.12950332294882</v>
      </c>
      <c r="H5">
        <f t="shared" si="4"/>
        <v>0.83330508273733639</v>
      </c>
      <c r="I5">
        <f t="shared" si="5"/>
        <v>85.105034216452935</v>
      </c>
    </row>
    <row r="6" spans="1:9">
      <c r="A6">
        <v>5</v>
      </c>
      <c r="B6" s="1">
        <v>44454</v>
      </c>
      <c r="C6">
        <f t="shared" si="0"/>
        <v>2.3295167583625487E-2</v>
      </c>
      <c r="D6">
        <v>1.1480881991882326</v>
      </c>
      <c r="E6">
        <f t="shared" si="1"/>
        <v>1148.0881991882325</v>
      </c>
      <c r="F6">
        <f t="shared" si="2"/>
        <v>26.744907000872672</v>
      </c>
      <c r="G6">
        <f t="shared" si="3"/>
        <v>133.72453500436336</v>
      </c>
      <c r="H6">
        <f t="shared" si="4"/>
        <v>0.79616858719454786</v>
      </c>
      <c r="I6">
        <f t="shared" si="5"/>
        <v>106.46727410767184</v>
      </c>
    </row>
    <row r="7" spans="1:9">
      <c r="A7">
        <v>6</v>
      </c>
      <c r="B7" s="1">
        <v>44635</v>
      </c>
      <c r="C7">
        <f t="shared" si="0"/>
        <v>2.3295167583625487E-2</v>
      </c>
      <c r="D7">
        <v>1.2198821729721467</v>
      </c>
      <c r="E7">
        <f t="shared" si="1"/>
        <v>1219.8821729721467</v>
      </c>
      <c r="F7">
        <f t="shared" si="2"/>
        <v>28.417359651663372</v>
      </c>
      <c r="G7">
        <f t="shared" si="3"/>
        <v>170.50415790998022</v>
      </c>
      <c r="H7">
        <f t="shared" si="4"/>
        <v>0.76068709091885778</v>
      </c>
      <c r="I7">
        <f t="shared" si="5"/>
        <v>129.70031187011242</v>
      </c>
    </row>
    <row r="8" spans="1:9">
      <c r="A8">
        <v>7</v>
      </c>
      <c r="B8" s="1">
        <v>44819</v>
      </c>
      <c r="C8">
        <f t="shared" si="0"/>
        <v>2.3295167583625487E-2</v>
      </c>
      <c r="D8">
        <v>1.2303900077237333</v>
      </c>
      <c r="E8">
        <f t="shared" si="1"/>
        <v>1230.3900077237333</v>
      </c>
      <c r="F8">
        <f t="shared" si="2"/>
        <v>28.662141423142625</v>
      </c>
      <c r="G8">
        <f t="shared" si="3"/>
        <v>200.63498996199837</v>
      </c>
      <c r="H8">
        <f t="shared" si="4"/>
        <v>0.72678683836241287</v>
      </c>
      <c r="I8">
        <f t="shared" si="5"/>
        <v>145.81887001935524</v>
      </c>
    </row>
    <row r="9" spans="1:9">
      <c r="A9">
        <v>8</v>
      </c>
      <c r="B9" s="1">
        <v>45000</v>
      </c>
      <c r="C9">
        <f t="shared" si="0"/>
        <v>2.3295167583625487E-2</v>
      </c>
      <c r="D9">
        <v>1.3027149658556436</v>
      </c>
      <c r="E9">
        <f t="shared" si="1"/>
        <v>1302.7149658556436</v>
      </c>
      <c r="F9">
        <f t="shared" si="2"/>
        <v>30.346963443304173</v>
      </c>
      <c r="G9">
        <f t="shared" si="3"/>
        <v>242.77570754643338</v>
      </c>
      <c r="H9">
        <f t="shared" si="4"/>
        <v>0.694397360915879</v>
      </c>
      <c r="I9">
        <f t="shared" si="5"/>
        <v>168.5828106147286</v>
      </c>
    </row>
    <row r="10" spans="1:9">
      <c r="A10">
        <v>9</v>
      </c>
      <c r="B10" s="1">
        <v>45184</v>
      </c>
      <c r="C10">
        <f t="shared" si="0"/>
        <v>2.3295167583625487E-2</v>
      </c>
      <c r="D10">
        <v>1.3362185265066515</v>
      </c>
      <c r="E10">
        <f t="shared" si="1"/>
        <v>1336.2185265066514</v>
      </c>
      <c r="F10">
        <f t="shared" si="2"/>
        <v>31.127434503317559</v>
      </c>
      <c r="G10">
        <f t="shared" si="3"/>
        <v>280.14691052985802</v>
      </c>
      <c r="H10">
        <f t="shared" si="4"/>
        <v>0.66345133042502091</v>
      </c>
      <c r="I10">
        <f t="shared" si="5"/>
        <v>185.86384050549361</v>
      </c>
    </row>
    <row r="11" spans="1:9">
      <c r="A11">
        <v>10</v>
      </c>
      <c r="B11" s="1">
        <v>45366</v>
      </c>
      <c r="C11">
        <f t="shared" si="0"/>
        <v>2.3295167583625487E-2</v>
      </c>
      <c r="D11">
        <v>1.3897944909928588</v>
      </c>
      <c r="E11">
        <f t="shared" si="1"/>
        <v>1389.7944909928588</v>
      </c>
      <c r="F11">
        <f t="shared" si="2"/>
        <v>32.37549557447813</v>
      </c>
      <c r="G11">
        <f t="shared" si="3"/>
        <v>323.75495574478128</v>
      </c>
      <c r="H11">
        <f t="shared" si="4"/>
        <v>0.63388441923536254</v>
      </c>
      <c r="I11">
        <f t="shared" si="5"/>
        <v>205.22322209685117</v>
      </c>
    </row>
    <row r="12" spans="1:9">
      <c r="A12">
        <v>11</v>
      </c>
      <c r="B12" s="1">
        <v>45550</v>
      </c>
      <c r="C12">
        <f t="shared" si="0"/>
        <v>2.3295167583625487E-2</v>
      </c>
      <c r="D12">
        <v>1.4186416633658603</v>
      </c>
      <c r="E12">
        <f t="shared" si="1"/>
        <v>1418.6416633658603</v>
      </c>
      <c r="F12">
        <f t="shared" si="2"/>
        <v>33.047495289220926</v>
      </c>
      <c r="G12">
        <f t="shared" si="3"/>
        <v>363.52244818143021</v>
      </c>
      <c r="H12">
        <f t="shared" si="4"/>
        <v>0.60563516647399762</v>
      </c>
      <c r="I12">
        <f t="shared" si="5"/>
        <v>220.16197842139565</v>
      </c>
    </row>
    <row r="13" spans="1:9">
      <c r="A13">
        <v>12</v>
      </c>
      <c r="B13" s="1">
        <v>45731</v>
      </c>
      <c r="C13">
        <f t="shared" si="0"/>
        <v>2.3295167583625487E-2</v>
      </c>
      <c r="D13">
        <v>1.4736373527144673</v>
      </c>
      <c r="E13">
        <f t="shared" si="1"/>
        <v>1473.6373527144672</v>
      </c>
      <c r="F13">
        <f t="shared" si="2"/>
        <v>34.328629088973734</v>
      </c>
      <c r="G13">
        <f t="shared" si="3"/>
        <v>411.94354906768478</v>
      </c>
      <c r="H13">
        <f t="shared" si="4"/>
        <v>0.57864485029059465</v>
      </c>
      <c r="I13">
        <f t="shared" si="5"/>
        <v>238.36901327844669</v>
      </c>
    </row>
    <row r="14" spans="1:9">
      <c r="A14">
        <v>13</v>
      </c>
      <c r="B14" s="1">
        <v>45915</v>
      </c>
      <c r="C14">
        <f t="shared" si="0"/>
        <v>2.3295167583625487E-2</v>
      </c>
      <c r="D14">
        <v>1.5032987230058901</v>
      </c>
      <c r="E14">
        <f t="shared" si="1"/>
        <v>1503.29872300589</v>
      </c>
      <c r="F14">
        <f t="shared" si="2"/>
        <v>35.019595680672396</v>
      </c>
      <c r="G14">
        <f t="shared" si="3"/>
        <v>455.25474384874116</v>
      </c>
      <c r="H14">
        <f t="shared" si="4"/>
        <v>0.55285736579201794</v>
      </c>
      <c r="I14">
        <f t="shared" si="5"/>
        <v>251.69093844853492</v>
      </c>
    </row>
    <row r="15" spans="1:9">
      <c r="A15">
        <v>14</v>
      </c>
      <c r="B15" s="1">
        <v>46096</v>
      </c>
      <c r="C15">
        <f t="shared" si="0"/>
        <v>2.3295167583625487E-2</v>
      </c>
      <c r="D15">
        <v>1.5614638022282932</v>
      </c>
      <c r="E15">
        <f t="shared" si="1"/>
        <v>1561.4638022282932</v>
      </c>
      <c r="F15">
        <f t="shared" si="2"/>
        <v>36.374560948673135</v>
      </c>
      <c r="G15">
        <f t="shared" si="3"/>
        <v>509.24385328142387</v>
      </c>
      <c r="H15">
        <f t="shared" si="4"/>
        <v>0.52821910841683217</v>
      </c>
      <c r="I15">
        <f t="shared" si="5"/>
        <v>268.99233414706583</v>
      </c>
    </row>
    <row r="16" spans="1:9">
      <c r="A16">
        <v>15</v>
      </c>
      <c r="B16" s="1">
        <v>46280</v>
      </c>
      <c r="C16">
        <f t="shared" si="0"/>
        <v>2.3295167583625487E-2</v>
      </c>
      <c r="D16">
        <v>1.5928602601192574</v>
      </c>
      <c r="E16">
        <f t="shared" si="1"/>
        <v>1592.8602601192574</v>
      </c>
      <c r="F16">
        <f t="shared" si="2"/>
        <v>37.105946696775383</v>
      </c>
      <c r="G16">
        <f t="shared" si="3"/>
        <v>556.58920045163075</v>
      </c>
      <c r="H16">
        <f t="shared" si="4"/>
        <v>0.50467886250725502</v>
      </c>
      <c r="I16">
        <f t="shared" si="5"/>
        <v>280.89880456775154</v>
      </c>
    </row>
    <row r="17" spans="1:9">
      <c r="A17">
        <v>16</v>
      </c>
      <c r="B17" s="1">
        <v>46461</v>
      </c>
      <c r="C17">
        <f t="shared" si="0"/>
        <v>2.3295167583625487E-2</v>
      </c>
      <c r="D17">
        <v>1.6548327625901598</v>
      </c>
      <c r="E17">
        <f t="shared" si="1"/>
        <v>1654.8327625901597</v>
      </c>
      <c r="F17">
        <f t="shared" si="2"/>
        <v>38.549606527411697</v>
      </c>
      <c r="G17">
        <f t="shared" si="3"/>
        <v>616.79370443858716</v>
      </c>
      <c r="H17">
        <f t="shared" si="4"/>
        <v>0.48218769484693752</v>
      </c>
      <c r="I17">
        <f t="shared" si="5"/>
        <v>297.41033453934563</v>
      </c>
    </row>
    <row r="18" spans="1:9">
      <c r="A18">
        <v>17</v>
      </c>
      <c r="B18" s="1">
        <v>46645</v>
      </c>
      <c r="C18">
        <f t="shared" si="0"/>
        <v>2.3295167583625487E-2</v>
      </c>
      <c r="D18">
        <v>1.6882965312161426</v>
      </c>
      <c r="E18">
        <f t="shared" si="1"/>
        <v>1688.2965312161427</v>
      </c>
      <c r="F18">
        <f t="shared" si="2"/>
        <v>39.329150625533643</v>
      </c>
      <c r="G18">
        <f t="shared" si="3"/>
        <v>668.59556063407194</v>
      </c>
      <c r="H18">
        <f t="shared" si="4"/>
        <v>0.4606988529432634</v>
      </c>
      <c r="I18">
        <f t="shared" si="5"/>
        <v>308.02120786707508</v>
      </c>
    </row>
    <row r="19" spans="1:9">
      <c r="A19">
        <v>18</v>
      </c>
      <c r="B19" s="1">
        <v>46827</v>
      </c>
      <c r="C19">
        <f t="shared" si="0"/>
        <v>2.3295167583625487E-2</v>
      </c>
      <c r="D19">
        <v>1.7543898881104059</v>
      </c>
      <c r="E19">
        <f t="shared" si="1"/>
        <v>1754.3898881104058</v>
      </c>
      <c r="F19">
        <f t="shared" si="2"/>
        <v>40.868806450549869</v>
      </c>
      <c r="G19">
        <f t="shared" si="3"/>
        <v>735.63851610989764</v>
      </c>
      <c r="H19">
        <f t="shared" si="4"/>
        <v>0.44016766784273031</v>
      </c>
      <c r="I19">
        <f t="shared" si="5"/>
        <v>323.80429001138043</v>
      </c>
    </row>
    <row r="20" spans="1:9">
      <c r="A20">
        <v>19</v>
      </c>
      <c r="B20" s="1">
        <v>47011</v>
      </c>
      <c r="C20">
        <f t="shared" si="0"/>
        <v>2.3295167583625487E-2</v>
      </c>
      <c r="D20">
        <v>1.7900860156109406</v>
      </c>
      <c r="E20">
        <f t="shared" si="1"/>
        <v>1790.0860156109406</v>
      </c>
      <c r="F20">
        <f t="shared" si="2"/>
        <v>41.700353722761292</v>
      </c>
      <c r="G20">
        <f t="shared" si="3"/>
        <v>792.30672073246456</v>
      </c>
      <c r="H20">
        <f t="shared" si="4"/>
        <v>0.42055146127739296</v>
      </c>
      <c r="I20">
        <f t="shared" si="5"/>
        <v>333.20574918393726</v>
      </c>
    </row>
    <row r="21" spans="1:9">
      <c r="A21">
        <v>20</v>
      </c>
      <c r="B21" s="1">
        <v>47192</v>
      </c>
      <c r="C21">
        <f t="shared" si="0"/>
        <v>2.3295167583625487E-2</v>
      </c>
      <c r="D21">
        <v>1.8605400716835503</v>
      </c>
      <c r="E21">
        <f t="shared" si="1"/>
        <v>1860.5400716835502</v>
      </c>
      <c r="F21">
        <f t="shared" si="2"/>
        <v>43.341592765918875</v>
      </c>
      <c r="G21">
        <f t="shared" si="3"/>
        <v>866.83185531837751</v>
      </c>
      <c r="H21">
        <f t="shared" si="4"/>
        <v>0.40180945694935272</v>
      </c>
      <c r="I21">
        <f t="shared" si="5"/>
        <v>348.30123705187714</v>
      </c>
    </row>
    <row r="22" spans="1:9">
      <c r="H22" t="s">
        <v>4</v>
      </c>
      <c r="I22">
        <f>SUM(I2:I21)</f>
        <v>4027.5005222770706</v>
      </c>
    </row>
    <row r="23" spans="1:9">
      <c r="A23" t="s">
        <v>98</v>
      </c>
      <c r="B23" s="8">
        <v>1000</v>
      </c>
      <c r="H23" t="s">
        <v>5</v>
      </c>
      <c r="I23">
        <f>(A21*B25)*H21</f>
        <v>14951.651916713541</v>
      </c>
    </row>
    <row r="24" spans="1:9">
      <c r="A24" t="s">
        <v>79</v>
      </c>
      <c r="B24" s="13">
        <v>4.7133000000000001E-2</v>
      </c>
      <c r="H24" t="s">
        <v>6</v>
      </c>
      <c r="I24">
        <f>SUM(I22:I23)</f>
        <v>18979.152438990612</v>
      </c>
    </row>
    <row r="25" spans="1:9">
      <c r="A25" t="s">
        <v>111</v>
      </c>
      <c r="B25">
        <f>B23*D21</f>
        <v>1860.5400716835502</v>
      </c>
      <c r="H25" t="s">
        <v>89</v>
      </c>
      <c r="I25">
        <f>(I24/B26)/2</f>
        <v>8.2647409639832006</v>
      </c>
    </row>
    <row r="26" spans="1:9">
      <c r="A26" t="s">
        <v>90</v>
      </c>
      <c r="B26">
        <v>1148.2000780000001</v>
      </c>
      <c r="H26" t="s">
        <v>18</v>
      </c>
      <c r="I26">
        <f>I25/(1+B27)</f>
        <v>7.8964202584823466</v>
      </c>
    </row>
    <row r="27" spans="1:9">
      <c r="A27" t="s">
        <v>101</v>
      </c>
      <c r="B27">
        <v>4.664401E-2</v>
      </c>
    </row>
    <row r="28" spans="1:9">
      <c r="A28" t="s">
        <v>119</v>
      </c>
      <c r="B28">
        <f>F7/B26</f>
        <v>2.4749484167569766E-2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DC76A-E205-431D-9C56-73E96DCB636F}">
  <dimension ref="A1:O23"/>
  <sheetViews>
    <sheetView topLeftCell="A7" workbookViewId="0">
      <selection activeCell="B23" sqref="B23"/>
    </sheetView>
  </sheetViews>
  <sheetFormatPr defaultRowHeight="15"/>
  <cols>
    <col min="2" max="2" width="10.7109375" bestFit="1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43997</v>
      </c>
      <c r="C2" s="11">
        <f>$B$18</f>
        <v>4.2200000000000001E-2</v>
      </c>
      <c r="D2">
        <v>1.0214236920840249</v>
      </c>
      <c r="E2">
        <f>$B$17*D2</f>
        <v>1021.423692084025</v>
      </c>
      <c r="F2">
        <f>C2*E2</f>
        <v>43.104079805945858</v>
      </c>
      <c r="G2">
        <f>A2*F2</f>
        <v>43.104079805945858</v>
      </c>
      <c r="H2">
        <f>(1+$B$21)^(-A2)</f>
        <v>0.9114010871392676</v>
      </c>
      <c r="I2">
        <f>G2*H2</f>
        <v>39.285105195276806</v>
      </c>
    </row>
    <row r="3" spans="1:9">
      <c r="A3">
        <v>2</v>
      </c>
      <c r="B3" s="1">
        <v>44362</v>
      </c>
      <c r="C3" s="11">
        <f t="shared" ref="C3:C15" si="0">$B$18</f>
        <v>4.2200000000000001E-2</v>
      </c>
      <c r="D3">
        <v>1.1066808712118794</v>
      </c>
      <c r="E3">
        <f t="shared" ref="E3:E15" si="1">$B$17*D3</f>
        <v>1106.6808712118793</v>
      </c>
      <c r="F3">
        <f t="shared" ref="F3:F15" si="2">C3*E3</f>
        <v>46.701932765141308</v>
      </c>
      <c r="G3">
        <f t="shared" ref="G3:G15" si="3">A3*F3</f>
        <v>93.403865530282616</v>
      </c>
      <c r="H3">
        <f t="shared" ref="H3:H15" si="4">(1+$B$21)^(-A3)</f>
        <v>0.83065194163863887</v>
      </c>
      <c r="I3">
        <f t="shared" ref="I3:I15" si="5">G3*H3</f>
        <v>77.586102259283592</v>
      </c>
    </row>
    <row r="4" spans="1:9">
      <c r="A4">
        <v>3</v>
      </c>
      <c r="B4" s="1">
        <v>44727</v>
      </c>
      <c r="C4" s="11">
        <f t="shared" si="0"/>
        <v>4.2200000000000001E-2</v>
      </c>
      <c r="D4">
        <v>1.2382290341024329</v>
      </c>
      <c r="E4">
        <f t="shared" si="1"/>
        <v>1238.2290341024329</v>
      </c>
      <c r="F4">
        <f t="shared" si="2"/>
        <v>52.253265239122669</v>
      </c>
      <c r="G4">
        <f t="shared" si="3"/>
        <v>156.75979571736801</v>
      </c>
      <c r="H4">
        <f t="shared" si="4"/>
        <v>0.75705708264379901</v>
      </c>
      <c r="I4">
        <f t="shared" si="5"/>
        <v>118.67611362162852</v>
      </c>
    </row>
    <row r="5" spans="1:9">
      <c r="A5">
        <v>4</v>
      </c>
      <c r="B5" s="1">
        <v>45092</v>
      </c>
      <c r="C5" s="11">
        <f t="shared" si="0"/>
        <v>4.2200000000000001E-2</v>
      </c>
      <c r="D5">
        <v>1.3186974286218311</v>
      </c>
      <c r="E5">
        <f t="shared" si="1"/>
        <v>1318.6974286218312</v>
      </c>
      <c r="F5">
        <f t="shared" si="2"/>
        <v>55.649031487841278</v>
      </c>
      <c r="G5">
        <f t="shared" si="3"/>
        <v>222.59612595136511</v>
      </c>
      <c r="H5">
        <f t="shared" si="4"/>
        <v>0.68998264814804078</v>
      </c>
      <c r="I5">
        <f t="shared" si="5"/>
        <v>153.58746445141773</v>
      </c>
    </row>
    <row r="6" spans="1:9">
      <c r="A6">
        <v>5</v>
      </c>
      <c r="B6" s="1">
        <v>45458</v>
      </c>
      <c r="C6" s="11">
        <f t="shared" si="0"/>
        <v>4.2200000000000001E-2</v>
      </c>
      <c r="D6">
        <v>1.4009969899225576</v>
      </c>
      <c r="E6">
        <f t="shared" si="1"/>
        <v>1400.9969899225575</v>
      </c>
      <c r="F6">
        <f t="shared" si="2"/>
        <v>59.122072974731928</v>
      </c>
      <c r="G6">
        <f t="shared" si="3"/>
        <v>295.61036487365965</v>
      </c>
      <c r="H6">
        <f t="shared" si="4"/>
        <v>0.62885093562935512</v>
      </c>
      <c r="I6">
        <f t="shared" si="5"/>
        <v>185.89485453253593</v>
      </c>
    </row>
    <row r="7" spans="1:9">
      <c r="A7">
        <v>6</v>
      </c>
      <c r="B7" s="1">
        <v>45823</v>
      </c>
      <c r="C7" s="11">
        <f t="shared" si="0"/>
        <v>4.2200000000000001E-2</v>
      </c>
      <c r="D7">
        <v>1.484847663884127</v>
      </c>
      <c r="E7">
        <f t="shared" si="1"/>
        <v>1484.8476638841271</v>
      </c>
      <c r="F7">
        <f t="shared" si="2"/>
        <v>62.660571415910162</v>
      </c>
      <c r="G7">
        <f t="shared" si="3"/>
        <v>375.96342849546096</v>
      </c>
      <c r="H7">
        <f t="shared" si="4"/>
        <v>0.5731354263811399</v>
      </c>
      <c r="I7">
        <f t="shared" si="5"/>
        <v>215.47795989446121</v>
      </c>
    </row>
    <row r="8" spans="1:9">
      <c r="A8">
        <v>7</v>
      </c>
      <c r="B8" s="1">
        <v>46188</v>
      </c>
      <c r="C8" s="11">
        <f t="shared" si="0"/>
        <v>4.2200000000000001E-2</v>
      </c>
      <c r="D8">
        <v>1.5733186526467535</v>
      </c>
      <c r="E8">
        <f t="shared" si="1"/>
        <v>1573.3186526467534</v>
      </c>
      <c r="F8">
        <f t="shared" si="2"/>
        <v>66.394047141692994</v>
      </c>
      <c r="G8">
        <f t="shared" si="3"/>
        <v>464.75832999185093</v>
      </c>
      <c r="H8">
        <f t="shared" si="4"/>
        <v>0.52235625068179858</v>
      </c>
      <c r="I8">
        <f t="shared" si="5"/>
        <v>242.76941872767736</v>
      </c>
    </row>
    <row r="9" spans="1:9">
      <c r="A9">
        <v>8</v>
      </c>
      <c r="B9" s="1">
        <v>46553</v>
      </c>
      <c r="C9" s="11">
        <f t="shared" si="0"/>
        <v>4.2200000000000001E-2</v>
      </c>
      <c r="D9">
        <v>1.6675334999635671</v>
      </c>
      <c r="E9">
        <f t="shared" si="1"/>
        <v>1667.5334999635672</v>
      </c>
      <c r="F9">
        <f t="shared" si="2"/>
        <v>70.36991369846254</v>
      </c>
      <c r="G9">
        <f t="shared" si="3"/>
        <v>562.95930958770032</v>
      </c>
      <c r="H9">
        <f t="shared" si="4"/>
        <v>0.476076054745383</v>
      </c>
      <c r="I9">
        <f t="shared" si="5"/>
        <v>268.01144709069706</v>
      </c>
    </row>
    <row r="10" spans="1:9">
      <c r="A10">
        <v>9</v>
      </c>
      <c r="B10" s="1">
        <v>46919</v>
      </c>
      <c r="C10" s="11">
        <f t="shared" si="0"/>
        <v>4.2200000000000001E-2</v>
      </c>
      <c r="D10">
        <v>1.768012792449962</v>
      </c>
      <c r="E10">
        <f t="shared" si="1"/>
        <v>1768.012792449962</v>
      </c>
      <c r="F10">
        <f t="shared" si="2"/>
        <v>74.610139841388403</v>
      </c>
      <c r="G10">
        <f t="shared" si="3"/>
        <v>671.49125857249567</v>
      </c>
      <c r="H10">
        <f t="shared" si="4"/>
        <v>0.43389623385591558</v>
      </c>
      <c r="I10">
        <f t="shared" si="5"/>
        <v>291.35752816177467</v>
      </c>
    </row>
    <row r="11" spans="1:9">
      <c r="A11">
        <v>10</v>
      </c>
      <c r="B11" s="1">
        <v>47284</v>
      </c>
      <c r="C11" s="11">
        <f t="shared" si="0"/>
        <v>4.2200000000000001E-2</v>
      </c>
      <c r="D11">
        <v>1.875131935459589</v>
      </c>
      <c r="E11">
        <f t="shared" si="1"/>
        <v>1875.1319354595889</v>
      </c>
      <c r="F11">
        <f t="shared" si="2"/>
        <v>79.130567676394662</v>
      </c>
      <c r="G11">
        <f t="shared" si="3"/>
        <v>791.30567676394662</v>
      </c>
      <c r="H11">
        <f t="shared" si="4"/>
        <v>0.39545349924191531</v>
      </c>
      <c r="I11">
        <f t="shared" si="5"/>
        <v>312.92459884629466</v>
      </c>
    </row>
    <row r="12" spans="1:9">
      <c r="A12">
        <v>11</v>
      </c>
      <c r="B12" s="1">
        <v>47649</v>
      </c>
      <c r="C12" s="11">
        <f t="shared" si="0"/>
        <v>4.2200000000000001E-2</v>
      </c>
      <c r="D12">
        <v>1.9892460642452545</v>
      </c>
      <c r="E12">
        <f t="shared" si="1"/>
        <v>1989.2460642452545</v>
      </c>
      <c r="F12">
        <f t="shared" si="2"/>
        <v>83.946183911149745</v>
      </c>
      <c r="G12">
        <f t="shared" si="3"/>
        <v>923.40802302264717</v>
      </c>
      <c r="H12">
        <f t="shared" si="4"/>
        <v>0.36041674912210919</v>
      </c>
      <c r="I12">
        <f t="shared" si="5"/>
        <v>332.81171777109626</v>
      </c>
    </row>
    <row r="13" spans="1:9">
      <c r="A13">
        <v>12</v>
      </c>
      <c r="B13" s="1">
        <v>48014</v>
      </c>
      <c r="C13" s="11">
        <f t="shared" si="0"/>
        <v>4.2200000000000001E-2</v>
      </c>
      <c r="D13">
        <v>2.1107427516554433</v>
      </c>
      <c r="E13">
        <f t="shared" si="1"/>
        <v>2110.7427516554435</v>
      </c>
      <c r="F13">
        <f t="shared" si="2"/>
        <v>89.073344119859712</v>
      </c>
      <c r="G13">
        <f t="shared" si="3"/>
        <v>1068.8801294383165</v>
      </c>
      <c r="H13">
        <f t="shared" si="4"/>
        <v>0.32848421697309099</v>
      </c>
      <c r="I13">
        <f t="shared" si="5"/>
        <v>351.11025235664158</v>
      </c>
    </row>
    <row r="14" spans="1:9">
      <c r="A14">
        <v>13</v>
      </c>
      <c r="B14" s="1">
        <v>48380</v>
      </c>
      <c r="C14" s="11">
        <f t="shared" si="0"/>
        <v>4.2200000000000001E-2</v>
      </c>
      <c r="D14">
        <v>2.2400436407070403</v>
      </c>
      <c r="E14">
        <f t="shared" si="1"/>
        <v>2240.0436407070401</v>
      </c>
      <c r="F14">
        <f t="shared" si="2"/>
        <v>94.529841637837094</v>
      </c>
      <c r="G14">
        <f t="shared" si="3"/>
        <v>1228.8879412918823</v>
      </c>
      <c r="H14">
        <f t="shared" si="4"/>
        <v>0.29938087245736617</v>
      </c>
      <c r="I14">
        <f t="shared" si="5"/>
        <v>367.90554401630027</v>
      </c>
    </row>
    <row r="15" spans="1:9">
      <c r="A15">
        <v>14</v>
      </c>
      <c r="B15" s="1">
        <v>48745</v>
      </c>
      <c r="C15" s="11">
        <f t="shared" si="0"/>
        <v>4.2200000000000001E-2</v>
      </c>
      <c r="D15">
        <v>2.3775902022074384</v>
      </c>
      <c r="E15">
        <f t="shared" si="1"/>
        <v>2377.5902022074383</v>
      </c>
      <c r="F15">
        <f t="shared" si="2"/>
        <v>100.33430653315391</v>
      </c>
      <c r="G15">
        <f t="shared" si="3"/>
        <v>1404.6802914641546</v>
      </c>
      <c r="H15">
        <f t="shared" si="4"/>
        <v>0.27285605262634599</v>
      </c>
      <c r="I15">
        <f t="shared" si="5"/>
        <v>383.27551953093439</v>
      </c>
    </row>
    <row r="16" spans="1:9">
      <c r="H16" t="s">
        <v>4</v>
      </c>
      <c r="I16">
        <f>SUM(I2:I15)</f>
        <v>3340.6736264560195</v>
      </c>
    </row>
    <row r="17" spans="1:15">
      <c r="A17" t="s">
        <v>98</v>
      </c>
      <c r="B17" s="8">
        <v>1000</v>
      </c>
      <c r="H17" t="s">
        <v>5</v>
      </c>
      <c r="I17">
        <f>(A15*B19)*H15</f>
        <v>9082.3582827235641</v>
      </c>
    </row>
    <row r="18" spans="1:15">
      <c r="A18" t="s">
        <v>79</v>
      </c>
      <c r="B18" s="11">
        <v>4.2200000000000001E-2</v>
      </c>
      <c r="H18" t="s">
        <v>6</v>
      </c>
      <c r="I18">
        <f>SUM(I16:I17)</f>
        <v>12423.031909179583</v>
      </c>
    </row>
    <row r="19" spans="1:15">
      <c r="A19" t="s">
        <v>111</v>
      </c>
      <c r="B19">
        <f>B17*D15</f>
        <v>2377.5902022074383</v>
      </c>
      <c r="H19" t="s">
        <v>89</v>
      </c>
      <c r="I19">
        <f>I18/B20</f>
        <v>11.053026151464399</v>
      </c>
    </row>
    <row r="20" spans="1:15">
      <c r="A20" t="s">
        <v>90</v>
      </c>
      <c r="B20">
        <v>1123.9484769999999</v>
      </c>
      <c r="H20" t="s">
        <v>18</v>
      </c>
      <c r="I20">
        <f>I19/(1+B21)</f>
        <v>10.073740050623408</v>
      </c>
    </row>
    <row r="21" spans="1:15" ht="18">
      <c r="A21" t="s">
        <v>101</v>
      </c>
      <c r="B21">
        <v>9.7211770000000003E-2</v>
      </c>
      <c r="O21" s="7"/>
    </row>
    <row r="22" spans="1:15">
      <c r="A22" t="s">
        <v>119</v>
      </c>
      <c r="B22">
        <f>F4/B20</f>
        <v>4.6490801231916852E-2</v>
      </c>
    </row>
    <row r="23" spans="1:15">
      <c r="A23" t="s">
        <v>19</v>
      </c>
      <c r="B23" t="s">
        <v>133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211CB-EE02-4B97-895D-AF4B0EC1CE5F}">
  <dimension ref="A1:M23"/>
  <sheetViews>
    <sheetView topLeftCell="A4" workbookViewId="0">
      <selection activeCell="B20" sqref="B20"/>
    </sheetView>
  </sheetViews>
  <sheetFormatPr defaultRowHeight="15"/>
  <cols>
    <col min="2" max="2" width="10.7109375" customWidth="1"/>
    <col min="4" max="4" width="10.7109375" bestFit="1" customWidth="1"/>
    <col min="13" max="13" width="11.28515625" bestFit="1" customWidth="1"/>
  </cols>
  <sheetData>
    <row r="1" spans="1:10">
      <c r="A1" t="s">
        <v>96</v>
      </c>
      <c r="B1" t="s">
        <v>0</v>
      </c>
      <c r="C1" t="s">
        <v>121</v>
      </c>
      <c r="D1" t="s">
        <v>141</v>
      </c>
      <c r="E1" t="s">
        <v>116</v>
      </c>
      <c r="F1" t="s">
        <v>142</v>
      </c>
      <c r="G1" t="s">
        <v>107</v>
      </c>
      <c r="H1" t="s">
        <v>12</v>
      </c>
      <c r="I1" t="s">
        <v>3</v>
      </c>
      <c r="J1" t="s">
        <v>102</v>
      </c>
    </row>
    <row r="2" spans="1:10">
      <c r="A2">
        <v>0</v>
      </c>
      <c r="B2" s="1">
        <v>43581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</v>
      </c>
      <c r="B3" s="1">
        <v>43762</v>
      </c>
      <c r="C3">
        <v>4.9000000000000002E-2</v>
      </c>
      <c r="D3" s="15">
        <f>(1+C3)^(NETWORKDAYS.INTL(B2,B3)/252)-1</f>
        <v>2.4985009285588999E-2</v>
      </c>
      <c r="E3">
        <v>1.1025</v>
      </c>
      <c r="F3">
        <f>D3*E3</f>
        <v>2.7545972737361871E-2</v>
      </c>
      <c r="G3">
        <f>$B$18*F3</f>
        <v>275.4597273736187</v>
      </c>
      <c r="H3">
        <f>A3*G3</f>
        <v>275.4597273736187</v>
      </c>
      <c r="I3">
        <f>(1+$B$20)^(-A3)</f>
        <v>0.95339391980082766</v>
      </c>
      <c r="J3">
        <f>H3*I3</f>
        <v>262.62162922800167</v>
      </c>
    </row>
    <row r="4" spans="1:10">
      <c r="A4">
        <v>2</v>
      </c>
      <c r="B4" s="1">
        <v>43945</v>
      </c>
      <c r="C4">
        <v>3.6499999999999998E-2</v>
      </c>
      <c r="D4" s="15">
        <f t="shared" ref="D4:D16" si="0">(1+C4)^(NETWORKDAYS.INTL(B3,B4)/252)-1</f>
        <v>1.8955812400530458E-2</v>
      </c>
      <c r="E4">
        <v>1.1025</v>
      </c>
      <c r="F4">
        <f t="shared" ref="F4:F16" si="1">D4*E4</f>
        <v>2.089878317158483E-2</v>
      </c>
      <c r="G4">
        <f t="shared" ref="G4:G16" si="2">$B$18*F4</f>
        <v>208.9878317158483</v>
      </c>
      <c r="H4">
        <f t="shared" ref="H4:H16" si="3">A4*G4</f>
        <v>417.9756634316966</v>
      </c>
      <c r="I4">
        <f t="shared" ref="I4:I16" si="4">(1+$B$20)^(-A4)</f>
        <v>0.90895996631318698</v>
      </c>
      <c r="J4">
        <f t="shared" ref="J4:J16" si="5">H4*I4</f>
        <v>379.92314495260695</v>
      </c>
    </row>
    <row r="5" spans="1:10">
      <c r="A5">
        <v>3</v>
      </c>
      <c r="B5" s="1">
        <v>44128</v>
      </c>
      <c r="C5">
        <v>1.9E-2</v>
      </c>
      <c r="D5" s="15">
        <f t="shared" si="0"/>
        <v>9.8323476256725328E-3</v>
      </c>
      <c r="E5">
        <v>1.1025</v>
      </c>
      <c r="F5">
        <f t="shared" si="1"/>
        <v>1.0840163257303968E-2</v>
      </c>
      <c r="G5">
        <f t="shared" si="2"/>
        <v>108.40163257303968</v>
      </c>
      <c r="H5">
        <f t="shared" si="3"/>
        <v>325.204897719119</v>
      </c>
      <c r="I5">
        <f t="shared" si="4"/>
        <v>0.86659690522535759</v>
      </c>
      <c r="J5">
        <f t="shared" si="5"/>
        <v>281.82155792751746</v>
      </c>
    </row>
    <row r="6" spans="1:10">
      <c r="A6">
        <v>4</v>
      </c>
      <c r="B6" s="1">
        <v>44310</v>
      </c>
      <c r="C6">
        <v>2.6499999999999999E-2</v>
      </c>
      <c r="D6" s="15">
        <f t="shared" si="0"/>
        <v>1.358407319400845E-2</v>
      </c>
      <c r="E6">
        <v>1.1025</v>
      </c>
      <c r="F6">
        <f t="shared" si="1"/>
        <v>1.4976440696394316E-2</v>
      </c>
      <c r="G6">
        <f t="shared" si="2"/>
        <v>149.76440696394317</v>
      </c>
      <c r="H6">
        <f t="shared" si="3"/>
        <v>599.05762785577269</v>
      </c>
      <c r="I6">
        <f t="shared" si="4"/>
        <v>0.82620822036007002</v>
      </c>
      <c r="J6">
        <f t="shared" si="5"/>
        <v>494.94633660384306</v>
      </c>
    </row>
    <row r="7" spans="1:10">
      <c r="A7">
        <v>5</v>
      </c>
      <c r="B7" s="1">
        <v>44493</v>
      </c>
      <c r="C7">
        <v>7.6499999999999999E-2</v>
      </c>
      <c r="D7" s="15">
        <f t="shared" si="0"/>
        <v>3.8759901089190141E-2</v>
      </c>
      <c r="E7">
        <v>1.1025</v>
      </c>
      <c r="F7">
        <f t="shared" si="1"/>
        <v>4.2732790950832135E-2</v>
      </c>
      <c r="G7">
        <f t="shared" si="2"/>
        <v>427.32790950832134</v>
      </c>
      <c r="H7">
        <f t="shared" si="3"/>
        <v>2136.6395475416066</v>
      </c>
      <c r="I7">
        <f t="shared" si="4"/>
        <v>0.78770189378075306</v>
      </c>
      <c r="J7">
        <f t="shared" si="5"/>
        <v>1683.0350179253749</v>
      </c>
    </row>
    <row r="8" spans="1:10">
      <c r="A8">
        <v>6</v>
      </c>
      <c r="B8" s="1">
        <v>44675</v>
      </c>
      <c r="C8">
        <v>0.11650000000000001</v>
      </c>
      <c r="D8" s="15">
        <f t="shared" si="0"/>
        <v>5.8495524391583453E-2</v>
      </c>
      <c r="E8">
        <v>1.1025</v>
      </c>
      <c r="F8">
        <f t="shared" si="1"/>
        <v>6.4491315641720753E-2</v>
      </c>
      <c r="G8">
        <f t="shared" si="2"/>
        <v>644.91315641720757</v>
      </c>
      <c r="H8">
        <f t="shared" si="3"/>
        <v>3869.4789385032454</v>
      </c>
      <c r="I8">
        <f t="shared" si="4"/>
        <v>0.75099019614616735</v>
      </c>
      <c r="J8">
        <f t="shared" si="5"/>
        <v>2905.9407470100159</v>
      </c>
    </row>
    <row r="9" spans="1:10">
      <c r="A9">
        <v>7</v>
      </c>
      <c r="B9" s="1">
        <v>44858</v>
      </c>
      <c r="C9">
        <v>0.13650000000000001</v>
      </c>
      <c r="D9" s="15">
        <f t="shared" si="0"/>
        <v>6.8777465213071487E-2</v>
      </c>
      <c r="E9">
        <v>1.1025</v>
      </c>
      <c r="F9">
        <f t="shared" si="1"/>
        <v>7.5827155397411319E-2</v>
      </c>
      <c r="G9">
        <f t="shared" si="2"/>
        <v>758.2715539741132</v>
      </c>
      <c r="H9">
        <f t="shared" si="3"/>
        <v>5307.9008778187927</v>
      </c>
      <c r="I9">
        <f t="shared" si="4"/>
        <v>0.71598948683578689</v>
      </c>
      <c r="J9">
        <f t="shared" si="5"/>
        <v>3800.4012256847</v>
      </c>
    </row>
    <row r="10" spans="1:10">
      <c r="A10">
        <v>8</v>
      </c>
      <c r="B10" s="1">
        <v>45040</v>
      </c>
      <c r="C10">
        <v>0.13700000000000001</v>
      </c>
      <c r="D10" s="15">
        <f t="shared" si="0"/>
        <v>6.9021871708573102E-2</v>
      </c>
      <c r="E10">
        <v>1.1025</v>
      </c>
      <c r="F10">
        <f t="shared" si="1"/>
        <v>7.6096613558701842E-2</v>
      </c>
      <c r="G10">
        <f t="shared" si="2"/>
        <v>760.96613558701847</v>
      </c>
      <c r="H10">
        <f t="shared" si="3"/>
        <v>6087.7290846961478</v>
      </c>
      <c r="I10">
        <f t="shared" si="4"/>
        <v>0.68262002339055394</v>
      </c>
      <c r="J10">
        <f t="shared" si="5"/>
        <v>4155.6057701906402</v>
      </c>
    </row>
    <row r="11" spans="1:10">
      <c r="A11">
        <v>9</v>
      </c>
      <c r="B11" s="1">
        <v>45223</v>
      </c>
      <c r="C11">
        <v>0.13150999999999999</v>
      </c>
      <c r="D11" s="15">
        <f t="shared" si="0"/>
        <v>6.6858395325497755E-2</v>
      </c>
      <c r="E11">
        <v>1.1025</v>
      </c>
      <c r="F11">
        <f t="shared" si="1"/>
        <v>7.371138084636128E-2</v>
      </c>
      <c r="G11">
        <f t="shared" si="2"/>
        <v>737.11380846361283</v>
      </c>
      <c r="H11">
        <f t="shared" si="3"/>
        <v>6634.0242761725158</v>
      </c>
      <c r="I11">
        <f t="shared" si="4"/>
        <v>0.65080577983485288</v>
      </c>
      <c r="J11">
        <f t="shared" si="5"/>
        <v>4317.4613424977997</v>
      </c>
    </row>
    <row r="12" spans="1:10">
      <c r="A12">
        <v>10</v>
      </c>
      <c r="B12" s="1">
        <v>45406</v>
      </c>
      <c r="C12">
        <v>0.12570000000000001</v>
      </c>
      <c r="D12" s="15">
        <f t="shared" si="0"/>
        <v>6.3985433375099987E-2</v>
      </c>
      <c r="E12">
        <v>1.1025</v>
      </c>
      <c r="F12">
        <f t="shared" si="1"/>
        <v>7.0543940296047741E-2</v>
      </c>
      <c r="G12">
        <f t="shared" si="2"/>
        <v>705.43940296047742</v>
      </c>
      <c r="H12">
        <f t="shared" si="3"/>
        <v>7054.394029604774</v>
      </c>
      <c r="I12">
        <f t="shared" si="4"/>
        <v>0.62047427346578488</v>
      </c>
      <c r="J12">
        <f t="shared" si="5"/>
        <v>4377.0700102603923</v>
      </c>
    </row>
    <row r="13" spans="1:10">
      <c r="A13">
        <v>11</v>
      </c>
      <c r="B13" s="1">
        <v>45589</v>
      </c>
      <c r="C13">
        <v>0.11924999999999999</v>
      </c>
      <c r="D13" s="15">
        <f t="shared" si="0"/>
        <v>6.0787717527063245E-2</v>
      </c>
      <c r="E13">
        <v>1.1025</v>
      </c>
      <c r="F13">
        <f t="shared" si="1"/>
        <v>6.7018458573587236E-2</v>
      </c>
      <c r="G13">
        <f t="shared" si="2"/>
        <v>670.18458573587236</v>
      </c>
      <c r="H13">
        <f t="shared" si="3"/>
        <v>7372.0304430945962</v>
      </c>
      <c r="I13">
        <f t="shared" si="4"/>
        <v>0.5915563997151152</v>
      </c>
      <c r="J13">
        <f t="shared" si="5"/>
        <v>4360.9717875072647</v>
      </c>
    </row>
    <row r="14" spans="1:10">
      <c r="A14">
        <v>12</v>
      </c>
      <c r="B14" s="1">
        <v>45771</v>
      </c>
      <c r="C14">
        <v>0.11595</v>
      </c>
      <c r="D14" s="15">
        <f t="shared" si="0"/>
        <v>5.8687292731234741E-2</v>
      </c>
      <c r="E14">
        <v>1.1025</v>
      </c>
      <c r="F14">
        <f t="shared" si="1"/>
        <v>6.4702740236186301E-2</v>
      </c>
      <c r="G14">
        <f t="shared" si="2"/>
        <v>647.02740236186298</v>
      </c>
      <c r="H14">
        <f t="shared" si="3"/>
        <v>7764.3288283423553</v>
      </c>
      <c r="I14">
        <f t="shared" si="4"/>
        <v>0.56398627470765894</v>
      </c>
      <c r="J14">
        <f t="shared" si="5"/>
        <v>4378.9748915020873</v>
      </c>
    </row>
    <row r="15" spans="1:10">
      <c r="A15">
        <v>13</v>
      </c>
      <c r="B15" s="1">
        <v>45954</v>
      </c>
      <c r="C15">
        <v>0.11544</v>
      </c>
      <c r="D15" s="15">
        <f t="shared" si="0"/>
        <v>5.8894710677173556E-2</v>
      </c>
      <c r="E15">
        <v>1.1025</v>
      </c>
      <c r="F15">
        <f t="shared" si="1"/>
        <v>6.493141852158385E-2</v>
      </c>
      <c r="G15">
        <f t="shared" si="2"/>
        <v>649.31418521583851</v>
      </c>
      <c r="H15">
        <f t="shared" si="3"/>
        <v>8441.0844078058999</v>
      </c>
      <c r="I15">
        <f t="shared" si="4"/>
        <v>0.53770108515740134</v>
      </c>
      <c r="J15">
        <f t="shared" si="5"/>
        <v>4538.7802459824525</v>
      </c>
    </row>
    <row r="16" spans="1:10">
      <c r="A16">
        <v>14</v>
      </c>
      <c r="B16" s="1">
        <v>46136</v>
      </c>
      <c r="C16">
        <v>0.11496000000000001</v>
      </c>
      <c r="D16" s="15">
        <f t="shared" si="0"/>
        <v>5.8198953695461908E-2</v>
      </c>
      <c r="E16">
        <v>1.1025</v>
      </c>
      <c r="F16">
        <f t="shared" si="1"/>
        <v>6.4164346449246762E-2</v>
      </c>
      <c r="G16">
        <f t="shared" si="2"/>
        <v>641.64346449246761</v>
      </c>
      <c r="H16">
        <f t="shared" si="3"/>
        <v>8983.0085028945468</v>
      </c>
      <c r="I16">
        <f t="shared" si="4"/>
        <v>0.51264094525937354</v>
      </c>
      <c r="J16">
        <f t="shared" si="5"/>
        <v>4605.05797019685</v>
      </c>
    </row>
    <row r="17" spans="1:13">
      <c r="I17" t="s">
        <v>4</v>
      </c>
      <c r="J17">
        <f>SUM(J3:J16)</f>
        <v>40542.61167746954</v>
      </c>
    </row>
    <row r="18" spans="1:13">
      <c r="A18" t="s">
        <v>98</v>
      </c>
      <c r="B18" s="8">
        <v>10000</v>
      </c>
      <c r="I18" t="s">
        <v>5</v>
      </c>
      <c r="J18">
        <f>(A16*B18)*I16</f>
        <v>71769.7323363123</v>
      </c>
    </row>
    <row r="19" spans="1:13">
      <c r="A19" t="s">
        <v>90</v>
      </c>
      <c r="B19">
        <v>10040.641738</v>
      </c>
      <c r="I19" t="s">
        <v>6</v>
      </c>
      <c r="J19">
        <f>SUM(J17:J18)</f>
        <v>112312.34401378184</v>
      </c>
    </row>
    <row r="20" spans="1:13">
      <c r="A20" t="s">
        <v>101</v>
      </c>
      <c r="B20">
        <v>4.888439E-2</v>
      </c>
      <c r="I20" t="s">
        <v>89</v>
      </c>
      <c r="J20">
        <f>(J19/B19)/2</f>
        <v>5.5928867369464266</v>
      </c>
    </row>
    <row r="21" spans="1:13">
      <c r="A21" t="s">
        <v>119</v>
      </c>
      <c r="I21" t="s">
        <v>18</v>
      </c>
      <c r="J21">
        <f>J20/(1+B20)</f>
        <v>5.3322242091394143</v>
      </c>
    </row>
    <row r="22" spans="1:13">
      <c r="A22" t="s">
        <v>19</v>
      </c>
      <c r="B22" t="s">
        <v>133</v>
      </c>
    </row>
    <row r="23" spans="1:13" ht="18">
      <c r="M23" s="1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BE97C-5FF5-47FC-B426-E5D381625736}">
  <dimension ref="A1:J15"/>
  <sheetViews>
    <sheetView workbookViewId="0">
      <selection activeCell="B15" sqref="B15"/>
    </sheetView>
  </sheetViews>
  <sheetFormatPr defaultRowHeight="15"/>
  <cols>
    <col min="2" max="2" width="10.7109375" customWidth="1"/>
    <col min="4" max="4" width="10.7109375" bestFit="1" customWidth="1"/>
    <col min="6" max="6" width="9.5703125" bestFit="1" customWidth="1"/>
  </cols>
  <sheetData>
    <row r="1" spans="1:10">
      <c r="A1" t="s">
        <v>96</v>
      </c>
      <c r="B1" t="s">
        <v>0</v>
      </c>
      <c r="C1" t="s">
        <v>121</v>
      </c>
      <c r="D1" t="s">
        <v>141</v>
      </c>
      <c r="E1" t="s">
        <v>116</v>
      </c>
      <c r="F1" t="s">
        <v>142</v>
      </c>
      <c r="G1" t="s">
        <v>107</v>
      </c>
      <c r="H1" t="s">
        <v>12</v>
      </c>
      <c r="I1" t="s">
        <v>3</v>
      </c>
      <c r="J1" t="s">
        <v>102</v>
      </c>
    </row>
    <row r="2" spans="1:10">
      <c r="A2">
        <v>0</v>
      </c>
      <c r="B2" s="1">
        <v>43539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</v>
      </c>
      <c r="B3" s="1">
        <v>43723</v>
      </c>
      <c r="C3">
        <v>5.8999999999999997E-2</v>
      </c>
      <c r="D3" s="14">
        <f>(1+C3)^(NETWORKDAYS.INTL(B2,B3)/252)-1</f>
        <v>3.0248397126249937E-2</v>
      </c>
      <c r="E3">
        <f>0.5/100</f>
        <v>5.0000000000000001E-3</v>
      </c>
      <c r="F3" s="14">
        <f>D3+E3</f>
        <v>3.5248397126249935E-2</v>
      </c>
      <c r="G3">
        <f>F3*$B$12</f>
        <v>35.248397126249934</v>
      </c>
      <c r="H3">
        <f>A3*G3</f>
        <v>35.248397126249934</v>
      </c>
      <c r="I3">
        <f>(1+$B$14)^(-A3)</f>
        <v>0.87454831765763785</v>
      </c>
      <c r="J3">
        <f>H3*I3</f>
        <v>30.826426406890196</v>
      </c>
    </row>
    <row r="4" spans="1:10">
      <c r="A4">
        <v>2</v>
      </c>
      <c r="B4" s="1">
        <v>43905</v>
      </c>
      <c r="C4">
        <v>4.1500000000000002E-2</v>
      </c>
      <c r="D4" s="14">
        <f t="shared" ref="D4:D10" si="0">(1+C4)^(NETWORKDAYS.INTL(B3,B4)/252)-1</f>
        <v>2.11979706279386E-2</v>
      </c>
      <c r="E4">
        <f t="shared" ref="E4:E10" si="1">0.5/100</f>
        <v>5.0000000000000001E-3</v>
      </c>
      <c r="F4" s="14">
        <f t="shared" ref="F4:F10" si="2">D4+E4</f>
        <v>2.6197970627938601E-2</v>
      </c>
      <c r="G4">
        <f t="shared" ref="G4:G10" si="3">F4*$B$12</f>
        <v>26.197970627938602</v>
      </c>
      <c r="H4">
        <f t="shared" ref="H4:H10" si="4">A4*G4</f>
        <v>52.395941255877204</v>
      </c>
      <c r="I4">
        <f t="shared" ref="I4:I10" si="5">(1+$B$14)^(-A4)</f>
        <v>0.76483475991780459</v>
      </c>
      <c r="J4">
        <f t="shared" ref="J4:J10" si="6">H4*I4</f>
        <v>40.074237151106232</v>
      </c>
    </row>
    <row r="5" spans="1:10">
      <c r="A5">
        <v>3</v>
      </c>
      <c r="B5" s="1">
        <v>44089</v>
      </c>
      <c r="C5">
        <v>1.9E-2</v>
      </c>
      <c r="D5" s="14">
        <f t="shared" si="0"/>
        <v>9.9077743165203458E-3</v>
      </c>
      <c r="E5">
        <f t="shared" si="1"/>
        <v>5.0000000000000001E-3</v>
      </c>
      <c r="F5" s="14">
        <f t="shared" si="2"/>
        <v>1.4907774316520347E-2</v>
      </c>
      <c r="G5">
        <f t="shared" si="3"/>
        <v>14.907774316520348</v>
      </c>
      <c r="H5">
        <f t="shared" si="4"/>
        <v>44.723322949561044</v>
      </c>
      <c r="I5">
        <f t="shared" si="5"/>
        <v>0.66888495257219938</v>
      </c>
      <c r="J5">
        <f t="shared" si="6"/>
        <v>29.914757749988294</v>
      </c>
    </row>
    <row r="6" spans="1:10">
      <c r="A6">
        <v>4</v>
      </c>
      <c r="B6" s="1">
        <v>44270</v>
      </c>
      <c r="C6">
        <v>1.9E-2</v>
      </c>
      <c r="D6" s="14">
        <f t="shared" si="0"/>
        <v>9.7569265681960449E-3</v>
      </c>
      <c r="E6">
        <f t="shared" si="1"/>
        <v>5.0000000000000001E-3</v>
      </c>
      <c r="F6" s="14">
        <f t="shared" si="2"/>
        <v>1.4756926568196046E-2</v>
      </c>
      <c r="G6">
        <f t="shared" si="3"/>
        <v>14.756926568196047</v>
      </c>
      <c r="H6">
        <f t="shared" si="4"/>
        <v>59.027706272784187</v>
      </c>
      <c r="I6">
        <f t="shared" si="5"/>
        <v>0.58497220997852584</v>
      </c>
      <c r="J6">
        <f t="shared" si="6"/>
        <v>34.529567788353859</v>
      </c>
    </row>
    <row r="7" spans="1:10">
      <c r="A7">
        <v>5</v>
      </c>
      <c r="B7" s="1">
        <v>44454</v>
      </c>
      <c r="C7">
        <v>5.1499999999999997E-2</v>
      </c>
      <c r="D7" s="14">
        <f t="shared" si="0"/>
        <v>2.6858143811610669E-2</v>
      </c>
      <c r="E7">
        <f t="shared" si="1"/>
        <v>5.0000000000000001E-3</v>
      </c>
      <c r="F7" s="14">
        <f t="shared" si="2"/>
        <v>3.1858143811610666E-2</v>
      </c>
      <c r="G7">
        <f t="shared" si="3"/>
        <v>31.858143811610667</v>
      </c>
      <c r="H7">
        <f t="shared" si="4"/>
        <v>159.29071905805333</v>
      </c>
      <c r="I7">
        <f t="shared" si="5"/>
        <v>0.51158646211319025</v>
      </c>
      <c r="J7">
        <f t="shared" si="6"/>
        <v>81.490975410375626</v>
      </c>
    </row>
    <row r="8" spans="1:10">
      <c r="A8">
        <v>6</v>
      </c>
      <c r="B8" s="1">
        <v>44635</v>
      </c>
      <c r="C8">
        <v>0.1065</v>
      </c>
      <c r="D8" s="14">
        <f t="shared" si="0"/>
        <v>5.3594150284956621E-2</v>
      </c>
      <c r="E8">
        <f t="shared" si="1"/>
        <v>5.0000000000000001E-3</v>
      </c>
      <c r="F8" s="14">
        <f t="shared" si="2"/>
        <v>5.8594150284956618E-2</v>
      </c>
      <c r="G8">
        <f t="shared" si="3"/>
        <v>58.594150284956619</v>
      </c>
      <c r="H8">
        <f t="shared" si="4"/>
        <v>351.56490170973973</v>
      </c>
      <c r="I8">
        <f t="shared" si="5"/>
        <v>0.44740707977751337</v>
      </c>
      <c r="J8">
        <f t="shared" si="6"/>
        <v>157.29262602622316</v>
      </c>
    </row>
    <row r="9" spans="1:10">
      <c r="A9">
        <v>7</v>
      </c>
      <c r="B9" s="1">
        <v>44819</v>
      </c>
      <c r="C9">
        <v>0.13650000000000001</v>
      </c>
      <c r="D9" s="14">
        <f t="shared" si="0"/>
        <v>6.9863363092107056E-2</v>
      </c>
      <c r="E9">
        <f t="shared" si="1"/>
        <v>5.0000000000000001E-3</v>
      </c>
      <c r="F9" s="14">
        <f t="shared" si="2"/>
        <v>7.486336309210706E-2</v>
      </c>
      <c r="G9">
        <f t="shared" si="3"/>
        <v>74.863363092107065</v>
      </c>
      <c r="H9">
        <f t="shared" si="4"/>
        <v>524.04354164474944</v>
      </c>
      <c r="I9">
        <f t="shared" si="5"/>
        <v>0.39127910892754086</v>
      </c>
      <c r="J9">
        <f t="shared" si="6"/>
        <v>205.04729001399022</v>
      </c>
    </row>
    <row r="10" spans="1:10">
      <c r="A10">
        <v>8</v>
      </c>
      <c r="B10" s="1">
        <v>45000</v>
      </c>
      <c r="C10">
        <v>0.13705000000000001</v>
      </c>
      <c r="D10" s="14">
        <f t="shared" si="0"/>
        <v>6.850158603241141E-2</v>
      </c>
      <c r="E10">
        <f t="shared" si="1"/>
        <v>5.0000000000000001E-3</v>
      </c>
      <c r="F10" s="14">
        <f t="shared" si="2"/>
        <v>7.3501586032411415E-2</v>
      </c>
      <c r="G10">
        <f t="shared" si="3"/>
        <v>73.50158603241141</v>
      </c>
      <c r="H10">
        <f t="shared" si="4"/>
        <v>588.01268825929128</v>
      </c>
      <c r="I10">
        <f t="shared" si="5"/>
        <v>0.34219248644716049</v>
      </c>
      <c r="J10">
        <f t="shared" si="6"/>
        <v>201.21352385792594</v>
      </c>
    </row>
    <row r="11" spans="1:10">
      <c r="I11" t="s">
        <v>4</v>
      </c>
      <c r="J11">
        <f>SUM(J3:J10)</f>
        <v>780.38940440485351</v>
      </c>
    </row>
    <row r="12" spans="1:10">
      <c r="A12" t="s">
        <v>98</v>
      </c>
      <c r="B12" s="8">
        <v>1000</v>
      </c>
      <c r="I12" t="s">
        <v>5</v>
      </c>
      <c r="J12">
        <f>(A10*B12)*I10</f>
        <v>2737.5398915772839</v>
      </c>
    </row>
    <row r="13" spans="1:10">
      <c r="A13" t="s">
        <v>90</v>
      </c>
      <c r="B13">
        <v>508.16708299999999</v>
      </c>
      <c r="I13" t="s">
        <v>6</v>
      </c>
      <c r="J13">
        <f>SUM(J11:J12)</f>
        <v>3517.9292959821373</v>
      </c>
    </row>
    <row r="14" spans="1:10">
      <c r="A14" t="s">
        <v>101</v>
      </c>
      <c r="B14">
        <v>0.1434474</v>
      </c>
      <c r="I14" t="s">
        <v>89</v>
      </c>
      <c r="J14">
        <f>(J13/B13)/2</f>
        <v>3.4613903710702738</v>
      </c>
    </row>
    <row r="15" spans="1:10">
      <c r="A15" t="s">
        <v>119</v>
      </c>
      <c r="B15">
        <f>G8/B13</f>
        <v>0.11530489133424768</v>
      </c>
      <c r="I15" t="s">
        <v>18</v>
      </c>
      <c r="J15">
        <f>J14/(1+B14)</f>
        <v>3.0271531257758548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FFB0F-280D-41CF-A65E-C35D756E3414}">
  <dimension ref="A1:J18"/>
  <sheetViews>
    <sheetView workbookViewId="0">
      <selection activeCell="B17" sqref="B17"/>
    </sheetView>
  </sheetViews>
  <sheetFormatPr defaultRowHeight="15"/>
  <cols>
    <col min="2" max="2" width="11.140625" customWidth="1"/>
    <col min="4" max="4" width="10.7109375" bestFit="1" customWidth="1"/>
  </cols>
  <sheetData>
    <row r="1" spans="1:10">
      <c r="A1" t="s">
        <v>96</v>
      </c>
      <c r="B1" t="s">
        <v>0</v>
      </c>
      <c r="C1" t="s">
        <v>121</v>
      </c>
      <c r="D1" t="s">
        <v>141</v>
      </c>
      <c r="E1" t="s">
        <v>116</v>
      </c>
      <c r="F1" t="s">
        <v>142</v>
      </c>
      <c r="G1" t="s">
        <v>107</v>
      </c>
      <c r="H1" t="s">
        <v>12</v>
      </c>
      <c r="I1" t="s">
        <v>3</v>
      </c>
      <c r="J1" t="s">
        <v>102</v>
      </c>
    </row>
    <row r="2" spans="1:10">
      <c r="A2">
        <v>0</v>
      </c>
      <c r="B2" s="1">
        <v>43607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7">
        <v>1</v>
      </c>
      <c r="B3" s="18">
        <v>43753</v>
      </c>
      <c r="C3">
        <v>5.3999999999999999E-2</v>
      </c>
      <c r="D3" s="14">
        <f>(1+C3)^(NETWORKDAYS.INTL(B2,B3)/252)-1</f>
        <v>2.2155385552971252E-2</v>
      </c>
      <c r="E3">
        <v>1.0725</v>
      </c>
      <c r="F3">
        <f>D3*E3</f>
        <v>2.3761651005561667E-2</v>
      </c>
      <c r="G3">
        <f>$B$14*F3</f>
        <v>23.761651005561667</v>
      </c>
      <c r="H3">
        <f>A3*G3</f>
        <v>23.761651005561667</v>
      </c>
      <c r="I3" s="20">
        <f>(1+$B$16)^(-A3)</f>
        <v>0.9566589855878942</v>
      </c>
      <c r="J3">
        <f>H3*I3</f>
        <v>22.731796946874191</v>
      </c>
    </row>
    <row r="4" spans="1:10">
      <c r="A4" s="17">
        <v>2</v>
      </c>
      <c r="B4" s="18">
        <v>43936</v>
      </c>
      <c r="C4">
        <v>3.6499999999999998E-2</v>
      </c>
      <c r="D4" s="14">
        <f t="shared" ref="D4:D12" si="0">(1+C4)^(NETWORKDAYS.INTL(B3,B4)/252)-1</f>
        <v>1.8955812400530458E-2</v>
      </c>
      <c r="E4">
        <v>1.0725</v>
      </c>
      <c r="F4">
        <f t="shared" ref="F4:F12" si="1">D4*E4</f>
        <v>2.0330108799568918E-2</v>
      </c>
      <c r="G4">
        <f t="shared" ref="G4:G12" si="2">$B$14*F4</f>
        <v>20.330108799568919</v>
      </c>
      <c r="H4">
        <f t="shared" ref="H4:H12" si="3">A4*G4</f>
        <v>40.660217599137837</v>
      </c>
      <c r="I4" s="20">
        <f t="shared" ref="I4:I12" si="4">(1+$B$16)^(-A4)</f>
        <v>0.91519641470605884</v>
      </c>
      <c r="J4">
        <f t="shared" ref="J4:J12" si="5">H4*I4</f>
        <v>37.212085367899142</v>
      </c>
    </row>
    <row r="5" spans="1:10">
      <c r="A5" s="17">
        <v>3</v>
      </c>
      <c r="B5" s="18">
        <v>44119</v>
      </c>
      <c r="C5">
        <v>1.9E-2</v>
      </c>
      <c r="D5" s="14">
        <f t="shared" si="0"/>
        <v>9.9077743165203458E-3</v>
      </c>
      <c r="E5">
        <v>1.0725</v>
      </c>
      <c r="F5">
        <f t="shared" si="1"/>
        <v>1.0626087954468072E-2</v>
      </c>
      <c r="G5">
        <f t="shared" si="2"/>
        <v>10.626087954468071</v>
      </c>
      <c r="H5">
        <f t="shared" si="3"/>
        <v>31.878263863404214</v>
      </c>
      <c r="I5" s="20">
        <f t="shared" si="4"/>
        <v>0.87553087370637583</v>
      </c>
      <c r="J5">
        <f t="shared" si="5"/>
        <v>27.910404212568679</v>
      </c>
    </row>
    <row r="6" spans="1:10">
      <c r="A6" s="17">
        <v>4</v>
      </c>
      <c r="B6" s="18">
        <v>44301</v>
      </c>
      <c r="C6">
        <v>2.6499999999999999E-2</v>
      </c>
      <c r="D6" s="14">
        <f t="shared" si="0"/>
        <v>1.3689278051643772E-2</v>
      </c>
      <c r="E6">
        <v>1.0725</v>
      </c>
      <c r="F6">
        <f t="shared" si="1"/>
        <v>1.4681750710387945E-2</v>
      </c>
      <c r="G6">
        <f t="shared" si="2"/>
        <v>14.681750710387945</v>
      </c>
      <c r="H6">
        <f t="shared" si="3"/>
        <v>58.72700284155178</v>
      </c>
      <c r="I6" s="20">
        <f t="shared" si="4"/>
        <v>0.83758447749082432</v>
      </c>
      <c r="J6">
        <f t="shared" si="5"/>
        <v>49.188825989643306</v>
      </c>
    </row>
    <row r="7" spans="1:10">
      <c r="A7" s="17">
        <v>5</v>
      </c>
      <c r="B7" s="18">
        <v>44484</v>
      </c>
      <c r="C7">
        <v>6.1499999999999999E-2</v>
      </c>
      <c r="D7" s="14">
        <f t="shared" si="0"/>
        <v>3.175633010592116E-2</v>
      </c>
      <c r="E7">
        <v>1.0725</v>
      </c>
      <c r="F7">
        <f t="shared" si="1"/>
        <v>3.4058664038600445E-2</v>
      </c>
      <c r="G7">
        <f t="shared" si="2"/>
        <v>34.058664038600448</v>
      </c>
      <c r="H7">
        <f t="shared" si="3"/>
        <v>170.29332019300224</v>
      </c>
      <c r="I7" s="20">
        <f t="shared" si="4"/>
        <v>0.80128271658053851</v>
      </c>
      <c r="J7">
        <f t="shared" si="5"/>
        <v>136.4530942197683</v>
      </c>
    </row>
    <row r="8" spans="1:10">
      <c r="A8" s="17">
        <v>6</v>
      </c>
      <c r="B8" s="18">
        <v>44666</v>
      </c>
      <c r="C8">
        <v>0.11650000000000001</v>
      </c>
      <c r="D8" s="14">
        <f t="shared" si="0"/>
        <v>5.8958502313748662E-2</v>
      </c>
      <c r="E8">
        <v>1.0725</v>
      </c>
      <c r="F8">
        <f t="shared" si="1"/>
        <v>6.3232993731495435E-2</v>
      </c>
      <c r="G8">
        <f t="shared" si="2"/>
        <v>63.232993731495434</v>
      </c>
      <c r="H8">
        <f t="shared" si="3"/>
        <v>379.39796238897259</v>
      </c>
      <c r="I8" s="20">
        <f t="shared" si="4"/>
        <v>0.76655431081305003</v>
      </c>
      <c r="J8">
        <f t="shared" si="5"/>
        <v>290.82914358295437</v>
      </c>
    </row>
    <row r="9" spans="1:10">
      <c r="A9" s="17">
        <v>7</v>
      </c>
      <c r="B9" s="18">
        <v>44849</v>
      </c>
      <c r="C9">
        <v>0.13650000000000001</v>
      </c>
      <c r="D9" s="14">
        <f t="shared" si="0"/>
        <v>6.8777465213071487E-2</v>
      </c>
      <c r="E9">
        <v>1.0725</v>
      </c>
      <c r="F9">
        <f t="shared" si="1"/>
        <v>7.3763831441019168E-2</v>
      </c>
      <c r="G9">
        <f t="shared" si="2"/>
        <v>73.763831441019164</v>
      </c>
      <c r="H9">
        <f t="shared" si="3"/>
        <v>516.34682008713412</v>
      </c>
      <c r="I9" s="20">
        <f t="shared" si="4"/>
        <v>0.73333106938043979</v>
      </c>
      <c r="J9">
        <f t="shared" si="5"/>
        <v>378.6531657456876</v>
      </c>
    </row>
    <row r="10" spans="1:10">
      <c r="A10" s="17">
        <v>8</v>
      </c>
      <c r="B10" s="18">
        <v>45031</v>
      </c>
      <c r="C10">
        <v>0.13700000000000001</v>
      </c>
      <c r="D10" s="14">
        <f t="shared" si="0"/>
        <v>6.847734712457676E-2</v>
      </c>
      <c r="E10">
        <v>1.0725</v>
      </c>
      <c r="F10">
        <f t="shared" si="1"/>
        <v>7.3441954791108571E-2</v>
      </c>
      <c r="G10">
        <f t="shared" si="2"/>
        <v>73.441954791108571</v>
      </c>
      <c r="H10">
        <f t="shared" si="3"/>
        <v>587.53563832886857</v>
      </c>
      <c r="I10" s="20">
        <f t="shared" si="4"/>
        <v>0.70154775693357729</v>
      </c>
      <c r="J10">
        <f t="shared" si="5"/>
        <v>412.18430918815528</v>
      </c>
    </row>
    <row r="11" spans="1:10">
      <c r="A11" s="17">
        <v>9</v>
      </c>
      <c r="B11" s="18">
        <v>45214</v>
      </c>
      <c r="C11">
        <v>0.13305</v>
      </c>
      <c r="D11" s="14">
        <f t="shared" si="0"/>
        <v>6.6560839934359128E-2</v>
      </c>
      <c r="E11">
        <v>1.0725</v>
      </c>
      <c r="F11">
        <f t="shared" si="1"/>
        <v>7.1386500829600172E-2</v>
      </c>
      <c r="G11">
        <f t="shared" si="2"/>
        <v>71.386500829600166</v>
      </c>
      <c r="H11">
        <f t="shared" si="3"/>
        <v>642.47850746640154</v>
      </c>
      <c r="I11" s="20">
        <f t="shared" si="4"/>
        <v>0.67114196548953864</v>
      </c>
      <c r="J11">
        <f t="shared" si="5"/>
        <v>431.19428828578594</v>
      </c>
    </row>
    <row r="12" spans="1:10">
      <c r="A12" s="17">
        <v>10</v>
      </c>
      <c r="B12" s="18">
        <v>45397</v>
      </c>
      <c r="C12">
        <v>0.12570000000000001</v>
      </c>
      <c r="D12" s="14">
        <f t="shared" si="0"/>
        <v>6.3485625154833025E-2</v>
      </c>
      <c r="E12">
        <v>1.0725</v>
      </c>
      <c r="F12">
        <f t="shared" si="1"/>
        <v>6.8088332978558416E-2</v>
      </c>
      <c r="G12">
        <f t="shared" si="2"/>
        <v>68.088332978558412</v>
      </c>
      <c r="H12">
        <f t="shared" si="3"/>
        <v>680.88332978558412</v>
      </c>
      <c r="I12" s="20">
        <f t="shared" si="4"/>
        <v>0.64205399189068757</v>
      </c>
      <c r="J12">
        <f t="shared" si="5"/>
        <v>437.16385990065777</v>
      </c>
    </row>
    <row r="13" spans="1:10">
      <c r="I13" t="s">
        <v>4</v>
      </c>
      <c r="J13">
        <f>SUM(J3:J12)</f>
        <v>2223.5209734399946</v>
      </c>
    </row>
    <row r="14" spans="1:10">
      <c r="A14" t="s">
        <v>98</v>
      </c>
      <c r="B14" s="19">
        <v>1000</v>
      </c>
      <c r="I14" t="s">
        <v>5</v>
      </c>
      <c r="J14">
        <f>(A12*B14)*I12</f>
        <v>6420.5399189068758</v>
      </c>
    </row>
    <row r="15" spans="1:10">
      <c r="A15" t="s">
        <v>90</v>
      </c>
      <c r="B15" s="19">
        <v>978.08259999999996</v>
      </c>
      <c r="I15" t="s">
        <v>6</v>
      </c>
      <c r="J15">
        <f>SUM(J13:J14)</f>
        <v>8644.0608923468699</v>
      </c>
    </row>
    <row r="16" spans="1:10">
      <c r="A16" t="s">
        <v>101</v>
      </c>
      <c r="B16" s="15">
        <v>4.5304560000000001E-2</v>
      </c>
      <c r="I16" t="s">
        <v>89</v>
      </c>
      <c r="J16">
        <f>(J15/B15)/2</f>
        <v>4.4188808247620752</v>
      </c>
    </row>
    <row r="17" spans="1:10">
      <c r="A17" t="s">
        <v>119</v>
      </c>
      <c r="B17">
        <f>G9/B15</f>
        <v>7.5416770977235634E-2</v>
      </c>
      <c r="I17" t="s">
        <v>18</v>
      </c>
      <c r="J17">
        <f>J16/(1+B16)</f>
        <v>4.2273620472506837</v>
      </c>
    </row>
    <row r="18" spans="1:10">
      <c r="A18" t="s">
        <v>19</v>
      </c>
      <c r="B18" t="s">
        <v>133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23AC5-4974-44F1-B875-6D47DB8E5CF5}">
  <dimension ref="A1:N34"/>
  <sheetViews>
    <sheetView topLeftCell="A19" workbookViewId="0">
      <selection activeCell="B34" sqref="B34"/>
    </sheetView>
  </sheetViews>
  <sheetFormatPr defaultRowHeight="15"/>
  <cols>
    <col min="2" max="2" width="10.42578125" customWidth="1"/>
    <col min="14" max="14" width="10" bestFit="1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43631</v>
      </c>
      <c r="C2">
        <f>(1+$B$30)^(1/2)-1</f>
        <v>2.898639446787632E-2</v>
      </c>
      <c r="D2">
        <v>1.007108110741</v>
      </c>
      <c r="E2">
        <f>$B$29*D2</f>
        <v>1007.108110741</v>
      </c>
      <c r="F2">
        <f>C2*E2</f>
        <v>29.192432969736295</v>
      </c>
      <c r="G2">
        <f>A2*F2</f>
        <v>29.192432969736295</v>
      </c>
      <c r="H2">
        <f>(1+$B$33)^(-A2)</f>
        <v>0.94499390800227256</v>
      </c>
      <c r="I2">
        <f>G2*H2</f>
        <v>27.586671316165489</v>
      </c>
    </row>
    <row r="3" spans="1:9">
      <c r="A3">
        <v>2</v>
      </c>
      <c r="B3" s="1">
        <v>43814</v>
      </c>
      <c r="C3">
        <f t="shared" ref="C3:C27" si="0">(1+$B$30)^(1/2)-1</f>
        <v>2.898639446787632E-2</v>
      </c>
      <c r="D3">
        <v>1.0275747323038529</v>
      </c>
      <c r="E3">
        <f t="shared" ref="E3:E27" si="1">$B$29*D3</f>
        <v>1027.5747323038529</v>
      </c>
      <c r="F3">
        <f t="shared" ref="F3:F27" si="2">C3*E3</f>
        <v>29.785686535781892</v>
      </c>
      <c r="G3">
        <f t="shared" ref="G3:G27" si="3">A3*F3</f>
        <v>59.571373071563784</v>
      </c>
      <c r="H3">
        <f t="shared" ref="H3:H27" si="4">(1+$B$33)^(-A3)</f>
        <v>0.89301348616140763</v>
      </c>
      <c r="I3">
        <f t="shared" ref="I3:I27" si="5">G3*H3</f>
        <v>53.198039542058979</v>
      </c>
    </row>
    <row r="4" spans="1:9">
      <c r="A4">
        <v>3</v>
      </c>
      <c r="B4" s="1">
        <v>43997</v>
      </c>
      <c r="C4">
        <f t="shared" si="0"/>
        <v>2.898639446787632E-2</v>
      </c>
      <c r="D4">
        <v>1.0285812266781718</v>
      </c>
      <c r="E4">
        <f t="shared" si="1"/>
        <v>1028.5812266781718</v>
      </c>
      <c r="F4">
        <f t="shared" si="2"/>
        <v>29.814861178745598</v>
      </c>
      <c r="G4">
        <f t="shared" si="3"/>
        <v>89.444583536236792</v>
      </c>
      <c r="H4">
        <f t="shared" si="4"/>
        <v>0.84389230418640193</v>
      </c>
      <c r="I4">
        <f t="shared" si="5"/>
        <v>75.481595697387974</v>
      </c>
    </row>
    <row r="5" spans="1:9">
      <c r="A5">
        <v>4</v>
      </c>
      <c r="B5" s="1">
        <v>44180</v>
      </c>
      <c r="C5">
        <f t="shared" si="0"/>
        <v>2.898639446787632E-2</v>
      </c>
      <c r="D5">
        <v>1.0739937921349678</v>
      </c>
      <c r="E5">
        <f t="shared" si="1"/>
        <v>1073.9937921349679</v>
      </c>
      <c r="F5">
        <f t="shared" si="2"/>
        <v>31.131207714874542</v>
      </c>
      <c r="G5">
        <f t="shared" si="3"/>
        <v>124.52483085949817</v>
      </c>
      <c r="H5">
        <f t="shared" si="4"/>
        <v>0.79747308646615067</v>
      </c>
      <c r="I5">
        <f t="shared" si="5"/>
        <v>99.305201207199374</v>
      </c>
    </row>
    <row r="6" spans="1:9">
      <c r="A6">
        <v>5</v>
      </c>
      <c r="B6" s="1">
        <v>44362</v>
      </c>
      <c r="C6">
        <f t="shared" si="0"/>
        <v>2.898639446787632E-2</v>
      </c>
      <c r="D6">
        <v>1.1144358378156181</v>
      </c>
      <c r="E6">
        <f t="shared" si="1"/>
        <v>1114.435837815618</v>
      </c>
      <c r="F6">
        <f t="shared" si="2"/>
        <v>32.303476804061738</v>
      </c>
      <c r="G6">
        <f t="shared" si="3"/>
        <v>161.5173840203087</v>
      </c>
      <c r="H6">
        <f t="shared" si="4"/>
        <v>0.75360720850628193</v>
      </c>
      <c r="I6">
        <f t="shared" si="5"/>
        <v>121.72066489678198</v>
      </c>
    </row>
    <row r="7" spans="1:9">
      <c r="A7">
        <v>6</v>
      </c>
      <c r="B7" s="1">
        <v>44545</v>
      </c>
      <c r="C7">
        <f t="shared" si="0"/>
        <v>2.898639446787632E-2</v>
      </c>
      <c r="D7">
        <v>1.1820488971118488</v>
      </c>
      <c r="E7">
        <f t="shared" si="1"/>
        <v>1182.0488971118489</v>
      </c>
      <c r="F7">
        <f t="shared" si="2"/>
        <v>34.263335612002201</v>
      </c>
      <c r="G7">
        <f t="shared" si="3"/>
        <v>205.58001367201319</v>
      </c>
      <c r="H7">
        <f t="shared" si="4"/>
        <v>0.7121542210650349</v>
      </c>
      <c r="I7">
        <f t="shared" si="5"/>
        <v>146.40467450313179</v>
      </c>
    </row>
    <row r="8" spans="1:9">
      <c r="A8">
        <v>7</v>
      </c>
      <c r="B8" s="1">
        <v>44727</v>
      </c>
      <c r="C8">
        <f t="shared" si="0"/>
        <v>2.898639446787632E-2</v>
      </c>
      <c r="D8">
        <v>1.2469058126182926</v>
      </c>
      <c r="E8">
        <f t="shared" si="1"/>
        <v>1246.9058126182927</v>
      </c>
      <c r="F8">
        <f t="shared" si="2"/>
        <v>36.143303748841703</v>
      </c>
      <c r="G8">
        <f t="shared" si="3"/>
        <v>253.00312624189192</v>
      </c>
      <c r="H8">
        <f t="shared" si="4"/>
        <v>0.67298140046456167</v>
      </c>
      <c r="I8">
        <f t="shared" si="5"/>
        <v>170.26639822018072</v>
      </c>
    </row>
    <row r="9" spans="1:9">
      <c r="A9">
        <v>8</v>
      </c>
      <c r="B9" s="1">
        <v>44910</v>
      </c>
      <c r="C9">
        <f t="shared" si="0"/>
        <v>2.898639446787632E-2</v>
      </c>
      <c r="D9">
        <v>1.2704721362322244</v>
      </c>
      <c r="E9">
        <f t="shared" si="1"/>
        <v>1270.4721362322243</v>
      </c>
      <c r="F9">
        <f t="shared" si="2"/>
        <v>36.826406501272757</v>
      </c>
      <c r="G9">
        <f t="shared" si="3"/>
        <v>294.61125201018206</v>
      </c>
      <c r="H9">
        <f t="shared" si="4"/>
        <v>0.63596332363784858</v>
      </c>
      <c r="I9">
        <f t="shared" si="5"/>
        <v>187.36195100950317</v>
      </c>
    </row>
    <row r="10" spans="1:9">
      <c r="A10">
        <v>9</v>
      </c>
      <c r="B10" s="1">
        <v>45092</v>
      </c>
      <c r="C10">
        <f t="shared" si="0"/>
        <v>2.898639446787632E-2</v>
      </c>
      <c r="D10">
        <v>1.3279380821701301</v>
      </c>
      <c r="E10">
        <f t="shared" si="1"/>
        <v>1327.9380821701302</v>
      </c>
      <c r="F10">
        <f t="shared" si="2"/>
        <v>38.492137078698555</v>
      </c>
      <c r="G10">
        <f t="shared" si="3"/>
        <v>346.42923370828697</v>
      </c>
      <c r="H10">
        <f t="shared" si="4"/>
        <v>0.60098146655064455</v>
      </c>
      <c r="I10">
        <f t="shared" si="5"/>
        <v>208.19754893002229</v>
      </c>
    </row>
    <row r="11" spans="1:9">
      <c r="A11">
        <v>10</v>
      </c>
      <c r="B11" s="1">
        <v>45275</v>
      </c>
      <c r="C11">
        <f t="shared" si="0"/>
        <v>2.898639446787632E-2</v>
      </c>
      <c r="D11">
        <v>1.3654114424603319</v>
      </c>
      <c r="E11">
        <f t="shared" si="1"/>
        <v>1365.411442460332</v>
      </c>
      <c r="F11">
        <f t="shared" si="2"/>
        <v>39.578354682107189</v>
      </c>
      <c r="G11">
        <f t="shared" si="3"/>
        <v>395.78354682107192</v>
      </c>
      <c r="H11">
        <f t="shared" si="4"/>
        <v>0.5679238247126307</v>
      </c>
      <c r="I11">
        <f t="shared" si="5"/>
        <v>224.77490566895372</v>
      </c>
    </row>
    <row r="12" spans="1:9">
      <c r="A12">
        <v>11</v>
      </c>
      <c r="B12" s="1">
        <v>45458</v>
      </c>
      <c r="C12">
        <f t="shared" si="0"/>
        <v>2.898639446787632E-2</v>
      </c>
      <c r="D12">
        <v>1.4108143502397106</v>
      </c>
      <c r="E12">
        <f t="shared" si="1"/>
        <v>1410.8143502397106</v>
      </c>
      <c r="F12">
        <f t="shared" si="2"/>
        <v>40.894421276988872</v>
      </c>
      <c r="G12">
        <f t="shared" si="3"/>
        <v>449.83863404687759</v>
      </c>
      <c r="H12">
        <f t="shared" si="4"/>
        <v>0.53668455456278652</v>
      </c>
      <c r="I12">
        <f t="shared" si="5"/>
        <v>241.42144693858083</v>
      </c>
    </row>
    <row r="13" spans="1:9">
      <c r="A13">
        <v>12</v>
      </c>
      <c r="B13" s="1">
        <v>45641</v>
      </c>
      <c r="C13">
        <f t="shared" si="0"/>
        <v>2.898639446787632E-2</v>
      </c>
      <c r="D13">
        <v>1.4485512911901985</v>
      </c>
      <c r="E13">
        <f t="shared" si="1"/>
        <v>1448.5512911901985</v>
      </c>
      <c r="F13">
        <f t="shared" si="2"/>
        <v>41.98827913339067</v>
      </c>
      <c r="G13">
        <f t="shared" si="3"/>
        <v>503.85934960068801</v>
      </c>
      <c r="H13">
        <f t="shared" si="4"/>
        <v>0.50716363458074665</v>
      </c>
      <c r="I13">
        <f t="shared" si="5"/>
        <v>255.539139060976</v>
      </c>
    </row>
    <row r="14" spans="1:9">
      <c r="A14">
        <v>13</v>
      </c>
      <c r="B14" s="1">
        <v>45823</v>
      </c>
      <c r="C14">
        <f t="shared" si="0"/>
        <v>2.898639446787632E-2</v>
      </c>
      <c r="D14">
        <v>1.4952526002525044</v>
      </c>
      <c r="E14">
        <f t="shared" si="1"/>
        <v>1495.2526002525044</v>
      </c>
      <c r="F14">
        <f t="shared" si="2"/>
        <v>43.341981700036875</v>
      </c>
      <c r="G14">
        <f t="shared" si="3"/>
        <v>563.44576210047933</v>
      </c>
      <c r="H14">
        <f t="shared" si="4"/>
        <v>0.47926654503909627</v>
      </c>
      <c r="I14">
        <f t="shared" si="5"/>
        <v>270.04070371881733</v>
      </c>
    </row>
    <row r="15" spans="1:9">
      <c r="A15">
        <v>14</v>
      </c>
      <c r="B15" s="1">
        <v>46006</v>
      </c>
      <c r="C15">
        <f t="shared" si="0"/>
        <v>2.898639446787632E-2</v>
      </c>
      <c r="D15">
        <v>1.5349097702920809</v>
      </c>
      <c r="E15">
        <f t="shared" si="1"/>
        <v>1534.9097702920808</v>
      </c>
      <c r="F15">
        <f t="shared" si="2"/>
        <v>44.491500074283685</v>
      </c>
      <c r="G15">
        <f t="shared" si="3"/>
        <v>622.88100103997158</v>
      </c>
      <c r="H15">
        <f t="shared" si="4"/>
        <v>0.45290396537124283</v>
      </c>
      <c r="I15">
        <f t="shared" si="5"/>
        <v>282.10527532541238</v>
      </c>
    </row>
    <row r="16" spans="1:9">
      <c r="A16">
        <v>15</v>
      </c>
      <c r="B16" s="1">
        <v>46188</v>
      </c>
      <c r="C16">
        <f t="shared" si="0"/>
        <v>2.898639446787632E-2</v>
      </c>
      <c r="D16">
        <v>1.5843435415064959</v>
      </c>
      <c r="E16">
        <f t="shared" si="1"/>
        <v>1584.343541506496</v>
      </c>
      <c r="F16">
        <f t="shared" si="2"/>
        <v>45.924406866739474</v>
      </c>
      <c r="G16">
        <f t="shared" si="3"/>
        <v>688.86610300109214</v>
      </c>
      <c r="H16">
        <f t="shared" si="4"/>
        <v>0.42799148818589666</v>
      </c>
      <c r="I16">
        <f t="shared" si="5"/>
        <v>294.8288285842566</v>
      </c>
    </row>
    <row r="17" spans="1:9">
      <c r="A17">
        <v>16</v>
      </c>
      <c r="B17" s="1">
        <v>46371</v>
      </c>
      <c r="C17">
        <f t="shared" si="0"/>
        <v>2.898639446787632E-2</v>
      </c>
      <c r="D17">
        <v>1.6265333249908764</v>
      </c>
      <c r="E17">
        <f t="shared" si="1"/>
        <v>1626.5333249908765</v>
      </c>
      <c r="F17">
        <f t="shared" si="2"/>
        <v>47.147336573332019</v>
      </c>
      <c r="G17">
        <f t="shared" si="3"/>
        <v>754.35738517331231</v>
      </c>
      <c r="H17">
        <f t="shared" si="4"/>
        <v>0.40444934901249896</v>
      </c>
      <c r="I17">
        <f t="shared" si="5"/>
        <v>305.09935335611709</v>
      </c>
    </row>
    <row r="18" spans="1:9">
      <c r="A18">
        <v>17</v>
      </c>
      <c r="B18" s="1">
        <v>46553</v>
      </c>
      <c r="C18">
        <f t="shared" si="0"/>
        <v>2.898639446787632E-2</v>
      </c>
      <c r="D18">
        <v>1.6792185908865456</v>
      </c>
      <c r="E18">
        <f t="shared" si="1"/>
        <v>1679.2185908865456</v>
      </c>
      <c r="F18">
        <f t="shared" si="2"/>
        <v>48.674492473228831</v>
      </c>
      <c r="G18">
        <f t="shared" si="3"/>
        <v>827.46637204489014</v>
      </c>
      <c r="H18">
        <f t="shared" si="4"/>
        <v>0.38220217091229647</v>
      </c>
      <c r="I18">
        <f t="shared" si="5"/>
        <v>316.259443752479</v>
      </c>
    </row>
    <row r="19" spans="1:9">
      <c r="A19">
        <v>18</v>
      </c>
      <c r="B19" s="1">
        <v>46736</v>
      </c>
      <c r="C19">
        <f t="shared" si="0"/>
        <v>2.898639446787632E-2</v>
      </c>
      <c r="D19">
        <v>1.7242061469573515</v>
      </c>
      <c r="E19">
        <f t="shared" si="1"/>
        <v>1724.2061469573516</v>
      </c>
      <c r="F19">
        <f t="shared" si="2"/>
        <v>49.978519519642923</v>
      </c>
      <c r="G19">
        <f t="shared" si="3"/>
        <v>899.61335135357263</v>
      </c>
      <c r="H19">
        <f t="shared" si="4"/>
        <v>0.3611787231373636</v>
      </c>
      <c r="I19">
        <f t="shared" si="5"/>
        <v>324.92120155920782</v>
      </c>
    </row>
    <row r="20" spans="1:9">
      <c r="A20">
        <v>19</v>
      </c>
      <c r="B20" s="1">
        <v>46919</v>
      </c>
      <c r="C20">
        <f t="shared" si="0"/>
        <v>2.898639446787632E-2</v>
      </c>
      <c r="D20">
        <v>1.7804019829719024</v>
      </c>
      <c r="E20">
        <f t="shared" si="1"/>
        <v>1780.4019829719025</v>
      </c>
      <c r="F20">
        <f t="shared" si="2"/>
        <v>51.607434189812786</v>
      </c>
      <c r="G20">
        <f t="shared" si="3"/>
        <v>980.54124960644288</v>
      </c>
      <c r="H20">
        <f t="shared" si="4"/>
        <v>0.34131169306484799</v>
      </c>
      <c r="I20">
        <f t="shared" si="5"/>
        <v>334.67019402309671</v>
      </c>
    </row>
    <row r="21" spans="1:9">
      <c r="A21">
        <v>20</v>
      </c>
      <c r="B21" s="1">
        <v>47102</v>
      </c>
      <c r="C21">
        <f t="shared" si="0"/>
        <v>2.898639446787632E-2</v>
      </c>
      <c r="D21">
        <v>1.8283636887214061</v>
      </c>
      <c r="E21">
        <f t="shared" si="1"/>
        <v>1828.3636887214061</v>
      </c>
      <c r="F21">
        <f t="shared" si="2"/>
        <v>52.997671112020107</v>
      </c>
      <c r="G21">
        <f t="shared" si="3"/>
        <v>1059.9534222404022</v>
      </c>
      <c r="H21">
        <f t="shared" si="4"/>
        <v>0.3225374706762229</v>
      </c>
      <c r="I21">
        <f t="shared" si="5"/>
        <v>341.87469584402584</v>
      </c>
    </row>
    <row r="22" spans="1:9">
      <c r="A22">
        <v>21</v>
      </c>
      <c r="B22" s="1">
        <v>47284</v>
      </c>
      <c r="C22">
        <f t="shared" si="0"/>
        <v>2.898639446787632E-2</v>
      </c>
      <c r="D22">
        <v>1.8882717537354459</v>
      </c>
      <c r="E22">
        <f t="shared" si="1"/>
        <v>1888.2717537354458</v>
      </c>
      <c r="F22">
        <f t="shared" si="2"/>
        <v>54.73418991632424</v>
      </c>
      <c r="G22">
        <f t="shared" si="3"/>
        <v>1149.4179882428091</v>
      </c>
      <c r="H22">
        <f t="shared" si="4"/>
        <v>0.30479594489149231</v>
      </c>
      <c r="I22">
        <f t="shared" si="5"/>
        <v>350.33794180174522</v>
      </c>
    </row>
    <row r="23" spans="1:9">
      <c r="A23">
        <v>22</v>
      </c>
      <c r="B23" s="1">
        <v>47467</v>
      </c>
      <c r="C23">
        <f t="shared" si="0"/>
        <v>2.898639446787632E-2</v>
      </c>
      <c r="D23">
        <v>1.9393688597812899</v>
      </c>
      <c r="E23">
        <f t="shared" si="1"/>
        <v>1939.36885978129</v>
      </c>
      <c r="F23">
        <f t="shared" si="2"/>
        <v>56.215310788335991</v>
      </c>
      <c r="G23">
        <f t="shared" si="3"/>
        <v>1236.7368373433917</v>
      </c>
      <c r="H23">
        <f t="shared" si="4"/>
        <v>0.28803031110625665</v>
      </c>
      <c r="I23">
        <f t="shared" si="5"/>
        <v>356.21769601658502</v>
      </c>
    </row>
    <row r="24" spans="1:9">
      <c r="A24">
        <v>23</v>
      </c>
      <c r="B24" s="1">
        <v>47649</v>
      </c>
      <c r="C24">
        <f t="shared" si="0"/>
        <v>2.898639446787632E-2</v>
      </c>
      <c r="D24">
        <v>2.0031855270083057</v>
      </c>
      <c r="E24">
        <f t="shared" si="1"/>
        <v>2003.1855270083056</v>
      </c>
      <c r="F24">
        <f t="shared" si="2"/>
        <v>58.06512587820346</v>
      </c>
      <c r="G24">
        <f t="shared" si="3"/>
        <v>1335.4978951986795</v>
      </c>
      <c r="H24">
        <f t="shared" si="4"/>
        <v>0.27218688931541185</v>
      </c>
      <c r="I24">
        <f t="shared" si="5"/>
        <v>363.50501778140847</v>
      </c>
    </row>
    <row r="25" spans="1:9">
      <c r="A25">
        <v>24</v>
      </c>
      <c r="B25" s="1">
        <v>47832</v>
      </c>
      <c r="C25">
        <f t="shared" si="0"/>
        <v>2.898639446787632E-2</v>
      </c>
      <c r="D25">
        <v>2.0575907850184074</v>
      </c>
      <c r="E25">
        <f t="shared" si="1"/>
        <v>2057.5907850184076</v>
      </c>
      <c r="F25">
        <f t="shared" si="2"/>
        <v>59.642138148010865</v>
      </c>
      <c r="G25">
        <f t="shared" si="3"/>
        <v>1431.4113155522607</v>
      </c>
      <c r="H25">
        <f t="shared" si="4"/>
        <v>0.25721495224115309</v>
      </c>
      <c r="I25">
        <f t="shared" si="5"/>
        <v>368.18039316722087</v>
      </c>
    </row>
    <row r="26" spans="1:9">
      <c r="A26">
        <v>25</v>
      </c>
      <c r="B26" s="1">
        <v>48014</v>
      </c>
      <c r="C26">
        <f t="shared" si="0"/>
        <v>2.898639446787632E-2</v>
      </c>
      <c r="D26">
        <v>2.1255335915208193</v>
      </c>
      <c r="E26">
        <f t="shared" si="1"/>
        <v>2125.5335915208193</v>
      </c>
      <c r="F26">
        <f t="shared" si="2"/>
        <v>61.611555138544361</v>
      </c>
      <c r="G26">
        <f t="shared" si="3"/>
        <v>1540.2888784636091</v>
      </c>
      <c r="H26">
        <f t="shared" si="4"/>
        <v>0.2430665629149851</v>
      </c>
      <c r="I26">
        <f t="shared" si="5"/>
        <v>374.39272358432669</v>
      </c>
    </row>
    <row r="27" spans="1:9">
      <c r="A27">
        <v>26</v>
      </c>
      <c r="B27" s="1">
        <v>48197</v>
      </c>
      <c r="C27">
        <f t="shared" si="0"/>
        <v>2.898639446787632E-2</v>
      </c>
      <c r="D27">
        <v>2.183439615775935</v>
      </c>
      <c r="E27">
        <f t="shared" si="1"/>
        <v>2183.4396157759352</v>
      </c>
      <c r="F27">
        <f t="shared" si="2"/>
        <v>63.290041999669562</v>
      </c>
      <c r="G27">
        <f t="shared" si="3"/>
        <v>1645.5410919914086</v>
      </c>
      <c r="H27">
        <f t="shared" si="4"/>
        <v>0.22969642119371209</v>
      </c>
      <c r="I27">
        <f t="shared" si="5"/>
        <v>377.97489975761954</v>
      </c>
    </row>
    <row r="28" spans="1:9">
      <c r="H28" t="s">
        <v>4</v>
      </c>
      <c r="I28">
        <f>SUM(I2:I27)</f>
        <v>6471.6666052632618</v>
      </c>
    </row>
    <row r="29" spans="1:9">
      <c r="A29" t="s">
        <v>98</v>
      </c>
      <c r="B29" s="8">
        <v>1000</v>
      </c>
      <c r="H29" t="s">
        <v>5</v>
      </c>
      <c r="I29">
        <f>(A27*B31)*H27</f>
        <v>13039.734906543958</v>
      </c>
    </row>
    <row r="30" spans="1:9">
      <c r="A30" t="s">
        <v>79</v>
      </c>
      <c r="B30" s="13">
        <v>5.8812999999999997E-2</v>
      </c>
      <c r="H30" t="s">
        <v>6</v>
      </c>
      <c r="I30">
        <f>SUM(I28:I29)</f>
        <v>19511.40151180722</v>
      </c>
    </row>
    <row r="31" spans="1:9">
      <c r="A31" t="s">
        <v>111</v>
      </c>
      <c r="B31">
        <f>B29*D27</f>
        <v>2183.4396157759352</v>
      </c>
      <c r="H31" t="s">
        <v>89</v>
      </c>
      <c r="I31">
        <f>(I30/B32)/2</f>
        <v>9.4247274013025439</v>
      </c>
    </row>
    <row r="32" spans="1:9">
      <c r="A32" t="s">
        <v>90</v>
      </c>
      <c r="B32">
        <v>1035.1175519999999</v>
      </c>
      <c r="H32" t="s">
        <v>18</v>
      </c>
      <c r="I32">
        <f>I31/(1+B33)</f>
        <v>8.9063099788129936</v>
      </c>
    </row>
    <row r="33" spans="1:14">
      <c r="A33" t="s">
        <v>101</v>
      </c>
      <c r="B33">
        <v>5.8207879999999997E-2</v>
      </c>
    </row>
    <row r="34" spans="1:14" ht="18">
      <c r="A34" t="s">
        <v>119</v>
      </c>
      <c r="B34">
        <f>F8/B32</f>
        <v>3.491710065103959E-2</v>
      </c>
      <c r="N34" s="16"/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14EB0-7983-43CE-9B74-8D1F445BF148}">
  <dimension ref="A1:L20"/>
  <sheetViews>
    <sheetView topLeftCell="A4" workbookViewId="0">
      <selection activeCell="B19" sqref="B19"/>
    </sheetView>
  </sheetViews>
  <sheetFormatPr defaultRowHeight="15"/>
  <cols>
    <col min="2" max="2" width="11.7109375" customWidth="1"/>
    <col min="12" max="12" width="10" bestFit="1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44392</v>
      </c>
      <c r="C2">
        <f>(1+$B$15)^(1/2)-1</f>
        <v>1.7840851999957774E-2</v>
      </c>
      <c r="D2">
        <v>1.115074646418494</v>
      </c>
      <c r="E2">
        <f>$B$14*D2</f>
        <v>1115.074646418494</v>
      </c>
      <c r="F2">
        <f>C2*E2</f>
        <v>19.893881735657597</v>
      </c>
      <c r="G2">
        <f>A2*F2</f>
        <v>19.893881735657597</v>
      </c>
      <c r="H2">
        <f>(1+$B$18)^(-A2)</f>
        <v>0.95545082498114853</v>
      </c>
      <c r="I2">
        <f>G2*H2</f>
        <v>19.007625716411454</v>
      </c>
    </row>
    <row r="3" spans="1:9">
      <c r="A3">
        <v>2</v>
      </c>
      <c r="B3" s="1">
        <v>44576</v>
      </c>
      <c r="C3">
        <f t="shared" ref="C3:C12" si="0">(1+$B$15)^(1/2)-1</f>
        <v>1.7840851999957774E-2</v>
      </c>
      <c r="D3">
        <v>1.1778062453103324</v>
      </c>
      <c r="E3">
        <f t="shared" ref="E3:E12" si="1">$B$14*D3</f>
        <v>1177.8062453103323</v>
      </c>
      <c r="F3">
        <f t="shared" ref="F3:F12" si="2">C3*E3</f>
        <v>21.013066907207598</v>
      </c>
      <c r="G3">
        <f t="shared" ref="G3:G12" si="3">A3*F3</f>
        <v>42.026133814415196</v>
      </c>
      <c r="H3">
        <f t="shared" ref="H3:H12" si="4">(1+$B$18)^(-A3)</f>
        <v>0.91288627895715735</v>
      </c>
      <c r="I3">
        <f t="shared" ref="I3:I12" si="5">G3*H3</f>
        <v>38.365080916797055</v>
      </c>
    </row>
    <row r="4" spans="1:9">
      <c r="A4">
        <v>3</v>
      </c>
      <c r="B4" s="1">
        <v>44757</v>
      </c>
      <c r="C4">
        <f t="shared" si="0"/>
        <v>1.7840851999957774E-2</v>
      </c>
      <c r="D4">
        <v>1.227354135202845</v>
      </c>
      <c r="E4">
        <f t="shared" si="1"/>
        <v>1227.3541352028449</v>
      </c>
      <c r="F4">
        <f t="shared" si="2"/>
        <v>21.897043477690119</v>
      </c>
      <c r="G4">
        <f t="shared" si="3"/>
        <v>65.691130433070356</v>
      </c>
      <c r="H4">
        <f t="shared" si="4"/>
        <v>0.87221794834358679</v>
      </c>
      <c r="I4">
        <f t="shared" si="5"/>
        <v>57.296983010703585</v>
      </c>
    </row>
    <row r="5" spans="1:9">
      <c r="A5">
        <v>4</v>
      </c>
      <c r="B5" s="1">
        <v>44941</v>
      </c>
      <c r="C5">
        <f t="shared" si="0"/>
        <v>1.7840851999957774E-2</v>
      </c>
      <c r="D5">
        <v>1.2697612930986548</v>
      </c>
      <c r="E5">
        <f t="shared" si="1"/>
        <v>1269.7612930986547</v>
      </c>
      <c r="F5">
        <f t="shared" si="2"/>
        <v>22.653623305448104</v>
      </c>
      <c r="G5">
        <f t="shared" si="3"/>
        <v>90.614493221792415</v>
      </c>
      <c r="H5">
        <f t="shared" si="4"/>
        <v>0.83336135830824476</v>
      </c>
      <c r="I5">
        <f t="shared" si="5"/>
        <v>75.514617153726164</v>
      </c>
    </row>
    <row r="6" spans="1:9">
      <c r="A6">
        <v>5</v>
      </c>
      <c r="B6" s="1">
        <v>45122</v>
      </c>
      <c r="C6">
        <f t="shared" si="0"/>
        <v>1.7840851999957774E-2</v>
      </c>
      <c r="D6">
        <v>1.3206860160707237</v>
      </c>
      <c r="E6">
        <f t="shared" si="1"/>
        <v>1320.6860160707238</v>
      </c>
      <c r="F6">
        <f t="shared" si="2"/>
        <v>23.562163751131639</v>
      </c>
      <c r="G6">
        <f t="shared" si="3"/>
        <v>117.81081875565819</v>
      </c>
      <c r="H6">
        <f t="shared" si="4"/>
        <v>0.79623579730302296</v>
      </c>
      <c r="I6">
        <f t="shared" si="5"/>
        <v>93.805191202833427</v>
      </c>
    </row>
    <row r="7" spans="1:9">
      <c r="A7">
        <v>6</v>
      </c>
      <c r="B7" s="1">
        <v>45306</v>
      </c>
      <c r="C7">
        <f t="shared" si="0"/>
        <v>1.7840851999957774E-2</v>
      </c>
      <c r="D7">
        <v>1.3612756168342039</v>
      </c>
      <c r="E7">
        <f t="shared" si="1"/>
        <v>1361.2756168342039</v>
      </c>
      <c r="F7">
        <f t="shared" si="2"/>
        <v>24.286316811090259</v>
      </c>
      <c r="G7">
        <f t="shared" si="3"/>
        <v>145.71790086654156</v>
      </c>
      <c r="H7">
        <f t="shared" si="4"/>
        <v>0.76076414941269588</v>
      </c>
      <c r="I7">
        <f t="shared" si="5"/>
        <v>110.85695490693803</v>
      </c>
    </row>
    <row r="8" spans="1:9">
      <c r="A8">
        <v>7</v>
      </c>
      <c r="B8" s="1">
        <v>45488</v>
      </c>
      <c r="C8">
        <f t="shared" si="0"/>
        <v>1.7840851999957774E-2</v>
      </c>
      <c r="D8">
        <v>1.4025692490237218</v>
      </c>
      <c r="E8">
        <f t="shared" si="1"/>
        <v>1402.5692490237218</v>
      </c>
      <c r="F8">
        <f t="shared" si="2"/>
        <v>25.023030391524141</v>
      </c>
      <c r="G8">
        <f t="shared" si="3"/>
        <v>175.16121274066899</v>
      </c>
      <c r="H8">
        <f t="shared" si="4"/>
        <v>0.72687273417244191</v>
      </c>
      <c r="I8">
        <f t="shared" si="5"/>
        <v>127.31990962577083</v>
      </c>
    </row>
    <row r="9" spans="1:9">
      <c r="A9">
        <v>8</v>
      </c>
      <c r="B9" s="1">
        <v>45672</v>
      </c>
      <c r="C9">
        <f t="shared" si="0"/>
        <v>1.7840851999957774E-2</v>
      </c>
      <c r="D9">
        <v>1.4439063091331503</v>
      </c>
      <c r="E9">
        <f t="shared" si="1"/>
        <v>1443.9063091331502</v>
      </c>
      <c r="F9">
        <f t="shared" si="2"/>
        <v>25.760518763049809</v>
      </c>
      <c r="G9">
        <f t="shared" si="3"/>
        <v>206.08415010439847</v>
      </c>
      <c r="H9">
        <f t="shared" si="4"/>
        <v>0.69449115352136281</v>
      </c>
      <c r="I9">
        <f t="shared" si="5"/>
        <v>143.12361912847339</v>
      </c>
    </row>
    <row r="10" spans="1:9">
      <c r="A10">
        <v>9</v>
      </c>
      <c r="B10" s="1">
        <v>45853</v>
      </c>
      <c r="C10">
        <f t="shared" si="0"/>
        <v>1.7840851999957774E-2</v>
      </c>
      <c r="D10">
        <v>1.4863748882918746</v>
      </c>
      <c r="E10">
        <f t="shared" si="1"/>
        <v>1486.3748882918746</v>
      </c>
      <c r="F10">
        <f t="shared" si="2"/>
        <v>26.518194398469106</v>
      </c>
      <c r="G10">
        <f t="shared" si="3"/>
        <v>238.66374958622197</v>
      </c>
      <c r="H10">
        <f t="shared" si="4"/>
        <v>0.66355214557409559</v>
      </c>
      <c r="I10">
        <f t="shared" si="5"/>
        <v>158.36584310869625</v>
      </c>
    </row>
    <row r="11" spans="1:9">
      <c r="A11">
        <v>10</v>
      </c>
      <c r="B11" s="1">
        <v>46037</v>
      </c>
      <c r="C11">
        <f t="shared" si="0"/>
        <v>1.7840851999957774E-2</v>
      </c>
      <c r="D11">
        <v>1.5299787838479577</v>
      </c>
      <c r="E11">
        <f t="shared" si="1"/>
        <v>1529.9787838479576</v>
      </c>
      <c r="F11">
        <f t="shared" si="2"/>
        <v>27.296125045706798</v>
      </c>
      <c r="G11">
        <f t="shared" si="3"/>
        <v>272.96125045706799</v>
      </c>
      <c r="H11">
        <f t="shared" si="4"/>
        <v>0.63399144490678072</v>
      </c>
      <c r="I11">
        <f t="shared" si="5"/>
        <v>173.05509758083821</v>
      </c>
    </row>
    <row r="12" spans="1:9">
      <c r="A12">
        <v>11</v>
      </c>
      <c r="B12" s="1">
        <v>46218</v>
      </c>
      <c r="C12">
        <f t="shared" si="0"/>
        <v>1.7840851999957774E-2</v>
      </c>
      <c r="D12">
        <v>1.5749319614998669</v>
      </c>
      <c r="E12">
        <f t="shared" si="1"/>
        <v>1574.9319614998669</v>
      </c>
      <c r="F12">
        <f t="shared" si="2"/>
        <v>28.098128035122322</v>
      </c>
      <c r="G12">
        <f t="shared" si="3"/>
        <v>309.07940838634556</v>
      </c>
      <c r="H12">
        <f t="shared" si="4"/>
        <v>0.60574764906717393</v>
      </c>
      <c r="I12">
        <f t="shared" si="5"/>
        <v>187.2241250051018</v>
      </c>
    </row>
    <row r="13" spans="1:9">
      <c r="H13" t="s">
        <v>4</v>
      </c>
      <c r="I13">
        <f>SUM(I2:I12)</f>
        <v>1183.9350473562902</v>
      </c>
    </row>
    <row r="14" spans="1:9">
      <c r="A14" t="s">
        <v>98</v>
      </c>
      <c r="B14" s="8">
        <v>1000</v>
      </c>
      <c r="H14" t="s">
        <v>5</v>
      </c>
      <c r="I14">
        <f>(A12*B16)*H12</f>
        <v>10494.12466431227</v>
      </c>
    </row>
    <row r="15" spans="1:9">
      <c r="A15" t="s">
        <v>79</v>
      </c>
      <c r="B15" s="10">
        <v>3.5999999999999997E-2</v>
      </c>
      <c r="H15" t="s">
        <v>6</v>
      </c>
      <c r="I15">
        <f>SUM(I13:I14)</f>
        <v>11678.05971166856</v>
      </c>
    </row>
    <row r="16" spans="1:9">
      <c r="A16" t="s">
        <v>111</v>
      </c>
      <c r="B16">
        <f>B14*D12</f>
        <v>1574.9319614998669</v>
      </c>
      <c r="H16" t="s">
        <v>89</v>
      </c>
      <c r="I16">
        <f>(I15/B17)/2</f>
        <v>5.0527262316893555</v>
      </c>
    </row>
    <row r="17" spans="1:12">
      <c r="A17" t="s">
        <v>90</v>
      </c>
      <c r="B17">
        <v>1155.6196769999999</v>
      </c>
      <c r="H17" t="s">
        <v>18</v>
      </c>
      <c r="I17">
        <f>I16/(1+B18)</f>
        <v>4.827631446471484</v>
      </c>
    </row>
    <row r="18" spans="1:12">
      <c r="A18" t="s">
        <v>101</v>
      </c>
      <c r="B18">
        <v>4.6626340000000002E-2</v>
      </c>
    </row>
    <row r="19" spans="1:12">
      <c r="A19" t="s">
        <v>119</v>
      </c>
      <c r="B19">
        <f>F4/B17</f>
        <v>1.8948313111572364E-2</v>
      </c>
    </row>
    <row r="20" spans="1:12" ht="18">
      <c r="A20" t="s">
        <v>19</v>
      </c>
      <c r="B20" t="s">
        <v>109</v>
      </c>
      <c r="L20" s="16"/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1350D-EDA6-4BD9-9065-E5B2A0FE8AB2}">
  <dimension ref="A1:J60"/>
  <sheetViews>
    <sheetView topLeftCell="A43" workbookViewId="0">
      <selection activeCell="I60" sqref="I60"/>
    </sheetView>
  </sheetViews>
  <sheetFormatPr defaultRowHeight="15"/>
  <cols>
    <col min="2" max="2" width="10.85546875" customWidth="1"/>
    <col min="10" max="10" width="10" bestFit="1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44362</v>
      </c>
      <c r="C2">
        <f>(1+$B$52)^(1/2)-1</f>
        <v>2.3592692431906759E-2</v>
      </c>
      <c r="D2">
        <v>1.0845302076638463</v>
      </c>
      <c r="E2">
        <f>$B$51*D2</f>
        <v>1084.5302076638463</v>
      </c>
      <c r="F2">
        <f>C2*E2</f>
        <v>25.586987622525093</v>
      </c>
      <c r="G2">
        <f>A2*F2</f>
        <v>25.586987622525093</v>
      </c>
      <c r="H2">
        <f>(1+$B$55)^(-A2)</f>
        <v>0.94817295179068672</v>
      </c>
      <c r="I2">
        <f>G2*H2</f>
        <v>24.260889581481383</v>
      </c>
    </row>
    <row r="3" spans="1:9">
      <c r="A3">
        <v>2</v>
      </c>
      <c r="B3" s="1">
        <v>44545</v>
      </c>
      <c r="C3">
        <f t="shared" ref="C3:C49" si="0">(1+$B$52)^(1/2)-1</f>
        <v>2.3592692431906759E-2</v>
      </c>
      <c r="D3">
        <v>1.1503288860185004</v>
      </c>
      <c r="E3">
        <f t="shared" ref="E3:E49" si="1">$B$51*D3</f>
        <v>1150.3288860185003</v>
      </c>
      <c r="F3">
        <f t="shared" ref="F3:F49" si="2">C3*E3</f>
        <v>27.139355603372405</v>
      </c>
      <c r="G3">
        <f t="shared" ref="G3:G49" si="3">A3*F3</f>
        <v>54.278711206744809</v>
      </c>
      <c r="H3">
        <f t="shared" ref="H3:H49" si="4">(1+$B$55)^(-A3)</f>
        <v>0.89903194650746376</v>
      </c>
      <c r="I3">
        <f t="shared" ref="I3:I49" si="5">G3*H3</f>
        <v>48.798295390116273</v>
      </c>
    </row>
    <row r="4" spans="1:9">
      <c r="A4">
        <v>3</v>
      </c>
      <c r="B4" s="1">
        <v>44727</v>
      </c>
      <c r="C4">
        <f t="shared" si="0"/>
        <v>2.3592692431906759E-2</v>
      </c>
      <c r="D4">
        <v>1.2134453810699433</v>
      </c>
      <c r="E4">
        <f t="shared" si="1"/>
        <v>1213.4453810699433</v>
      </c>
      <c r="F4">
        <f t="shared" si="2"/>
        <v>28.628443658501066</v>
      </c>
      <c r="G4">
        <f t="shared" si="3"/>
        <v>85.885330975503194</v>
      </c>
      <c r="H4">
        <f t="shared" si="4"/>
        <v>0.85243777447410873</v>
      </c>
      <c r="I4">
        <f t="shared" si="5"/>
        <v>73.211900396730172</v>
      </c>
    </row>
    <row r="5" spans="1:9">
      <c r="A5">
        <v>4</v>
      </c>
      <c r="B5" s="1">
        <v>44910</v>
      </c>
      <c r="C5">
        <f t="shared" si="0"/>
        <v>2.3592692431906759E-2</v>
      </c>
      <c r="D5">
        <v>1.2363793077937888</v>
      </c>
      <c r="E5">
        <f t="shared" si="1"/>
        <v>1236.3793077937887</v>
      </c>
      <c r="F5">
        <f t="shared" si="2"/>
        <v>29.169516737952637</v>
      </c>
      <c r="G5">
        <f t="shared" si="3"/>
        <v>116.67806695181055</v>
      </c>
      <c r="H5">
        <f t="shared" si="4"/>
        <v>0.80825844084099918</v>
      </c>
      <c r="I5">
        <f t="shared" si="5"/>
        <v>94.306032474812113</v>
      </c>
    </row>
    <row r="6" spans="1:9">
      <c r="A6">
        <v>5</v>
      </c>
      <c r="B6" s="1">
        <v>45092</v>
      </c>
      <c r="C6">
        <f t="shared" si="0"/>
        <v>2.3592692431906759E-2</v>
      </c>
      <c r="D6">
        <v>1.2923031682502106</v>
      </c>
      <c r="E6">
        <f t="shared" si="1"/>
        <v>1292.3031682502105</v>
      </c>
      <c r="F6">
        <f t="shared" si="2"/>
        <v>30.488911177305869</v>
      </c>
      <c r="G6">
        <f t="shared" si="3"/>
        <v>152.44455588652934</v>
      </c>
      <c r="H6">
        <f t="shared" si="4"/>
        <v>0.76636879166194838</v>
      </c>
      <c r="I6">
        <f t="shared" si="5"/>
        <v>116.82875009020185</v>
      </c>
    </row>
    <row r="7" spans="1:9">
      <c r="A7">
        <v>6</v>
      </c>
      <c r="B7" s="1">
        <v>45275</v>
      </c>
      <c r="C7">
        <f t="shared" si="0"/>
        <v>2.3592692431906759E-2</v>
      </c>
      <c r="D7">
        <v>1.3287709395102003</v>
      </c>
      <c r="E7">
        <f t="shared" si="1"/>
        <v>1328.7709395102004</v>
      </c>
      <c r="F7">
        <f t="shared" si="2"/>
        <v>31.349284088319937</v>
      </c>
      <c r="G7">
        <f t="shared" si="3"/>
        <v>188.09570452991963</v>
      </c>
      <c r="H7">
        <f t="shared" si="4"/>
        <v>0.72665015935037125</v>
      </c>
      <c r="I7">
        <f t="shared" si="5"/>
        <v>136.67977366978644</v>
      </c>
    </row>
    <row r="8" spans="1:9">
      <c r="A8">
        <v>7</v>
      </c>
      <c r="B8" s="1">
        <v>45458</v>
      </c>
      <c r="C8">
        <f t="shared" si="0"/>
        <v>2.3592692431906759E-2</v>
      </c>
      <c r="D8">
        <v>1.3729554706708529</v>
      </c>
      <c r="E8">
        <f t="shared" si="1"/>
        <v>1372.9554706708529</v>
      </c>
      <c r="F8">
        <f t="shared" si="2"/>
        <v>32.391716142241215</v>
      </c>
      <c r="G8">
        <f t="shared" si="3"/>
        <v>226.7420129956885</v>
      </c>
      <c r="H8">
        <f t="shared" si="4"/>
        <v>0.68899002651041441</v>
      </c>
      <c r="I8">
        <f t="shared" si="5"/>
        <v>156.22298554492414</v>
      </c>
    </row>
    <row r="9" spans="1:9">
      <c r="A9">
        <v>8</v>
      </c>
      <c r="B9" s="1">
        <v>45641</v>
      </c>
      <c r="C9">
        <f t="shared" si="0"/>
        <v>2.3592692431906759E-2</v>
      </c>
      <c r="D9">
        <v>1.4096797494645528</v>
      </c>
      <c r="E9">
        <f t="shared" si="1"/>
        <v>1409.6797494645527</v>
      </c>
      <c r="F9">
        <f t="shared" si="2"/>
        <v>33.258140756604568</v>
      </c>
      <c r="G9">
        <f t="shared" si="3"/>
        <v>266.06512605283655</v>
      </c>
      <c r="H9">
        <f t="shared" si="4"/>
        <v>0.65328170719072298</v>
      </c>
      <c r="I9">
        <f t="shared" si="5"/>
        <v>173.81547977171198</v>
      </c>
    </row>
    <row r="10" spans="1:9">
      <c r="A10">
        <v>9</v>
      </c>
      <c r="B10" s="1">
        <v>45823</v>
      </c>
      <c r="C10">
        <f t="shared" si="0"/>
        <v>2.3592692431906759E-2</v>
      </c>
      <c r="D10">
        <v>1.4551278396074467</v>
      </c>
      <c r="E10">
        <f t="shared" si="1"/>
        <v>1455.1278396074467</v>
      </c>
      <c r="F10">
        <f t="shared" si="2"/>
        <v>34.330383568963441</v>
      </c>
      <c r="G10">
        <f t="shared" si="3"/>
        <v>308.97345212067097</v>
      </c>
      <c r="H10">
        <f t="shared" si="4"/>
        <v>0.61942404465788692</v>
      </c>
      <c r="I10">
        <f t="shared" si="5"/>
        <v>191.38558540449597</v>
      </c>
    </row>
    <row r="11" spans="1:9">
      <c r="A11">
        <v>10</v>
      </c>
      <c r="B11" s="1">
        <v>46006</v>
      </c>
      <c r="C11">
        <f t="shared" si="0"/>
        <v>2.3592692431906759E-2</v>
      </c>
      <c r="D11">
        <v>1.4937208185829651</v>
      </c>
      <c r="E11">
        <f t="shared" si="1"/>
        <v>1493.7208185829652</v>
      </c>
      <c r="F11">
        <f t="shared" si="2"/>
        <v>35.240895851963892</v>
      </c>
      <c r="G11">
        <f t="shared" si="3"/>
        <v>352.40895851963893</v>
      </c>
      <c r="H11">
        <f t="shared" si="4"/>
        <v>0.58732112483339471</v>
      </c>
      <c r="I11">
        <f t="shared" si="5"/>
        <v>206.97722591911946</v>
      </c>
    </row>
    <row r="12" spans="1:9">
      <c r="A12">
        <v>11</v>
      </c>
      <c r="B12" s="1">
        <v>46188</v>
      </c>
      <c r="C12">
        <f t="shared" si="0"/>
        <v>2.3592692431906759E-2</v>
      </c>
      <c r="D12">
        <v>1.5418280458827092</v>
      </c>
      <c r="E12">
        <f t="shared" si="1"/>
        <v>1541.8280458827091</v>
      </c>
      <c r="F12">
        <f t="shared" si="2"/>
        <v>36.375874869398579</v>
      </c>
      <c r="G12">
        <f t="shared" si="3"/>
        <v>400.13462356338437</v>
      </c>
      <c r="H12">
        <f t="shared" si="4"/>
        <v>0.5568820045823063</v>
      </c>
      <c r="I12">
        <f t="shared" si="5"/>
        <v>222.82777127276401</v>
      </c>
    </row>
    <row r="13" spans="1:9">
      <c r="A13">
        <v>12</v>
      </c>
      <c r="B13" s="1">
        <v>46371</v>
      </c>
      <c r="C13">
        <f t="shared" si="0"/>
        <v>2.3592692431906759E-2</v>
      </c>
      <c r="D13">
        <v>1.5828856762020045</v>
      </c>
      <c r="E13">
        <f t="shared" si="1"/>
        <v>1582.8856762020046</v>
      </c>
      <c r="F13">
        <f t="shared" si="2"/>
        <v>37.344534913504646</v>
      </c>
      <c r="G13">
        <f t="shared" si="3"/>
        <v>448.13441896205575</v>
      </c>
      <c r="H13">
        <f t="shared" si="4"/>
        <v>0.52802045408391995</v>
      </c>
      <c r="I13">
        <f t="shared" si="5"/>
        <v>236.62413939097831</v>
      </c>
    </row>
    <row r="14" spans="1:9">
      <c r="A14">
        <v>13</v>
      </c>
      <c r="B14" s="1">
        <v>46553</v>
      </c>
      <c r="C14">
        <f t="shared" si="0"/>
        <v>2.3592692431906759E-2</v>
      </c>
      <c r="D14">
        <v>1.6341571450688455</v>
      </c>
      <c r="E14">
        <f t="shared" si="1"/>
        <v>1634.1571450688455</v>
      </c>
      <c r="F14">
        <f t="shared" si="2"/>
        <v>38.554166909012103</v>
      </c>
      <c r="G14">
        <f t="shared" si="3"/>
        <v>501.20416981715732</v>
      </c>
      <c r="H14">
        <f t="shared" si="4"/>
        <v>0.50065471255460914</v>
      </c>
      <c r="I14">
        <f t="shared" si="5"/>
        <v>250.9302295709804</v>
      </c>
    </row>
    <row r="15" spans="1:9">
      <c r="A15">
        <v>14</v>
      </c>
      <c r="B15" s="1">
        <v>46736</v>
      </c>
      <c r="C15">
        <f t="shared" si="0"/>
        <v>2.3592692431906759E-2</v>
      </c>
      <c r="D15">
        <v>1.6779374703887786</v>
      </c>
      <c r="E15">
        <f t="shared" si="1"/>
        <v>1677.9374703887786</v>
      </c>
      <c r="F15">
        <f t="shared" si="2"/>
        <v>39.587062658854109</v>
      </c>
      <c r="G15">
        <f t="shared" si="3"/>
        <v>554.21887722395752</v>
      </c>
      <c r="H15">
        <f t="shared" si="4"/>
        <v>0.47470725663082147</v>
      </c>
      <c r="I15">
        <f t="shared" si="5"/>
        <v>263.09172277999892</v>
      </c>
    </row>
    <row r="16" spans="1:9">
      <c r="A16">
        <v>15</v>
      </c>
      <c r="B16" s="1">
        <v>46919</v>
      </c>
      <c r="C16">
        <f t="shared" si="0"/>
        <v>2.3592692431906759E-2</v>
      </c>
      <c r="D16">
        <v>1.7326253040303849</v>
      </c>
      <c r="E16">
        <f t="shared" si="1"/>
        <v>1732.625304030385</v>
      </c>
      <c r="F16">
        <f t="shared" si="2"/>
        <v>40.877295897727812</v>
      </c>
      <c r="G16">
        <f t="shared" si="3"/>
        <v>613.15943846591722</v>
      </c>
      <c r="H16">
        <f t="shared" si="4"/>
        <v>0.45010458075610504</v>
      </c>
      <c r="I16">
        <f t="shared" si="5"/>
        <v>275.98587198735044</v>
      </c>
    </row>
    <row r="17" spans="1:9">
      <c r="A17">
        <v>16</v>
      </c>
      <c r="B17" s="1">
        <v>47102</v>
      </c>
      <c r="C17">
        <f t="shared" si="0"/>
        <v>2.3592692431906759E-2</v>
      </c>
      <c r="D17">
        <v>1.7792999684044031</v>
      </c>
      <c r="E17">
        <f t="shared" si="1"/>
        <v>1779.299968404403</v>
      </c>
      <c r="F17">
        <f t="shared" si="2"/>
        <v>41.978476898666493</v>
      </c>
      <c r="G17">
        <f t="shared" si="3"/>
        <v>671.65563037866389</v>
      </c>
      <c r="H17">
        <f t="shared" si="4"/>
        <v>0.42677698895002553</v>
      </c>
      <c r="I17">
        <f t="shared" si="5"/>
        <v>286.64716754433749</v>
      </c>
    </row>
    <row r="18" spans="1:9">
      <c r="A18">
        <v>17</v>
      </c>
      <c r="B18" s="1">
        <v>47284</v>
      </c>
      <c r="C18">
        <f t="shared" si="0"/>
        <v>2.3592692431906759E-2</v>
      </c>
      <c r="D18">
        <v>1.8376004142315634</v>
      </c>
      <c r="E18">
        <f t="shared" si="1"/>
        <v>1837.6004142315635</v>
      </c>
      <c r="F18">
        <f t="shared" si="2"/>
        <v>43.353941385709732</v>
      </c>
      <c r="G18">
        <f t="shared" si="3"/>
        <v>737.01700355706544</v>
      </c>
      <c r="H18">
        <f t="shared" si="4"/>
        <v>0.40465839736908704</v>
      </c>
      <c r="I18">
        <f t="shared" si="5"/>
        <v>298.24011949316883</v>
      </c>
    </row>
    <row r="19" spans="1:9">
      <c r="A19">
        <v>18</v>
      </c>
      <c r="B19" s="1">
        <v>47467</v>
      </c>
      <c r="C19">
        <f t="shared" si="0"/>
        <v>2.3592692431906759E-2</v>
      </c>
      <c r="D19">
        <v>1.8873263411539614</v>
      </c>
      <c r="E19">
        <f t="shared" si="1"/>
        <v>1887.3263411539613</v>
      </c>
      <c r="F19">
        <f t="shared" si="2"/>
        <v>44.527109885481337</v>
      </c>
      <c r="G19">
        <f t="shared" si="3"/>
        <v>801.48797793866402</v>
      </c>
      <c r="H19">
        <f t="shared" si="4"/>
        <v>0.38368614710033588</v>
      </c>
      <c r="I19">
        <f t="shared" si="5"/>
        <v>307.51983420252498</v>
      </c>
    </row>
    <row r="20" spans="1:9">
      <c r="A20">
        <v>19</v>
      </c>
      <c r="B20" s="1">
        <v>47649</v>
      </c>
      <c r="C20">
        <f t="shared" si="0"/>
        <v>2.3592692431906759E-2</v>
      </c>
      <c r="D20">
        <v>1.949430502750011</v>
      </c>
      <c r="E20">
        <f t="shared" si="1"/>
        <v>1949.4305027500109</v>
      </c>
      <c r="F20">
        <f t="shared" si="2"/>
        <v>45.992314268758371</v>
      </c>
      <c r="G20">
        <f t="shared" si="3"/>
        <v>873.85397110640906</v>
      </c>
      <c r="H20">
        <f t="shared" si="4"/>
        <v>0.36380082665732111</v>
      </c>
      <c r="I20">
        <f t="shared" si="5"/>
        <v>317.90879706629443</v>
      </c>
    </row>
    <row r="21" spans="1:9">
      <c r="A21">
        <v>20</v>
      </c>
      <c r="B21" s="1">
        <v>47832</v>
      </c>
      <c r="C21">
        <f t="shared" si="0"/>
        <v>2.3592692431906759E-2</v>
      </c>
      <c r="D21">
        <v>2.0023758081373129</v>
      </c>
      <c r="E21">
        <f t="shared" si="1"/>
        <v>2002.3758081373128</v>
      </c>
      <c r="F21">
        <f t="shared" si="2"/>
        <v>47.241436574474356</v>
      </c>
      <c r="G21">
        <f t="shared" si="3"/>
        <v>944.82873148948715</v>
      </c>
      <c r="H21">
        <f t="shared" si="4"/>
        <v>0.344946103675564</v>
      </c>
      <c r="I21">
        <f t="shared" si="5"/>
        <v>325.91498956802428</v>
      </c>
    </row>
    <row r="22" spans="1:9">
      <c r="A22">
        <v>21</v>
      </c>
      <c r="B22" s="1">
        <v>48014</v>
      </c>
      <c r="C22">
        <f t="shared" si="0"/>
        <v>2.3592692431906759E-2</v>
      </c>
      <c r="D22">
        <v>2.0684953850074863</v>
      </c>
      <c r="E22">
        <f t="shared" si="1"/>
        <v>2068.4953850074862</v>
      </c>
      <c r="F22">
        <f t="shared" si="2"/>
        <v>48.801375415300178</v>
      </c>
      <c r="G22">
        <f t="shared" si="3"/>
        <v>1024.8288837213038</v>
      </c>
      <c r="H22">
        <f t="shared" si="4"/>
        <v>0.32706856533075573</v>
      </c>
      <c r="I22">
        <f t="shared" si="5"/>
        <v>335.18931270824675</v>
      </c>
    </row>
    <row r="23" spans="1:9">
      <c r="A23">
        <v>22</v>
      </c>
      <c r="B23" s="1">
        <v>48197</v>
      </c>
      <c r="C23">
        <f t="shared" si="0"/>
        <v>2.3592692431906759E-2</v>
      </c>
      <c r="D23">
        <v>2.124847514380392</v>
      </c>
      <c r="E23">
        <f t="shared" si="1"/>
        <v>2124.8475143803921</v>
      </c>
      <c r="F23">
        <f t="shared" si="2"/>
        <v>50.130873871478165</v>
      </c>
      <c r="G23">
        <f t="shared" si="3"/>
        <v>1102.8792251725197</v>
      </c>
      <c r="H23">
        <f t="shared" si="4"/>
        <v>0.31011756702760773</v>
      </c>
      <c r="I23">
        <f t="shared" si="5"/>
        <v>342.02222203579493</v>
      </c>
    </row>
    <row r="24" spans="1:9">
      <c r="A24">
        <v>23</v>
      </c>
      <c r="B24" s="1">
        <v>48380</v>
      </c>
      <c r="C24">
        <f t="shared" si="0"/>
        <v>2.3592692431906759E-2</v>
      </c>
      <c r="D24">
        <v>2.1952082646659985</v>
      </c>
      <c r="E24">
        <f t="shared" si="1"/>
        <v>2195.2082646659983</v>
      </c>
      <c r="F24">
        <f t="shared" si="2"/>
        <v>51.790873412244665</v>
      </c>
      <c r="G24">
        <f t="shared" si="3"/>
        <v>1191.1900884816273</v>
      </c>
      <c r="H24">
        <f t="shared" si="4"/>
        <v>0.29404508893071291</v>
      </c>
      <c r="I24">
        <f t="shared" si="5"/>
        <v>350.2635955009639</v>
      </c>
    </row>
    <row r="25" spans="1:9">
      <c r="A25">
        <v>24</v>
      </c>
      <c r="B25" s="1">
        <v>48563</v>
      </c>
      <c r="C25">
        <f t="shared" si="0"/>
        <v>2.3592692431906759E-2</v>
      </c>
      <c r="D25">
        <v>2.2551551189343653</v>
      </c>
      <c r="E25">
        <f t="shared" si="1"/>
        <v>2255.1551189343654</v>
      </c>
      <c r="F25">
        <f t="shared" si="2"/>
        <v>53.205181107258589</v>
      </c>
      <c r="G25">
        <f t="shared" si="3"/>
        <v>1276.9243465742061</v>
      </c>
      <c r="H25">
        <f t="shared" si="4"/>
        <v>0.27880559993098902</v>
      </c>
      <c r="I25">
        <f t="shared" si="5"/>
        <v>356.01365851310766</v>
      </c>
    </row>
    <row r="26" spans="1:9">
      <c r="A26">
        <v>25</v>
      </c>
      <c r="B26" s="1">
        <v>48745</v>
      </c>
      <c r="C26">
        <f t="shared" si="0"/>
        <v>2.3592692431906759E-2</v>
      </c>
      <c r="D26">
        <v>2.3300017763168528</v>
      </c>
      <c r="E26">
        <f t="shared" si="1"/>
        <v>2330.001776316853</v>
      </c>
      <c r="F26">
        <f t="shared" si="2"/>
        <v>54.971015274439921</v>
      </c>
      <c r="G26">
        <f t="shared" si="3"/>
        <v>1374.2753818609981</v>
      </c>
      <c r="H26">
        <f t="shared" si="4"/>
        <v>0.26435592866233915</v>
      </c>
      <c r="I26">
        <f t="shared" si="5"/>
        <v>363.29784480965492</v>
      </c>
    </row>
    <row r="27" spans="1:9">
      <c r="A27">
        <v>26</v>
      </c>
      <c r="B27" s="1">
        <v>48928</v>
      </c>
      <c r="C27">
        <f t="shared" si="0"/>
        <v>2.3592692431906759E-2</v>
      </c>
      <c r="D27">
        <v>2.3937564469128798</v>
      </c>
      <c r="E27">
        <f t="shared" si="1"/>
        <v>2393.7564469128797</v>
      </c>
      <c r="F27">
        <f t="shared" si="2"/>
        <v>56.475159608909507</v>
      </c>
      <c r="G27">
        <f t="shared" si="3"/>
        <v>1468.3541498316472</v>
      </c>
      <c r="H27">
        <f t="shared" si="4"/>
        <v>0.25065514120313831</v>
      </c>
      <c r="I27">
        <f t="shared" si="5"/>
        <v>368.05051676226566</v>
      </c>
    </row>
    <row r="28" spans="1:9">
      <c r="A28">
        <v>27</v>
      </c>
      <c r="B28" s="1">
        <v>49110</v>
      </c>
      <c r="C28">
        <f t="shared" si="0"/>
        <v>2.3592692431906759E-2</v>
      </c>
      <c r="D28">
        <v>2.4733563832719603</v>
      </c>
      <c r="E28">
        <f t="shared" si="1"/>
        <v>2473.3563832719601</v>
      </c>
      <c r="F28">
        <f t="shared" si="2"/>
        <v>58.353136425028644</v>
      </c>
      <c r="G28">
        <f t="shared" si="3"/>
        <v>1575.5346834757734</v>
      </c>
      <c r="H28">
        <f t="shared" si="4"/>
        <v>0.23766442511609101</v>
      </c>
      <c r="I28">
        <f t="shared" si="5"/>
        <v>374.44854479873209</v>
      </c>
    </row>
    <row r="29" spans="1:9">
      <c r="A29">
        <v>28</v>
      </c>
      <c r="B29" s="1">
        <v>49293</v>
      </c>
      <c r="C29">
        <f t="shared" si="0"/>
        <v>2.3592692431906759E-2</v>
      </c>
      <c r="D29">
        <v>2.5411475940349484</v>
      </c>
      <c r="E29">
        <f t="shared" si="1"/>
        <v>2541.1475940349483</v>
      </c>
      <c r="F29">
        <f t="shared" si="2"/>
        <v>59.95251361014639</v>
      </c>
      <c r="G29">
        <f t="shared" si="3"/>
        <v>1678.6703810840988</v>
      </c>
      <c r="H29">
        <f t="shared" si="4"/>
        <v>0.22534697949796056</v>
      </c>
      <c r="I29">
        <f t="shared" si="5"/>
        <v>378.28329994999206</v>
      </c>
    </row>
    <row r="30" spans="1:9">
      <c r="A30">
        <v>29</v>
      </c>
      <c r="B30" s="1">
        <v>49475</v>
      </c>
      <c r="C30">
        <f t="shared" si="0"/>
        <v>2.3592692431906759E-2</v>
      </c>
      <c r="D30">
        <v>2.6257865519377601</v>
      </c>
      <c r="E30">
        <f t="shared" si="1"/>
        <v>2625.7865519377601</v>
      </c>
      <c r="F30">
        <f t="shared" si="2"/>
        <v>61.949374511704534</v>
      </c>
      <c r="G30">
        <f t="shared" si="3"/>
        <v>1796.5318608394314</v>
      </c>
      <c r="H30">
        <f t="shared" si="4"/>
        <v>0.21366791072769664</v>
      </c>
      <c r="I30">
        <f t="shared" si="5"/>
        <v>383.86120926130235</v>
      </c>
    </row>
    <row r="31" spans="1:9">
      <c r="A31">
        <v>30</v>
      </c>
      <c r="B31" s="1">
        <v>49658</v>
      </c>
      <c r="C31">
        <f t="shared" si="0"/>
        <v>2.3592692431906759E-2</v>
      </c>
      <c r="D31">
        <v>2.6978591620408094</v>
      </c>
      <c r="E31">
        <f t="shared" si="1"/>
        <v>2697.8591620408092</v>
      </c>
      <c r="F31">
        <f t="shared" si="2"/>
        <v>63.649761434630513</v>
      </c>
      <c r="G31">
        <f t="shared" si="3"/>
        <v>1909.4928430389155</v>
      </c>
      <c r="H31">
        <f t="shared" si="4"/>
        <v>0.20259413361762904</v>
      </c>
      <c r="I31">
        <f t="shared" si="5"/>
        <v>386.85204818453241</v>
      </c>
    </row>
    <row r="32" spans="1:9">
      <c r="A32">
        <v>31</v>
      </c>
      <c r="B32" s="1">
        <v>49841</v>
      </c>
      <c r="C32">
        <f t="shared" si="0"/>
        <v>2.3592692431906759E-2</v>
      </c>
      <c r="D32">
        <v>2.787843249857366</v>
      </c>
      <c r="E32">
        <f t="shared" si="1"/>
        <v>2787.8432498573661</v>
      </c>
      <c r="F32">
        <f t="shared" si="2"/>
        <v>65.772728342252222</v>
      </c>
      <c r="G32">
        <f t="shared" si="3"/>
        <v>2038.9545786098188</v>
      </c>
      <c r="H32">
        <f t="shared" si="4"/>
        <v>0.19209427768770412</v>
      </c>
      <c r="I32">
        <f t="shared" si="5"/>
        <v>391.67150701609029</v>
      </c>
    </row>
    <row r="33" spans="1:9">
      <c r="A33">
        <v>32</v>
      </c>
      <c r="B33" s="1">
        <v>50024</v>
      </c>
      <c r="C33">
        <f t="shared" si="0"/>
        <v>2.3592692431906759E-2</v>
      </c>
      <c r="D33">
        <v>2.864459014703113</v>
      </c>
      <c r="E33">
        <f t="shared" si="1"/>
        <v>2864.4590147031131</v>
      </c>
      <c r="F33">
        <f t="shared" si="2"/>
        <v>67.580300517693232</v>
      </c>
      <c r="G33">
        <f t="shared" si="3"/>
        <v>2162.5696165661834</v>
      </c>
      <c r="H33">
        <f t="shared" si="4"/>
        <v>0.18213859829725024</v>
      </c>
      <c r="I33">
        <f t="shared" si="5"/>
        <v>393.88739868158655</v>
      </c>
    </row>
    <row r="34" spans="1:9">
      <c r="A34">
        <v>33</v>
      </c>
      <c r="B34" s="1">
        <v>50206</v>
      </c>
      <c r="C34">
        <f t="shared" si="0"/>
        <v>2.3592692431906759E-2</v>
      </c>
      <c r="D34">
        <v>2.960115337873356</v>
      </c>
      <c r="E34">
        <f t="shared" si="1"/>
        <v>2960.1153378733561</v>
      </c>
      <c r="F34">
        <f t="shared" si="2"/>
        <v>69.837090729415849</v>
      </c>
      <c r="G34">
        <f t="shared" si="3"/>
        <v>2304.6239940707228</v>
      </c>
      <c r="H34">
        <f t="shared" si="4"/>
        <v>0.1726988923825219</v>
      </c>
      <c r="I34">
        <f t="shared" si="5"/>
        <v>398.00601113419754</v>
      </c>
    </row>
    <row r="35" spans="1:9">
      <c r="A35">
        <v>34</v>
      </c>
      <c r="B35" s="1">
        <v>50389</v>
      </c>
      <c r="C35">
        <f t="shared" si="0"/>
        <v>2.3592692431906759E-2</v>
      </c>
      <c r="D35">
        <v>3.0415535844799164</v>
      </c>
      <c r="E35">
        <f t="shared" si="1"/>
        <v>3041.5535844799165</v>
      </c>
      <c r="F35">
        <f t="shared" si="2"/>
        <v>71.758438233798202</v>
      </c>
      <c r="G35">
        <f t="shared" si="3"/>
        <v>2439.7868999491388</v>
      </c>
      <c r="H35">
        <f t="shared" si="4"/>
        <v>0.16374841856131792</v>
      </c>
      <c r="I35">
        <f t="shared" si="5"/>
        <v>399.51124649329188</v>
      </c>
    </row>
    <row r="36" spans="1:9">
      <c r="A36">
        <v>35</v>
      </c>
      <c r="B36" s="1">
        <v>50571</v>
      </c>
      <c r="C36">
        <f t="shared" si="0"/>
        <v>2.3592692431906759E-2</v>
      </c>
      <c r="D36">
        <v>3.1432311245736049</v>
      </c>
      <c r="E36">
        <f t="shared" si="1"/>
        <v>3143.231124573605</v>
      </c>
      <c r="F36">
        <f t="shared" si="2"/>
        <v>74.157285164461456</v>
      </c>
      <c r="G36">
        <f t="shared" si="3"/>
        <v>2595.5049807561509</v>
      </c>
      <c r="H36">
        <f t="shared" si="4"/>
        <v>0.15526182137834166</v>
      </c>
      <c r="I36">
        <f t="shared" si="5"/>
        <v>402.9828307087576</v>
      </c>
    </row>
    <row r="37" spans="1:9">
      <c r="A37">
        <v>36</v>
      </c>
      <c r="B37" s="1">
        <v>50754</v>
      </c>
      <c r="C37">
        <f t="shared" si="0"/>
        <v>2.3592692431906759E-2</v>
      </c>
      <c r="D37">
        <v>3.2297895968168033</v>
      </c>
      <c r="E37">
        <f t="shared" si="1"/>
        <v>3229.7895968168032</v>
      </c>
      <c r="F37">
        <f t="shared" si="2"/>
        <v>76.199432577470972</v>
      </c>
      <c r="G37">
        <f t="shared" si="3"/>
        <v>2743.1795727889548</v>
      </c>
      <c r="H37">
        <f t="shared" si="4"/>
        <v>0.14721505947670055</v>
      </c>
      <c r="I37">
        <f t="shared" si="5"/>
        <v>403.83734396339599</v>
      </c>
    </row>
    <row r="38" spans="1:9">
      <c r="A38">
        <v>37</v>
      </c>
      <c r="B38" s="1">
        <v>50936</v>
      </c>
      <c r="C38">
        <f t="shared" si="0"/>
        <v>2.3592692431906759E-2</v>
      </c>
      <c r="D38">
        <v>3.3378602924889447</v>
      </c>
      <c r="E38">
        <f t="shared" si="1"/>
        <v>3337.8602924889447</v>
      </c>
      <c r="F38">
        <f t="shared" si="2"/>
        <v>78.749111261366011</v>
      </c>
      <c r="G38">
        <f t="shared" si="3"/>
        <v>2913.7171166705425</v>
      </c>
      <c r="H38">
        <f t="shared" si="4"/>
        <v>0.13958533749206464</v>
      </c>
      <c r="I38">
        <f t="shared" si="5"/>
        <v>406.71218708686314</v>
      </c>
    </row>
    <row r="39" spans="1:9">
      <c r="A39">
        <v>38</v>
      </c>
      <c r="B39" s="1">
        <v>51119</v>
      </c>
      <c r="C39">
        <f t="shared" si="0"/>
        <v>2.3592692431906759E-2</v>
      </c>
      <c r="D39">
        <v>3.4298560981852022</v>
      </c>
      <c r="E39">
        <f t="shared" si="1"/>
        <v>3429.8560981852024</v>
      </c>
      <c r="F39">
        <f t="shared" si="2"/>
        <v>80.919540010183269</v>
      </c>
      <c r="G39">
        <f t="shared" si="3"/>
        <v>3074.9425203869641</v>
      </c>
      <c r="H39">
        <f t="shared" si="4"/>
        <v>0.13235104147655014</v>
      </c>
      <c r="I39">
        <f t="shared" si="5"/>
        <v>406.9718450537427</v>
      </c>
    </row>
    <row r="40" spans="1:9">
      <c r="A40">
        <v>39</v>
      </c>
      <c r="B40" s="1">
        <v>51302</v>
      </c>
      <c r="C40">
        <f t="shared" si="0"/>
        <v>2.3592692431906759E-2</v>
      </c>
      <c r="D40">
        <v>3.5447160312201258</v>
      </c>
      <c r="E40">
        <f t="shared" si="1"/>
        <v>3544.7160312201258</v>
      </c>
      <c r="F40">
        <f t="shared" si="2"/>
        <v>83.629395083025628</v>
      </c>
      <c r="G40">
        <f t="shared" si="3"/>
        <v>3261.5464082379995</v>
      </c>
      <c r="H40">
        <f t="shared" si="4"/>
        <v>0.12549167766939215</v>
      </c>
      <c r="I40">
        <f t="shared" si="5"/>
        <v>409.29693056636671</v>
      </c>
    </row>
    <row r="41" spans="1:9">
      <c r="A41">
        <v>40</v>
      </c>
      <c r="B41" s="1">
        <v>51485</v>
      </c>
      <c r="C41">
        <f t="shared" si="0"/>
        <v>2.3592692431906759E-2</v>
      </c>
      <c r="D41">
        <v>3.6424866881738698</v>
      </c>
      <c r="E41">
        <f t="shared" si="1"/>
        <v>3642.4866881738699</v>
      </c>
      <c r="F41">
        <f t="shared" si="2"/>
        <v>85.93606812140078</v>
      </c>
      <c r="G41">
        <f t="shared" si="3"/>
        <v>3437.4427248560314</v>
      </c>
      <c r="H41">
        <f t="shared" si="4"/>
        <v>0.11898781444095294</v>
      </c>
      <c r="I41">
        <f t="shared" si="5"/>
        <v>409.01379709657311</v>
      </c>
    </row>
    <row r="42" spans="1:9">
      <c r="A42">
        <v>41</v>
      </c>
      <c r="B42" s="1">
        <v>51667</v>
      </c>
      <c r="C42">
        <f t="shared" si="0"/>
        <v>2.3592692431906759E-2</v>
      </c>
      <c r="D42">
        <v>3.7645573973484026</v>
      </c>
      <c r="E42">
        <f t="shared" si="1"/>
        <v>3764.5573973484024</v>
      </c>
      <c r="F42">
        <f t="shared" si="2"/>
        <v>88.816044817900263</v>
      </c>
      <c r="G42">
        <f t="shared" si="3"/>
        <v>3641.4578375339106</v>
      </c>
      <c r="H42">
        <f t="shared" si="4"/>
        <v>0.11282102724560085</v>
      </c>
      <c r="I42">
        <f t="shared" si="5"/>
        <v>410.83301390212006</v>
      </c>
    </row>
    <row r="43" spans="1:9">
      <c r="A43">
        <v>42</v>
      </c>
      <c r="B43" s="1">
        <v>51850</v>
      </c>
      <c r="C43">
        <f t="shared" si="0"/>
        <v>2.3592692431906759E-2</v>
      </c>
      <c r="D43">
        <v>3.8684620259062084</v>
      </c>
      <c r="E43">
        <f t="shared" si="1"/>
        <v>3868.4620259062085</v>
      </c>
      <c r="F43">
        <f t="shared" si="2"/>
        <v>91.267434761716089</v>
      </c>
      <c r="G43">
        <f t="shared" si="3"/>
        <v>3833.2322599920758</v>
      </c>
      <c r="H43">
        <f t="shared" si="4"/>
        <v>0.10697384642751882</v>
      </c>
      <c r="I43">
        <f t="shared" si="5"/>
        <v>410.05559910140323</v>
      </c>
    </row>
    <row r="44" spans="1:9">
      <c r="A44">
        <v>43</v>
      </c>
      <c r="B44" s="1">
        <v>52032</v>
      </c>
      <c r="C44">
        <f t="shared" si="0"/>
        <v>2.3592692431906759E-2</v>
      </c>
      <c r="D44">
        <v>3.9981920187031457</v>
      </c>
      <c r="E44">
        <f t="shared" si="1"/>
        <v>3998.1920187031455</v>
      </c>
      <c r="F44">
        <f t="shared" si="2"/>
        <v>94.328114580967707</v>
      </c>
      <c r="G44">
        <f t="shared" si="3"/>
        <v>4056.1089269816116</v>
      </c>
      <c r="H44">
        <f t="shared" si="4"/>
        <v>0.10142970773158415</v>
      </c>
      <c r="I44">
        <f t="shared" si="5"/>
        <v>411.40994299121428</v>
      </c>
    </row>
    <row r="45" spans="1:9">
      <c r="A45">
        <v>44</v>
      </c>
      <c r="B45" s="1">
        <v>52215</v>
      </c>
      <c r="C45">
        <f t="shared" si="0"/>
        <v>2.3592692431906759E-2</v>
      </c>
      <c r="D45">
        <v>4.1086126057065284</v>
      </c>
      <c r="E45">
        <f t="shared" si="1"/>
        <v>4108.6126057065285</v>
      </c>
      <c r="F45">
        <f t="shared" si="2"/>
        <v>96.933233528289122</v>
      </c>
      <c r="G45">
        <f t="shared" si="3"/>
        <v>4265.0622752447216</v>
      </c>
      <c r="H45">
        <f t="shared" si="4"/>
        <v>9.6172905379122764E-2</v>
      </c>
      <c r="I45">
        <f t="shared" si="5"/>
        <v>410.18343063317667</v>
      </c>
    </row>
    <row r="46" spans="1:9">
      <c r="A46">
        <v>45</v>
      </c>
      <c r="B46" s="1">
        <v>52397</v>
      </c>
      <c r="C46">
        <f t="shared" si="0"/>
        <v>2.3592692431906759E-2</v>
      </c>
      <c r="D46">
        <v>4.2464789266636309</v>
      </c>
      <c r="E46">
        <f t="shared" si="1"/>
        <v>4246.4789266636308</v>
      </c>
      <c r="F46">
        <f t="shared" si="2"/>
        <v>100.18587123534857</v>
      </c>
      <c r="G46">
        <f t="shared" si="3"/>
        <v>4508.3642055906857</v>
      </c>
      <c r="H46">
        <f t="shared" si="4"/>
        <v>9.1188547575609236E-2</v>
      </c>
      <c r="I46">
        <f t="shared" si="5"/>
        <v>411.11118384968</v>
      </c>
    </row>
    <row r="47" spans="1:9">
      <c r="A47">
        <v>46</v>
      </c>
      <c r="B47" s="1">
        <v>52580</v>
      </c>
      <c r="C47">
        <f t="shared" si="0"/>
        <v>2.3592692431906759E-2</v>
      </c>
      <c r="D47">
        <v>4.3638216656879845</v>
      </c>
      <c r="E47">
        <f t="shared" si="1"/>
        <v>4363.821665687984</v>
      </c>
      <c r="F47">
        <f t="shared" si="2"/>
        <v>102.95430238626764</v>
      </c>
      <c r="G47">
        <f t="shared" si="3"/>
        <v>4735.8979097683114</v>
      </c>
      <c r="H47">
        <f t="shared" si="4"/>
        <v>8.6462514324270864E-2</v>
      </c>
      <c r="I47">
        <f t="shared" si="5"/>
        <v>409.47764086162709</v>
      </c>
    </row>
    <row r="48" spans="1:9">
      <c r="A48">
        <v>47</v>
      </c>
      <c r="B48" s="1">
        <v>52763</v>
      </c>
      <c r="C48">
        <f t="shared" si="0"/>
        <v>2.3592692431906759E-2</v>
      </c>
      <c r="D48">
        <v>4.5103315692708099</v>
      </c>
      <c r="E48">
        <f t="shared" si="1"/>
        <v>4510.3315692708102</v>
      </c>
      <c r="F48">
        <f t="shared" si="2"/>
        <v>106.41086547972557</v>
      </c>
      <c r="G48">
        <f t="shared" si="3"/>
        <v>5001.3106775471015</v>
      </c>
      <c r="H48">
        <f t="shared" si="4"/>
        <v>8.1981417426088443E-2</v>
      </c>
      <c r="I48">
        <f t="shared" si="5"/>
        <v>410.01453833354213</v>
      </c>
    </row>
    <row r="49" spans="1:10">
      <c r="A49">
        <v>48</v>
      </c>
      <c r="B49" s="1">
        <v>52946</v>
      </c>
      <c r="C49">
        <f t="shared" si="0"/>
        <v>2.3592692431906759E-2</v>
      </c>
      <c r="D49">
        <v>4.6350283635210738</v>
      </c>
      <c r="E49">
        <f t="shared" si="1"/>
        <v>4635.0283635210735</v>
      </c>
      <c r="F49">
        <f t="shared" si="2"/>
        <v>109.3527985937168</v>
      </c>
      <c r="G49">
        <f t="shared" si="3"/>
        <v>5248.9343324984065</v>
      </c>
      <c r="H49">
        <f t="shared" si="4"/>
        <v>7.7732562552878692E-2</v>
      </c>
      <c r="I49">
        <f t="shared" si="5"/>
        <v>408.01311633688493</v>
      </c>
    </row>
    <row r="50" spans="1:10">
      <c r="H50" t="s">
        <v>4</v>
      </c>
      <c r="I50">
        <f>SUM(I2:I49)</f>
        <v>14949.449377454906</v>
      </c>
    </row>
    <row r="51" spans="1:10">
      <c r="A51" t="s">
        <v>98</v>
      </c>
      <c r="B51" s="8">
        <v>1000</v>
      </c>
      <c r="H51" t="s">
        <v>5</v>
      </c>
      <c r="I51">
        <f>(A49*B53)*H49</f>
        <v>17294.046345684903</v>
      </c>
    </row>
    <row r="52" spans="1:10">
      <c r="A52" t="s">
        <v>79</v>
      </c>
      <c r="B52" s="13">
        <v>4.7742E-2</v>
      </c>
      <c r="H52" t="s">
        <v>6</v>
      </c>
      <c r="I52">
        <f>SUM(I50:I51)</f>
        <v>32243.495723139808</v>
      </c>
    </row>
    <row r="53" spans="1:10">
      <c r="A53" t="s">
        <v>111</v>
      </c>
      <c r="B53">
        <f>B51*D49</f>
        <v>4635.0283635210735</v>
      </c>
      <c r="H53" t="s">
        <v>89</v>
      </c>
      <c r="I53">
        <f>(I52/B54)/2</f>
        <v>14.638579635293365</v>
      </c>
    </row>
    <row r="54" spans="1:10">
      <c r="A54" t="s">
        <v>90</v>
      </c>
      <c r="B54">
        <v>1101.319135</v>
      </c>
      <c r="H54" t="s">
        <v>18</v>
      </c>
      <c r="I54">
        <f>I53/(1+B55)</f>
        <v>13.879905262819143</v>
      </c>
    </row>
    <row r="55" spans="1:10">
      <c r="A55" t="s">
        <v>101</v>
      </c>
      <c r="B55">
        <v>5.4659909999999999E-2</v>
      </c>
    </row>
    <row r="56" spans="1:10">
      <c r="A56" t="s">
        <v>119</v>
      </c>
      <c r="B56">
        <f>F4/B54</f>
        <v>2.5994684691010173E-2</v>
      </c>
    </row>
    <row r="57" spans="1:10">
      <c r="A57" t="s">
        <v>19</v>
      </c>
      <c r="B57" t="s">
        <v>109</v>
      </c>
    </row>
    <row r="60" spans="1:10" ht="18">
      <c r="J60" s="16"/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38F69-E008-492A-B63A-A832295E563A}">
  <dimension ref="A1:M17"/>
  <sheetViews>
    <sheetView workbookViewId="0">
      <selection activeCell="B13" sqref="B13"/>
    </sheetView>
  </sheetViews>
  <sheetFormatPr defaultRowHeight="15"/>
  <cols>
    <col min="2" max="2" width="10.42578125" customWidth="1"/>
    <col min="4" max="4" width="10.7109375" bestFit="1" customWidth="1"/>
    <col min="6" max="6" width="9.5703125" bestFit="1" customWidth="1"/>
  </cols>
  <sheetData>
    <row r="1" spans="1:10">
      <c r="A1" t="s">
        <v>96</v>
      </c>
      <c r="B1" t="s">
        <v>0</v>
      </c>
      <c r="C1" t="s">
        <v>121</v>
      </c>
      <c r="D1" t="s">
        <v>141</v>
      </c>
      <c r="E1" t="s">
        <v>116</v>
      </c>
      <c r="F1" t="s">
        <v>142</v>
      </c>
      <c r="G1" t="s">
        <v>107</v>
      </c>
      <c r="H1" t="s">
        <v>12</v>
      </c>
      <c r="I1" t="s">
        <v>3</v>
      </c>
      <c r="J1" t="s">
        <v>102</v>
      </c>
    </row>
    <row r="2" spans="1:10">
      <c r="A2">
        <v>0</v>
      </c>
      <c r="B2" s="1">
        <v>43796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</v>
      </c>
      <c r="B3" s="1">
        <v>43966</v>
      </c>
      <c r="C3">
        <v>2.9000000000000001E-2</v>
      </c>
      <c r="D3" s="14">
        <f>(1+C3)^(NETWORKDAYS.INTL(B2,B3)/252)-1</f>
        <v>1.4051204631949199E-2</v>
      </c>
      <c r="E3">
        <f>1.45/100</f>
        <v>1.4499999999999999E-2</v>
      </c>
      <c r="F3" s="14">
        <f>D3+E3</f>
        <v>2.8551204631949198E-2</v>
      </c>
      <c r="G3">
        <f>$B$10*F3</f>
        <v>28.551204631949197</v>
      </c>
      <c r="H3">
        <f>A3*G3</f>
        <v>28.551204631949197</v>
      </c>
      <c r="I3">
        <f>(1+$B$12)^(-A3)</f>
        <v>0.85026147240799499</v>
      </c>
      <c r="J3">
        <f>H3*I3</f>
        <v>24.275989289383091</v>
      </c>
    </row>
    <row r="4" spans="1:10">
      <c r="A4">
        <v>2</v>
      </c>
      <c r="B4" s="1">
        <v>44150</v>
      </c>
      <c r="C4">
        <v>1.9E-2</v>
      </c>
      <c r="D4" s="14">
        <f t="shared" ref="D4:D8" si="0">(1+C4)^(NETWORKDAYS.INTL(B3,B4)/252)-1</f>
        <v>9.8323476256725328E-3</v>
      </c>
      <c r="E4">
        <f t="shared" ref="E4:E8" si="1">1.45/100</f>
        <v>1.4499999999999999E-2</v>
      </c>
      <c r="F4" s="14">
        <f t="shared" ref="F4:F8" si="2">D4+E4</f>
        <v>2.4332347625672532E-2</v>
      </c>
      <c r="G4">
        <f t="shared" ref="G4:G8" si="3">$B$10*F4</f>
        <v>24.332347625672533</v>
      </c>
      <c r="H4">
        <f t="shared" ref="H4:H8" si="4">A4*G4</f>
        <v>48.664695251345066</v>
      </c>
      <c r="I4">
        <f t="shared" ref="I4:I8" si="5">(1+$B$12)^(-A4)</f>
        <v>0.72294457146141156</v>
      </c>
      <c r="J4">
        <f t="shared" ref="J4:J8" si="6">H4*I4</f>
        <v>35.181877253783846</v>
      </c>
    </row>
    <row r="5" spans="1:10">
      <c r="A5">
        <v>3</v>
      </c>
      <c r="B5" s="1">
        <v>44331</v>
      </c>
      <c r="C5">
        <v>3.4000000000000002E-2</v>
      </c>
      <c r="D5" s="14">
        <f t="shared" si="0"/>
        <v>1.7397706140109825E-2</v>
      </c>
      <c r="E5">
        <f t="shared" si="1"/>
        <v>1.4499999999999999E-2</v>
      </c>
      <c r="F5" s="14">
        <f t="shared" si="2"/>
        <v>3.1897706140109824E-2</v>
      </c>
      <c r="G5">
        <f t="shared" si="3"/>
        <v>31.897706140109825</v>
      </c>
      <c r="H5">
        <f t="shared" si="4"/>
        <v>95.693118420329483</v>
      </c>
      <c r="I5">
        <f t="shared" si="5"/>
        <v>0.6146919158001467</v>
      </c>
      <c r="J5">
        <f t="shared" si="6"/>
        <v>58.821786290682638</v>
      </c>
    </row>
    <row r="6" spans="1:10">
      <c r="A6">
        <v>4</v>
      </c>
      <c r="B6" s="1">
        <v>44515</v>
      </c>
      <c r="C6">
        <v>7.6499999999999999E-2</v>
      </c>
      <c r="D6" s="14">
        <f t="shared" si="0"/>
        <v>3.9063803573089029E-2</v>
      </c>
      <c r="E6">
        <f t="shared" si="1"/>
        <v>1.4499999999999999E-2</v>
      </c>
      <c r="F6" s="14">
        <f t="shared" si="2"/>
        <v>5.3563803573089028E-2</v>
      </c>
      <c r="G6">
        <f t="shared" si="3"/>
        <v>53.563803573089025</v>
      </c>
      <c r="H6">
        <f t="shared" si="4"/>
        <v>214.2552142923561</v>
      </c>
      <c r="I6">
        <f t="shared" si="5"/>
        <v>0.52264885340552403</v>
      </c>
      <c r="J6">
        <f t="shared" si="6"/>
        <v>111.98024208605476</v>
      </c>
    </row>
    <row r="7" spans="1:10">
      <c r="A7">
        <v>5</v>
      </c>
      <c r="B7" s="1">
        <v>44696</v>
      </c>
      <c r="C7">
        <v>0.1265</v>
      </c>
      <c r="D7" s="14">
        <f t="shared" si="0"/>
        <v>6.3375691247208543E-2</v>
      </c>
      <c r="E7">
        <f t="shared" si="1"/>
        <v>1.4499999999999999E-2</v>
      </c>
      <c r="F7" s="14">
        <f t="shared" si="2"/>
        <v>7.7875691247208542E-2</v>
      </c>
      <c r="G7">
        <f t="shared" si="3"/>
        <v>77.875691247208536</v>
      </c>
      <c r="H7">
        <f t="shared" si="4"/>
        <v>389.37845623604267</v>
      </c>
      <c r="I7">
        <f t="shared" si="5"/>
        <v>0.44438818364893112</v>
      </c>
      <c r="J7">
        <f t="shared" si="6"/>
        <v>173.03518491875982</v>
      </c>
    </row>
    <row r="8" spans="1:10">
      <c r="A8">
        <v>6</v>
      </c>
      <c r="B8" s="1">
        <v>44880</v>
      </c>
      <c r="C8">
        <v>0.13650000000000001</v>
      </c>
      <c r="D8" s="14">
        <f t="shared" si="0"/>
        <v>6.9320276311037654E-2</v>
      </c>
      <c r="E8">
        <f t="shared" si="1"/>
        <v>1.4499999999999999E-2</v>
      </c>
      <c r="F8" s="14">
        <f t="shared" si="2"/>
        <v>8.3820276311037653E-2</v>
      </c>
      <c r="G8">
        <f t="shared" si="3"/>
        <v>83.820276311037659</v>
      </c>
      <c r="H8">
        <f t="shared" si="4"/>
        <v>502.92165786622593</v>
      </c>
      <c r="I8">
        <f t="shared" si="5"/>
        <v>0.37784615135005467</v>
      </c>
      <c r="J8">
        <f t="shared" si="6"/>
        <v>190.02701285534241</v>
      </c>
    </row>
    <row r="9" spans="1:10">
      <c r="I9" t="s">
        <v>4</v>
      </c>
      <c r="J9">
        <f>SUM(J3:J8)</f>
        <v>593.32209269400653</v>
      </c>
    </row>
    <row r="10" spans="1:10">
      <c r="A10" t="s">
        <v>98</v>
      </c>
      <c r="B10" s="8">
        <v>1000</v>
      </c>
      <c r="I10" t="s">
        <v>5</v>
      </c>
      <c r="J10">
        <f>(B10*A8)*I8</f>
        <v>2267.0769081003282</v>
      </c>
    </row>
    <row r="11" spans="1:10">
      <c r="A11" t="s">
        <v>90</v>
      </c>
      <c r="B11">
        <v>534.04050500000005</v>
      </c>
      <c r="I11" t="s">
        <v>6</v>
      </c>
      <c r="J11">
        <f>SUM(J9:J10)</f>
        <v>2860.3990007943348</v>
      </c>
    </row>
    <row r="12" spans="1:10">
      <c r="A12" t="s">
        <v>101</v>
      </c>
      <c r="B12">
        <v>0.17610880000000001</v>
      </c>
      <c r="I12" t="s">
        <v>89</v>
      </c>
      <c r="J12">
        <f>(J11/B11)/2</f>
        <v>2.6780730806124291</v>
      </c>
    </row>
    <row r="13" spans="1:10">
      <c r="A13" t="s">
        <v>119</v>
      </c>
      <c r="B13">
        <f>G7/B11</f>
        <v>0.14582356678583497</v>
      </c>
      <c r="I13" t="s">
        <v>18</v>
      </c>
      <c r="J13">
        <f>J12/(1+B12)</f>
        <v>2.2770623607377387</v>
      </c>
    </row>
    <row r="17" spans="13:13" ht="18">
      <c r="M17" s="7"/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24F2E-3B41-41A5-84CE-4296C6E623BE}">
  <dimension ref="A1:O28"/>
  <sheetViews>
    <sheetView topLeftCell="A16" workbookViewId="0">
      <selection activeCell="B28" sqref="B28"/>
    </sheetView>
  </sheetViews>
  <sheetFormatPr defaultRowHeight="15"/>
  <cols>
    <col min="2" max="2" width="10.85546875" customWidth="1"/>
    <col min="15" max="15" width="10" bestFit="1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43997</v>
      </c>
      <c r="C2">
        <f>(1+$B$24)^(1/2)-1</f>
        <v>1.734949746879022E-2</v>
      </c>
      <c r="D2">
        <v>1.0124907494098663</v>
      </c>
      <c r="E2">
        <f>$B$23*D2</f>
        <v>1012.4907494098662</v>
      </c>
      <c r="F2">
        <f>C2*E2</f>
        <v>17.566205694059988</v>
      </c>
      <c r="G2">
        <f>A2*F2</f>
        <v>17.566205694059988</v>
      </c>
      <c r="H2">
        <f>(1+$B$27)^(-A2)</f>
        <v>0.97992270663666847</v>
      </c>
      <c r="I2">
        <f>G2*H2</f>
        <v>17.213523829059721</v>
      </c>
    </row>
    <row r="3" spans="1:9">
      <c r="A3">
        <v>2</v>
      </c>
      <c r="B3" s="1">
        <v>44180</v>
      </c>
      <c r="C3">
        <f t="shared" ref="C3:C21" si="0">(1+$B$24)^(1/2)-1</f>
        <v>1.734949746879022E-2</v>
      </c>
      <c r="D3">
        <v>1.0571929092776573</v>
      </c>
      <c r="E3">
        <f t="shared" ref="E3:E21" si="1">$B$23*D3</f>
        <v>1057.1929092776572</v>
      </c>
      <c r="F3">
        <f t="shared" ref="F3:F21" si="2">C3*E3</f>
        <v>18.341765703535682</v>
      </c>
      <c r="G3">
        <f t="shared" ref="G3:G21" si="3">A3*F3</f>
        <v>36.683531407071364</v>
      </c>
      <c r="H3">
        <f t="shared" ref="H3:H21" si="4">(1+$B$27)^(-A3)</f>
        <v>0.96024851098213426</v>
      </c>
      <c r="I3">
        <f t="shared" ref="I3:I21" si="5">G3*H3</f>
        <v>35.225306411206631</v>
      </c>
    </row>
    <row r="4" spans="1:9">
      <c r="A4">
        <v>3</v>
      </c>
      <c r="B4" s="1">
        <v>44362</v>
      </c>
      <c r="C4">
        <f t="shared" si="0"/>
        <v>1.734949746879022E-2</v>
      </c>
      <c r="D4">
        <v>1.0970023050519802</v>
      </c>
      <c r="E4">
        <f t="shared" si="1"/>
        <v>1097.0023050519801</v>
      </c>
      <c r="F4">
        <f t="shared" si="2"/>
        <v>19.032438714756367</v>
      </c>
      <c r="G4">
        <f t="shared" si="3"/>
        <v>57.097316144269101</v>
      </c>
      <c r="H4">
        <f t="shared" si="4"/>
        <v>0.94096931992544375</v>
      </c>
      <c r="I4">
        <f t="shared" si="5"/>
        <v>53.726822741840955</v>
      </c>
    </row>
    <row r="5" spans="1:9">
      <c r="A5">
        <v>4</v>
      </c>
      <c r="B5" s="1">
        <v>44545</v>
      </c>
      <c r="C5">
        <f t="shared" si="0"/>
        <v>1.734949746879022E-2</v>
      </c>
      <c r="D5">
        <v>1.1635576682077124</v>
      </c>
      <c r="E5">
        <f t="shared" si="1"/>
        <v>1163.5576682077124</v>
      </c>
      <c r="F5">
        <f t="shared" si="2"/>
        <v>20.187140819361158</v>
      </c>
      <c r="G5">
        <f t="shared" si="3"/>
        <v>80.748563277444632</v>
      </c>
      <c r="H5">
        <f t="shared" si="4"/>
        <v>0.922077202843406</v>
      </c>
      <c r="I5">
        <f t="shared" si="5"/>
        <v>74.456409360489914</v>
      </c>
    </row>
    <row r="6" spans="1:9">
      <c r="A6">
        <v>5</v>
      </c>
      <c r="B6" s="1">
        <v>44727</v>
      </c>
      <c r="C6">
        <f t="shared" si="0"/>
        <v>1.734949746879022E-2</v>
      </c>
      <c r="D6">
        <v>1.2274000029522472</v>
      </c>
      <c r="E6">
        <f t="shared" si="1"/>
        <v>1227.4000029522472</v>
      </c>
      <c r="F6">
        <f t="shared" si="2"/>
        <v>21.294773244413122</v>
      </c>
      <c r="G6">
        <f t="shared" si="3"/>
        <v>106.47386622206561</v>
      </c>
      <c r="H6">
        <f t="shared" si="4"/>
        <v>0.9035643883382789</v>
      </c>
      <c r="I6">
        <f t="shared" si="5"/>
        <v>96.205993806952449</v>
      </c>
    </row>
    <row r="7" spans="1:9">
      <c r="A7">
        <v>6</v>
      </c>
      <c r="B7" s="1">
        <v>44910</v>
      </c>
      <c r="C7">
        <f t="shared" si="0"/>
        <v>1.734949746879022E-2</v>
      </c>
      <c r="D7">
        <v>1.2505976698334169</v>
      </c>
      <c r="E7">
        <f t="shared" si="1"/>
        <v>1250.5976698334168</v>
      </c>
      <c r="F7">
        <f t="shared" si="2"/>
        <v>21.697241107249813</v>
      </c>
      <c r="G7">
        <f t="shared" si="3"/>
        <v>130.18344664349888</v>
      </c>
      <c r="H7">
        <f t="shared" si="4"/>
        <v>0.88542326104095204</v>
      </c>
      <c r="I7">
        <f t="shared" si="5"/>
        <v>115.26745186063756</v>
      </c>
    </row>
    <row r="8" spans="1:9">
      <c r="A8">
        <v>7</v>
      </c>
      <c r="B8" s="1">
        <v>45092</v>
      </c>
      <c r="C8">
        <f t="shared" si="0"/>
        <v>1.734949746879022E-2</v>
      </c>
      <c r="D8">
        <v>1.3071646546850879</v>
      </c>
      <c r="E8">
        <f t="shared" si="1"/>
        <v>1307.164654685088</v>
      </c>
      <c r="F8">
        <f t="shared" si="2"/>
        <v>22.678649867750977</v>
      </c>
      <c r="G8">
        <f t="shared" si="3"/>
        <v>158.75054907425684</v>
      </c>
      <c r="H8">
        <f t="shared" si="4"/>
        <v>0.86764635847831517</v>
      </c>
      <c r="I8">
        <f t="shared" si="5"/>
        <v>137.73933581071202</v>
      </c>
    </row>
    <row r="9" spans="1:9">
      <c r="A9">
        <v>8</v>
      </c>
      <c r="B9" s="1">
        <v>45275</v>
      </c>
      <c r="C9">
        <f t="shared" si="0"/>
        <v>1.734949746879022E-2</v>
      </c>
      <c r="D9">
        <v>1.3440518053145676</v>
      </c>
      <c r="E9">
        <f t="shared" si="1"/>
        <v>1344.0518053145677</v>
      </c>
      <c r="F9">
        <f t="shared" si="2"/>
        <v>23.31862339422802</v>
      </c>
      <c r="G9">
        <f t="shared" si="3"/>
        <v>186.54898715382416</v>
      </c>
      <c r="H9">
        <f t="shared" si="4"/>
        <v>0.85022636800351981</v>
      </c>
      <c r="I9">
        <f t="shared" si="5"/>
        <v>158.60886780253119</v>
      </c>
    </row>
    <row r="10" spans="1:9">
      <c r="A10">
        <v>9</v>
      </c>
      <c r="B10" s="1">
        <v>45458</v>
      </c>
      <c r="C10">
        <f t="shared" si="0"/>
        <v>1.734949746879022E-2</v>
      </c>
      <c r="D10">
        <v>1.3887444585835678</v>
      </c>
      <c r="E10">
        <f t="shared" si="1"/>
        <v>1388.7444585835678</v>
      </c>
      <c r="F10">
        <f t="shared" si="2"/>
        <v>24.094018468992054</v>
      </c>
      <c r="G10">
        <f t="shared" si="3"/>
        <v>216.8461662209285</v>
      </c>
      <c r="H10">
        <f t="shared" si="4"/>
        <v>0.83315612378787329</v>
      </c>
      <c r="I10">
        <f t="shared" si="5"/>
        <v>180.66671130688965</v>
      </c>
    </row>
    <row r="11" spans="1:9">
      <c r="A11">
        <v>10</v>
      </c>
      <c r="B11" s="1">
        <v>45641</v>
      </c>
      <c r="C11">
        <f t="shared" si="0"/>
        <v>1.734949746879022E-2</v>
      </c>
      <c r="D11">
        <v>1.4258910665833953</v>
      </c>
      <c r="E11">
        <f t="shared" si="1"/>
        <v>1425.8910665833953</v>
      </c>
      <c r="F11">
        <f t="shared" si="2"/>
        <v>24.738493450459202</v>
      </c>
      <c r="G11">
        <f t="shared" si="3"/>
        <v>247.38493450459202</v>
      </c>
      <c r="H11">
        <f t="shared" si="4"/>
        <v>0.8164286038731281</v>
      </c>
      <c r="I11">
        <f t="shared" si="5"/>
        <v>201.9721366968293</v>
      </c>
    </row>
    <row r="12" spans="1:9">
      <c r="A12">
        <v>11</v>
      </c>
      <c r="B12" s="1">
        <v>45823</v>
      </c>
      <c r="C12">
        <f t="shared" si="0"/>
        <v>1.734949746879022E-2</v>
      </c>
      <c r="D12">
        <v>1.4718618097629326</v>
      </c>
      <c r="E12">
        <f t="shared" si="1"/>
        <v>1471.8618097629326</v>
      </c>
      <c r="F12">
        <f t="shared" si="2"/>
        <v>25.536062742890991</v>
      </c>
      <c r="G12">
        <f t="shared" si="3"/>
        <v>280.89669017180091</v>
      </c>
      <c r="H12">
        <f t="shared" si="4"/>
        <v>0.80003692728295206</v>
      </c>
      <c r="I12">
        <f t="shared" si="5"/>
        <v>224.72772488899901</v>
      </c>
    </row>
    <row r="13" spans="1:9">
      <c r="A13">
        <v>12</v>
      </c>
      <c r="B13" s="1">
        <v>46006</v>
      </c>
      <c r="C13">
        <f t="shared" si="0"/>
        <v>1.734949746879022E-2</v>
      </c>
      <c r="D13">
        <v>1.5108986079966698</v>
      </c>
      <c r="E13">
        <f t="shared" si="1"/>
        <v>1510.8986079966699</v>
      </c>
      <c r="F13">
        <f t="shared" si="2"/>
        <v>26.213331575036889</v>
      </c>
      <c r="G13">
        <f t="shared" si="3"/>
        <v>314.55997890044267</v>
      </c>
      <c r="H13">
        <f t="shared" si="4"/>
        <v>0.78397435119239389</v>
      </c>
      <c r="I13">
        <f t="shared" si="5"/>
        <v>246.60695536956766</v>
      </c>
    </row>
    <row r="14" spans="1:9">
      <c r="A14">
        <v>13</v>
      </c>
      <c r="B14" s="1">
        <v>46188</v>
      </c>
      <c r="C14">
        <f t="shared" si="0"/>
        <v>1.734949746879022E-2</v>
      </c>
      <c r="D14">
        <v>1.5595590684103608</v>
      </c>
      <c r="E14">
        <f t="shared" si="1"/>
        <v>1559.5590684103609</v>
      </c>
      <c r="F14">
        <f t="shared" si="2"/>
        <v>27.057566109814388</v>
      </c>
      <c r="G14">
        <f t="shared" si="3"/>
        <v>351.74835942758705</v>
      </c>
      <c r="H14">
        <f t="shared" si="4"/>
        <v>0.76823426815417684</v>
      </c>
      <c r="I14">
        <f t="shared" si="5"/>
        <v>270.22514347928467</v>
      </c>
    </row>
    <row r="15" spans="1:9">
      <c r="A15">
        <v>14</v>
      </c>
      <c r="B15" s="1">
        <v>46371</v>
      </c>
      <c r="C15">
        <f t="shared" si="0"/>
        <v>1.734949746879022E-2</v>
      </c>
      <c r="D15">
        <v>1.6010888614783283</v>
      </c>
      <c r="E15">
        <f t="shared" si="1"/>
        <v>1601.0888614783282</v>
      </c>
      <c r="F15">
        <f t="shared" si="2"/>
        <v>27.778087149526471</v>
      </c>
      <c r="G15">
        <f t="shared" si="3"/>
        <v>388.89322009337059</v>
      </c>
      <c r="H15">
        <f t="shared" si="4"/>
        <v>0.75281020338068116</v>
      </c>
      <c r="I15">
        <f t="shared" si="5"/>
        <v>292.76278411185831</v>
      </c>
    </row>
    <row r="16" spans="1:9">
      <c r="A16">
        <v>15</v>
      </c>
      <c r="B16" s="1">
        <v>46553</v>
      </c>
      <c r="C16">
        <f t="shared" si="0"/>
        <v>1.734949746879022E-2</v>
      </c>
      <c r="D16">
        <v>1.6529499522371378</v>
      </c>
      <c r="E16">
        <f t="shared" si="1"/>
        <v>1652.9499522371377</v>
      </c>
      <c r="F16">
        <f t="shared" si="2"/>
        <v>28.677851012375136</v>
      </c>
      <c r="G16">
        <f t="shared" si="3"/>
        <v>430.16776518562705</v>
      </c>
      <c r="H16">
        <f t="shared" si="4"/>
        <v>0.73769581208049784</v>
      </c>
      <c r="I16">
        <f t="shared" si="5"/>
        <v>317.33295886946405</v>
      </c>
    </row>
    <row r="17" spans="1:15">
      <c r="A17">
        <v>16</v>
      </c>
      <c r="B17" s="1">
        <v>46736</v>
      </c>
      <c r="C17">
        <f t="shared" si="0"/>
        <v>1.734949746879022E-2</v>
      </c>
      <c r="D17">
        <v>1.6972337512982498</v>
      </c>
      <c r="E17">
        <f t="shared" si="1"/>
        <v>1697.2337512982499</v>
      </c>
      <c r="F17">
        <f t="shared" si="2"/>
        <v>29.446152672094318</v>
      </c>
      <c r="G17">
        <f t="shared" si="3"/>
        <v>471.13844275350908</v>
      </c>
      <c r="H17">
        <f t="shared" si="4"/>
        <v>0.72288487684845681</v>
      </c>
      <c r="I17">
        <f t="shared" si="5"/>
        <v>340.57885516844414</v>
      </c>
    </row>
    <row r="18" spans="1:15">
      <c r="A18">
        <v>17</v>
      </c>
      <c r="B18" s="1">
        <v>46919</v>
      </c>
      <c r="C18">
        <f t="shared" si="0"/>
        <v>1.734949746879022E-2</v>
      </c>
      <c r="D18">
        <v>1.7525504950267345</v>
      </c>
      <c r="E18">
        <f t="shared" si="1"/>
        <v>1752.5504950267346</v>
      </c>
      <c r="F18">
        <f t="shared" si="2"/>
        <v>30.405870377393377</v>
      </c>
      <c r="G18">
        <f t="shared" si="3"/>
        <v>516.89979641568743</v>
      </c>
      <c r="H18">
        <f t="shared" si="4"/>
        <v>0.70837130510805457</v>
      </c>
      <c r="I18">
        <f t="shared" si="5"/>
        <v>366.15698339706819</v>
      </c>
    </row>
    <row r="19" spans="1:15">
      <c r="A19">
        <v>18</v>
      </c>
      <c r="B19" s="1">
        <v>47102</v>
      </c>
      <c r="C19">
        <f t="shared" si="0"/>
        <v>1.734949746879022E-2</v>
      </c>
      <c r="D19">
        <v>1.7997619180410538</v>
      </c>
      <c r="E19">
        <f t="shared" si="1"/>
        <v>1799.7619180410538</v>
      </c>
      <c r="F19">
        <f t="shared" si="2"/>
        <v>31.224964841478297</v>
      </c>
      <c r="G19">
        <f t="shared" si="3"/>
        <v>562.04936714660937</v>
      </c>
      <c r="H19">
        <f t="shared" si="4"/>
        <v>0.69414912660523409</v>
      </c>
      <c r="I19">
        <f t="shared" si="5"/>
        <v>390.14607731384342</v>
      </c>
    </row>
    <row r="20" spans="1:15">
      <c r="A20">
        <v>19</v>
      </c>
      <c r="B20" s="1">
        <v>47284</v>
      </c>
      <c r="C20">
        <f t="shared" si="0"/>
        <v>1.734949746879022E-2</v>
      </c>
      <c r="D20">
        <v>1.8587328189952268</v>
      </c>
      <c r="E20">
        <f t="shared" si="1"/>
        <v>1858.7328189952268</v>
      </c>
      <c r="F20">
        <f t="shared" si="2"/>
        <v>32.248080338314999</v>
      </c>
      <c r="G20">
        <f t="shared" si="3"/>
        <v>612.71352642798502</v>
      </c>
      <c r="H20">
        <f t="shared" si="4"/>
        <v>0.68021249095248049</v>
      </c>
      <c r="I20">
        <f t="shared" si="5"/>
        <v>416.77539405185814</v>
      </c>
    </row>
    <row r="21" spans="1:15">
      <c r="A21">
        <v>20</v>
      </c>
      <c r="B21" s="1">
        <v>47467</v>
      </c>
      <c r="C21">
        <f t="shared" si="0"/>
        <v>1.734949746879022E-2</v>
      </c>
      <c r="D21">
        <v>1.9090305940772323</v>
      </c>
      <c r="E21">
        <f t="shared" si="1"/>
        <v>1909.0305940772323</v>
      </c>
      <c r="F21">
        <f t="shared" si="2"/>
        <v>33.120721459786033</v>
      </c>
      <c r="G21">
        <f t="shared" si="3"/>
        <v>662.41442919572069</v>
      </c>
      <c r="H21">
        <f t="shared" si="4"/>
        <v>0.66655566522222498</v>
      </c>
      <c r="I21">
        <f t="shared" si="5"/>
        <v>441.53609050535403</v>
      </c>
    </row>
    <row r="22" spans="1:15">
      <c r="H22" t="s">
        <v>4</v>
      </c>
      <c r="I22">
        <f>SUM(I2:I21)</f>
        <v>4377.9315267828915</v>
      </c>
    </row>
    <row r="23" spans="1:15">
      <c r="A23" t="s">
        <v>98</v>
      </c>
      <c r="B23" s="8">
        <v>1000</v>
      </c>
      <c r="H23" t="s">
        <v>5</v>
      </c>
      <c r="I23">
        <f>(A21*B25)*H21</f>
        <v>25449.503151294579</v>
      </c>
    </row>
    <row r="24" spans="1:15">
      <c r="A24" t="s">
        <v>79</v>
      </c>
      <c r="B24" s="10">
        <v>3.5000000000000003E-2</v>
      </c>
      <c r="H24" t="s">
        <v>6</v>
      </c>
      <c r="I24">
        <f>SUM(I22:I23)</f>
        <v>29827.434678077472</v>
      </c>
    </row>
    <row r="25" spans="1:15">
      <c r="A25" t="s">
        <v>111</v>
      </c>
      <c r="B25">
        <f>B23*D21</f>
        <v>1909.0305940772323</v>
      </c>
      <c r="H25" t="s">
        <v>89</v>
      </c>
      <c r="I25">
        <f>(I24/B26)/2</f>
        <v>13.939735840419008</v>
      </c>
    </row>
    <row r="26" spans="1:15">
      <c r="A26" t="s">
        <v>90</v>
      </c>
      <c r="B26">
        <v>1069.870872</v>
      </c>
      <c r="H26" t="s">
        <v>18</v>
      </c>
      <c r="I26">
        <f>I25/(1+B27)</f>
        <v>13.659863674543569</v>
      </c>
    </row>
    <row r="27" spans="1:15" ht="18">
      <c r="A27" t="s">
        <v>101</v>
      </c>
      <c r="B27">
        <v>2.0488650000000001E-2</v>
      </c>
      <c r="O27" s="16"/>
    </row>
    <row r="28" spans="1:15">
      <c r="A28" t="s">
        <v>119</v>
      </c>
      <c r="B28">
        <f>F6/B26</f>
        <v>1.9904059267082396E-2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18ADD-4890-43CE-B61F-A56C327739A2}">
  <dimension ref="A1:N18"/>
  <sheetViews>
    <sheetView workbookViewId="0">
      <selection activeCell="B18" sqref="B18"/>
    </sheetView>
  </sheetViews>
  <sheetFormatPr defaultRowHeight="15"/>
  <cols>
    <col min="2" max="2" width="10.5703125" customWidth="1"/>
    <col min="13" max="13" width="13.42578125" bestFit="1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44119</v>
      </c>
      <c r="C2" s="10">
        <f>$B$14</f>
        <v>3.6999999999999998E-2</v>
      </c>
      <c r="D2">
        <v>1.0391820573071087</v>
      </c>
      <c r="E2">
        <f>$B$13*D2</f>
        <v>1039.1820573071086</v>
      </c>
      <c r="F2">
        <f>C2*E2</f>
        <v>38.449736120363013</v>
      </c>
      <c r="G2">
        <f>A2*F2</f>
        <v>38.449736120363013</v>
      </c>
      <c r="H2">
        <f>(1+$B$17)^(-A2)</f>
        <v>0.87985732937432726</v>
      </c>
      <c r="I2">
        <f>G2*H2</f>
        <v>33.830282138010205</v>
      </c>
    </row>
    <row r="3" spans="1:9">
      <c r="A3">
        <v>2</v>
      </c>
      <c r="B3" s="1">
        <v>44484</v>
      </c>
      <c r="C3" s="10">
        <f t="shared" ref="C3:C11" si="0">$B$14</f>
        <v>3.6999999999999998E-2</v>
      </c>
      <c r="D3">
        <v>1.1500905325896309</v>
      </c>
      <c r="E3">
        <f t="shared" ref="E3:E11" si="1">$B$13*D3</f>
        <v>1150.0905325896308</v>
      </c>
      <c r="F3">
        <f t="shared" ref="F3:F11" si="2">C3*E3</f>
        <v>42.553349705816338</v>
      </c>
      <c r="G3">
        <f t="shared" ref="G3:G11" si="3">A3*F3</f>
        <v>85.106699411632675</v>
      </c>
      <c r="H3">
        <f t="shared" ref="H3:H11" si="4">(1+$B$17)^(-A3)</f>
        <v>0.77414892005372338</v>
      </c>
      <c r="I3">
        <f t="shared" ref="I3:I11" si="5">G3*H3</f>
        <v>65.885259438852287</v>
      </c>
    </row>
    <row r="4" spans="1:9">
      <c r="A4">
        <v>3</v>
      </c>
      <c r="B4" s="1">
        <v>44849</v>
      </c>
      <c r="C4" s="10">
        <f t="shared" si="0"/>
        <v>3.6999999999999998E-2</v>
      </c>
      <c r="D4">
        <v>1.2213365419545366</v>
      </c>
      <c r="E4">
        <f t="shared" si="1"/>
        <v>1221.3365419545366</v>
      </c>
      <c r="F4">
        <f t="shared" si="2"/>
        <v>45.189452052317854</v>
      </c>
      <c r="G4">
        <f t="shared" si="3"/>
        <v>135.56835615695357</v>
      </c>
      <c r="H4">
        <f t="shared" si="4"/>
        <v>0.68114060133648868</v>
      </c>
      <c r="I4">
        <f t="shared" si="5"/>
        <v>92.341111634946628</v>
      </c>
    </row>
    <row r="5" spans="1:9">
      <c r="A5">
        <v>4</v>
      </c>
      <c r="B5" s="1">
        <v>45214</v>
      </c>
      <c r="C5" s="10">
        <f t="shared" si="0"/>
        <v>3.6999999999999998E-2</v>
      </c>
      <c r="D5">
        <v>1.3237116040967845</v>
      </c>
      <c r="E5">
        <f t="shared" si="1"/>
        <v>1323.7116040967844</v>
      </c>
      <c r="F5">
        <f t="shared" si="2"/>
        <v>48.97732935158102</v>
      </c>
      <c r="G5">
        <f t="shared" si="3"/>
        <v>195.90931740632408</v>
      </c>
      <c r="H5">
        <f t="shared" si="4"/>
        <v>0.59930655042034631</v>
      </c>
      <c r="I5">
        <f t="shared" si="5"/>
        <v>117.40973720998879</v>
      </c>
    </row>
    <row r="6" spans="1:9">
      <c r="A6">
        <v>5</v>
      </c>
      <c r="B6" s="1">
        <v>45580</v>
      </c>
      <c r="C6" s="10">
        <f t="shared" si="0"/>
        <v>3.6999999999999998E-2</v>
      </c>
      <c r="D6">
        <v>1.4051660205205796</v>
      </c>
      <c r="E6">
        <f t="shared" si="1"/>
        <v>1405.1660205205797</v>
      </c>
      <c r="F6">
        <f t="shared" si="2"/>
        <v>51.991142759261443</v>
      </c>
      <c r="G6">
        <f t="shared" si="3"/>
        <v>259.95571379630724</v>
      </c>
      <c r="H6">
        <f t="shared" si="4"/>
        <v>0.52730426092938643</v>
      </c>
      <c r="I6">
        <f t="shared" si="5"/>
        <v>137.0757555377329</v>
      </c>
    </row>
    <row r="7" spans="1:9">
      <c r="A7">
        <v>6</v>
      </c>
      <c r="B7" s="1">
        <v>45945</v>
      </c>
      <c r="C7" s="10">
        <f t="shared" si="0"/>
        <v>3.6999999999999998E-2</v>
      </c>
      <c r="D7">
        <v>1.4889681441458711</v>
      </c>
      <c r="E7">
        <f t="shared" si="1"/>
        <v>1488.9681441458711</v>
      </c>
      <c r="F7">
        <f t="shared" si="2"/>
        <v>55.091821333397228</v>
      </c>
      <c r="G7">
        <f t="shared" si="3"/>
        <v>330.55092800038335</v>
      </c>
      <c r="H7">
        <f t="shared" si="4"/>
        <v>0.46395251878903343</v>
      </c>
      <c r="I7">
        <f t="shared" si="5"/>
        <v>153.3599356338303</v>
      </c>
    </row>
    <row r="8" spans="1:9">
      <c r="A8">
        <v>7</v>
      </c>
      <c r="B8" s="1">
        <v>46310</v>
      </c>
      <c r="C8" s="10">
        <f t="shared" si="0"/>
        <v>3.6999999999999998E-2</v>
      </c>
      <c r="D8">
        <v>1.577674120504869</v>
      </c>
      <c r="E8">
        <f t="shared" si="1"/>
        <v>1577.6741205048691</v>
      </c>
      <c r="F8">
        <f t="shared" si="2"/>
        <v>58.373942458680155</v>
      </c>
      <c r="G8">
        <f t="shared" si="3"/>
        <v>408.61759721076106</v>
      </c>
      <c r="H8">
        <f t="shared" si="4"/>
        <v>0.40821202413821134</v>
      </c>
      <c r="I8">
        <f t="shared" si="5"/>
        <v>166.80261645589712</v>
      </c>
    </row>
    <row r="9" spans="1:9">
      <c r="A9">
        <v>8</v>
      </c>
      <c r="B9" s="1">
        <v>46675</v>
      </c>
      <c r="C9" s="10">
        <f t="shared" si="0"/>
        <v>3.6999999999999998E-2</v>
      </c>
      <c r="D9">
        <v>1.6722109315725651</v>
      </c>
      <c r="E9">
        <f t="shared" si="1"/>
        <v>1672.210931572565</v>
      </c>
      <c r="F9">
        <f t="shared" si="2"/>
        <v>61.871804468184898</v>
      </c>
      <c r="G9">
        <f t="shared" si="3"/>
        <v>494.97443574547918</v>
      </c>
      <c r="H9">
        <f t="shared" si="4"/>
        <v>0.35916834137673498</v>
      </c>
      <c r="I9">
        <f t="shared" si="5"/>
        <v>177.77914711058904</v>
      </c>
    </row>
    <row r="10" spans="1:9">
      <c r="A10">
        <v>9</v>
      </c>
      <c r="B10" s="1">
        <v>47041</v>
      </c>
      <c r="C10" s="10">
        <f t="shared" si="0"/>
        <v>3.6999999999999998E-2</v>
      </c>
      <c r="D10">
        <v>1.7730426150563643</v>
      </c>
      <c r="E10">
        <f t="shared" si="1"/>
        <v>1773.0426150563642</v>
      </c>
      <c r="F10">
        <f t="shared" si="2"/>
        <v>65.602576757085473</v>
      </c>
      <c r="G10">
        <f t="shared" si="3"/>
        <v>590.42319081376922</v>
      </c>
      <c r="H10">
        <f t="shared" si="4"/>
        <v>0.31601689763954077</v>
      </c>
      <c r="I10">
        <f t="shared" si="5"/>
        <v>186.58370505540597</v>
      </c>
    </row>
    <row r="11" spans="1:9">
      <c r="A11">
        <v>10</v>
      </c>
      <c r="B11" s="1">
        <v>47406</v>
      </c>
      <c r="C11" s="10">
        <f t="shared" si="0"/>
        <v>3.6999999999999998E-2</v>
      </c>
      <c r="D11">
        <v>1.880531083093792</v>
      </c>
      <c r="E11">
        <f t="shared" si="1"/>
        <v>1880.5310830937919</v>
      </c>
      <c r="F11">
        <f t="shared" si="2"/>
        <v>69.579650074470294</v>
      </c>
      <c r="G11">
        <f t="shared" si="3"/>
        <v>695.79650074470294</v>
      </c>
      <c r="H11">
        <f t="shared" si="4"/>
        <v>0.27804978359428645</v>
      </c>
      <c r="I11">
        <f t="shared" si="5"/>
        <v>193.46606645772641</v>
      </c>
    </row>
    <row r="12" spans="1:9">
      <c r="H12" t="s">
        <v>4</v>
      </c>
      <c r="I12">
        <f>SUM(I2:I11)</f>
        <v>1324.5336166729796</v>
      </c>
    </row>
    <row r="13" spans="1:9">
      <c r="A13" t="s">
        <v>98</v>
      </c>
      <c r="B13" s="8">
        <v>1000</v>
      </c>
      <c r="H13" t="s">
        <v>5</v>
      </c>
      <c r="I13">
        <f>(A11*B15)*H11</f>
        <v>5228.81260696558</v>
      </c>
    </row>
    <row r="14" spans="1:9">
      <c r="A14" t="s">
        <v>79</v>
      </c>
      <c r="B14" s="10">
        <v>3.6999999999999998E-2</v>
      </c>
      <c r="H14" t="s">
        <v>6</v>
      </c>
      <c r="I14">
        <f>SUM(I12:I13)</f>
        <v>6553.3462236385594</v>
      </c>
    </row>
    <row r="15" spans="1:9">
      <c r="A15" t="s">
        <v>111</v>
      </c>
      <c r="B15">
        <f>B13*D11</f>
        <v>1880.5310830937919</v>
      </c>
      <c r="H15" t="s">
        <v>89</v>
      </c>
      <c r="I15">
        <f>(I14/B16)</f>
        <v>8.3144544504727396</v>
      </c>
    </row>
    <row r="16" spans="1:9">
      <c r="A16" t="s">
        <v>90</v>
      </c>
      <c r="B16">
        <v>788.18715799999995</v>
      </c>
      <c r="H16" t="s">
        <v>18</v>
      </c>
      <c r="I16">
        <f>I15/(1+B17)</f>
        <v>7.3155336879974344</v>
      </c>
    </row>
    <row r="17" spans="1:14" ht="18.75" thickBot="1">
      <c r="A17" t="s">
        <v>101</v>
      </c>
      <c r="B17">
        <v>0.1365479</v>
      </c>
      <c r="M17" s="21"/>
      <c r="N17" s="21"/>
    </row>
    <row r="18" spans="1:14">
      <c r="A18" t="s">
        <v>119</v>
      </c>
      <c r="B18">
        <f>F4/B16</f>
        <v>5.7333403105659146E-2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ED768-85DA-4CE0-BF54-89F9C9DC87EE}">
  <dimension ref="A1:K28"/>
  <sheetViews>
    <sheetView topLeftCell="A16" workbookViewId="0">
      <selection activeCell="B28" sqref="B28"/>
    </sheetView>
  </sheetViews>
  <sheetFormatPr defaultRowHeight="15"/>
  <cols>
    <col min="2" max="2" width="11.42578125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44270</v>
      </c>
      <c r="C2">
        <f>(1+$B$24)^(1/2)-1</f>
        <v>2.0426381470020516E-2</v>
      </c>
      <c r="D2">
        <v>1.0592173486600183</v>
      </c>
      <c r="E2">
        <f>$B$23*D2</f>
        <v>1059.2173486600182</v>
      </c>
      <c r="F2">
        <f>C2*E2</f>
        <v>21.635977623393256</v>
      </c>
      <c r="G2">
        <f>A2*F2</f>
        <v>21.635977623393256</v>
      </c>
      <c r="H2">
        <f>(1+$B$27)^(-A2)</f>
        <v>0.94949594963068307</v>
      </c>
      <c r="I2">
        <f>G2*H2</f>
        <v>20.543273119711987</v>
      </c>
    </row>
    <row r="3" spans="1:9">
      <c r="A3">
        <v>2</v>
      </c>
      <c r="B3" s="1">
        <v>44454</v>
      </c>
      <c r="C3">
        <f t="shared" ref="C3:C21" si="0">(1+$B$24)^(1/2)-1</f>
        <v>2.0426381470020516E-2</v>
      </c>
      <c r="D3">
        <v>1.1095195242081464</v>
      </c>
      <c r="E3">
        <f t="shared" ref="E3:E21" si="1">$B$23*D3</f>
        <v>1109.5195242081463</v>
      </c>
      <c r="F3">
        <f t="shared" ref="F3:F21" si="2">C3*E3</f>
        <v>22.66346904991126</v>
      </c>
      <c r="G3">
        <f t="shared" ref="G3:G21" si="3">A3*F3</f>
        <v>45.32693809982252</v>
      </c>
      <c r="H3">
        <f t="shared" ref="H3:H21" si="4">(1+$B$27)^(-A3)</f>
        <v>0.90154255836507269</v>
      </c>
      <c r="I3">
        <f t="shared" ref="I3:I21" si="5">G3*H3</f>
        <v>40.864163737369282</v>
      </c>
    </row>
    <row r="4" spans="1:9">
      <c r="A4">
        <v>3</v>
      </c>
      <c r="B4" s="1">
        <v>44635</v>
      </c>
      <c r="C4">
        <f t="shared" si="0"/>
        <v>2.0426381470020516E-2</v>
      </c>
      <c r="D4">
        <v>1.1789016637424286</v>
      </c>
      <c r="E4">
        <f t="shared" si="1"/>
        <v>1178.9016637424286</v>
      </c>
      <c r="F4">
        <f t="shared" si="2"/>
        <v>24.0806950992447</v>
      </c>
      <c r="G4">
        <f t="shared" si="3"/>
        <v>72.242085297734093</v>
      </c>
      <c r="H4">
        <f t="shared" si="4"/>
        <v>0.85601100758732029</v>
      </c>
      <c r="I4">
        <f t="shared" si="5"/>
        <v>61.840020225922501</v>
      </c>
    </row>
    <row r="5" spans="1:9">
      <c r="A5">
        <v>4</v>
      </c>
      <c r="B5" s="1">
        <v>44819</v>
      </c>
      <c r="C5">
        <f t="shared" si="0"/>
        <v>2.0426381470020516E-2</v>
      </c>
      <c r="D5">
        <v>1.1890565001237112</v>
      </c>
      <c r="E5">
        <f t="shared" si="1"/>
        <v>1189.0565001237112</v>
      </c>
      <c r="F5">
        <f t="shared" si="2"/>
        <v>24.288121660934422</v>
      </c>
      <c r="G5">
        <f t="shared" si="3"/>
        <v>97.152486643737689</v>
      </c>
      <c r="H5">
        <f t="shared" si="4"/>
        <v>0.81277898454344055</v>
      </c>
      <c r="I5">
        <f t="shared" si="5"/>
        <v>78.963499440167283</v>
      </c>
    </row>
    <row r="6" spans="1:9">
      <c r="A6">
        <v>5</v>
      </c>
      <c r="B6" s="1">
        <v>45000</v>
      </c>
      <c r="C6">
        <f t="shared" si="0"/>
        <v>2.0426381470020516E-2</v>
      </c>
      <c r="D6">
        <v>1.2589517862102941</v>
      </c>
      <c r="E6">
        <f t="shared" si="1"/>
        <v>1258.9517862102941</v>
      </c>
      <c r="F6">
        <f t="shared" si="2"/>
        <v>25.715829437495181</v>
      </c>
      <c r="G6">
        <f t="shared" si="3"/>
        <v>128.57914718747591</v>
      </c>
      <c r="H6">
        <f t="shared" si="4"/>
        <v>0.77173035376893639</v>
      </c>
      <c r="I6">
        <f t="shared" si="5"/>
        <v>99.228430746298926</v>
      </c>
    </row>
    <row r="7" spans="1:9">
      <c r="A7">
        <v>6</v>
      </c>
      <c r="B7" s="1">
        <v>45184</v>
      </c>
      <c r="C7">
        <f t="shared" si="0"/>
        <v>2.0426381470020516E-2</v>
      </c>
      <c r="D7">
        <v>1.2913298340807173</v>
      </c>
      <c r="E7">
        <f t="shared" si="1"/>
        <v>1291.3298340807173</v>
      </c>
      <c r="F7">
        <f t="shared" si="2"/>
        <v>26.377195794551032</v>
      </c>
      <c r="G7">
        <f t="shared" si="3"/>
        <v>158.2631747673062</v>
      </c>
      <c r="H7">
        <f t="shared" si="4"/>
        <v>0.73275484511065914</v>
      </c>
      <c r="I7">
        <f t="shared" si="5"/>
        <v>115.96810811333863</v>
      </c>
    </row>
    <row r="8" spans="1:9">
      <c r="A8">
        <v>7</v>
      </c>
      <c r="B8" s="1">
        <v>45366</v>
      </c>
      <c r="C8">
        <f t="shared" si="0"/>
        <v>2.0426381470020516E-2</v>
      </c>
      <c r="D8">
        <v>1.3431059769482772</v>
      </c>
      <c r="E8">
        <f t="shared" si="1"/>
        <v>1343.1059769482772</v>
      </c>
      <c r="F8">
        <f t="shared" si="2"/>
        <v>27.434795039810091</v>
      </c>
      <c r="G8">
        <f t="shared" si="3"/>
        <v>192.04356527867063</v>
      </c>
      <c r="H8">
        <f t="shared" si="4"/>
        <v>0.69574775750482953</v>
      </c>
      <c r="I8">
        <f t="shared" si="5"/>
        <v>133.61387988586742</v>
      </c>
    </row>
    <row r="9" spans="1:9">
      <c r="A9">
        <v>8</v>
      </c>
      <c r="B9" s="1">
        <v>45550</v>
      </c>
      <c r="C9">
        <f t="shared" si="0"/>
        <v>2.0426381470020516E-2</v>
      </c>
      <c r="D9">
        <v>1.3709840624374179</v>
      </c>
      <c r="E9">
        <f t="shared" si="1"/>
        <v>1370.9840624374178</v>
      </c>
      <c r="F9">
        <f t="shared" si="2"/>
        <v>28.004243448665122</v>
      </c>
      <c r="G9">
        <f t="shared" si="3"/>
        <v>224.03394758932097</v>
      </c>
      <c r="H9">
        <f t="shared" si="4"/>
        <v>0.6606096777154663</v>
      </c>
      <c r="I9">
        <f t="shared" si="5"/>
        <v>147.998993914305</v>
      </c>
    </row>
    <row r="10" spans="1:9">
      <c r="A10">
        <v>9</v>
      </c>
      <c r="B10" s="1">
        <v>45731</v>
      </c>
      <c r="C10">
        <f t="shared" si="0"/>
        <v>2.0426381470020516E-2</v>
      </c>
      <c r="D10">
        <v>1.4241322361776492</v>
      </c>
      <c r="E10">
        <f t="shared" si="1"/>
        <v>1424.1322361776492</v>
      </c>
      <c r="F10">
        <f t="shared" si="2"/>
        <v>29.089868319918015</v>
      </c>
      <c r="G10">
        <f t="shared" si="3"/>
        <v>261.80881487926212</v>
      </c>
      <c r="H10">
        <f t="shared" si="4"/>
        <v>0.62724621327766616</v>
      </c>
      <c r="I10">
        <f t="shared" si="5"/>
        <v>164.21858773573067</v>
      </c>
    </row>
    <row r="11" spans="1:9">
      <c r="A11">
        <v>10</v>
      </c>
      <c r="B11" s="1">
        <v>45915</v>
      </c>
      <c r="C11">
        <f t="shared" si="0"/>
        <v>2.0426381470020516E-2</v>
      </c>
      <c r="D11">
        <v>1.4527971675621631</v>
      </c>
      <c r="E11">
        <f t="shared" si="1"/>
        <v>1452.7971675621632</v>
      </c>
      <c r="F11">
        <f t="shared" si="2"/>
        <v>29.67538914319006</v>
      </c>
      <c r="G11">
        <f t="shared" si="3"/>
        <v>296.75389143190057</v>
      </c>
      <c r="H11">
        <f t="shared" si="4"/>
        <v>0.59556773892832759</v>
      </c>
      <c r="I11">
        <f t="shared" si="5"/>
        <v>176.73704413827943</v>
      </c>
    </row>
    <row r="12" spans="1:9">
      <c r="A12">
        <v>11</v>
      </c>
      <c r="B12" s="1">
        <v>46096</v>
      </c>
      <c r="C12">
        <f t="shared" si="0"/>
        <v>2.0426381470020516E-2</v>
      </c>
      <c r="D12">
        <v>1.5090082592448406</v>
      </c>
      <c r="E12">
        <f t="shared" si="1"/>
        <v>1509.0082592448407</v>
      </c>
      <c r="F12">
        <f t="shared" si="2"/>
        <v>30.823578344746728</v>
      </c>
      <c r="G12">
        <f t="shared" si="3"/>
        <v>339.05936179221402</v>
      </c>
      <c r="H12">
        <f t="shared" si="4"/>
        <v>0.56548915584315118</v>
      </c>
      <c r="I12">
        <f t="shared" si="5"/>
        <v>191.73439228059669</v>
      </c>
    </row>
    <row r="13" spans="1:9">
      <c r="A13">
        <v>12</v>
      </c>
      <c r="B13" s="1">
        <v>46280</v>
      </c>
      <c r="C13">
        <f t="shared" si="0"/>
        <v>2.0426381470020516E-2</v>
      </c>
      <c r="D13">
        <v>1.539349989998309</v>
      </c>
      <c r="E13">
        <f t="shared" si="1"/>
        <v>1539.349989998309</v>
      </c>
      <c r="F13">
        <f t="shared" si="2"/>
        <v>31.443350111577725</v>
      </c>
      <c r="G13">
        <f t="shared" si="3"/>
        <v>377.32020133893269</v>
      </c>
      <c r="H13">
        <f t="shared" si="4"/>
        <v>0.53692966303314615</v>
      </c>
      <c r="I13">
        <f t="shared" si="5"/>
        <v>202.59440856051199</v>
      </c>
    </row>
    <row r="14" spans="1:9">
      <c r="A14">
        <v>13</v>
      </c>
      <c r="B14" s="1">
        <v>46461</v>
      </c>
      <c r="C14">
        <f t="shared" si="0"/>
        <v>2.0426381470020516E-2</v>
      </c>
      <c r="D14">
        <v>1.5992405990160838</v>
      </c>
      <c r="E14">
        <f t="shared" si="1"/>
        <v>1599.2405990160839</v>
      </c>
      <c r="F14">
        <f t="shared" si="2"/>
        <v>32.666698537846649</v>
      </c>
      <c r="G14">
        <f t="shared" si="3"/>
        <v>424.66708099200645</v>
      </c>
      <c r="H14">
        <f t="shared" si="4"/>
        <v>0.50981254028653988</v>
      </c>
      <c r="I14">
        <f t="shared" si="5"/>
        <v>216.50060333660457</v>
      </c>
    </row>
    <row r="15" spans="1:9">
      <c r="A15">
        <v>14</v>
      </c>
      <c r="B15" s="1">
        <v>46645</v>
      </c>
      <c r="C15">
        <f t="shared" si="0"/>
        <v>2.0426381470020516E-2</v>
      </c>
      <c r="D15">
        <v>1.6315801916278398</v>
      </c>
      <c r="E15">
        <f t="shared" si="1"/>
        <v>1631.5801916278399</v>
      </c>
      <c r="F15">
        <f t="shared" si="2"/>
        <v>33.327279393119433</v>
      </c>
      <c r="G15">
        <f t="shared" si="3"/>
        <v>466.58191150367207</v>
      </c>
      <c r="H15">
        <f t="shared" si="4"/>
        <v>0.48406494207299899</v>
      </c>
      <c r="I15">
        <f t="shared" si="5"/>
        <v>225.85594596433415</v>
      </c>
    </row>
    <row r="16" spans="1:9">
      <c r="A16">
        <v>15</v>
      </c>
      <c r="B16" s="1">
        <v>46827</v>
      </c>
      <c r="C16">
        <f t="shared" si="0"/>
        <v>2.0426381470020516E-2</v>
      </c>
      <c r="D16">
        <v>1.6954532198032819</v>
      </c>
      <c r="E16">
        <f t="shared" si="1"/>
        <v>1695.4532198032819</v>
      </c>
      <c r="F16">
        <f t="shared" si="2"/>
        <v>34.631974232276377</v>
      </c>
      <c r="G16">
        <f t="shared" si="3"/>
        <v>519.4796134841456</v>
      </c>
      <c r="H16">
        <f t="shared" si="4"/>
        <v>0.45961770185652384</v>
      </c>
      <c r="I16">
        <f t="shared" si="5"/>
        <v>238.76202611089826</v>
      </c>
    </row>
    <row r="17" spans="1:11">
      <c r="A17">
        <v>16</v>
      </c>
      <c r="B17" s="1">
        <v>47011</v>
      </c>
      <c r="C17">
        <f t="shared" si="0"/>
        <v>2.0426381470020516E-2</v>
      </c>
      <c r="D17">
        <v>1.7299501778144089</v>
      </c>
      <c r="E17">
        <f t="shared" si="1"/>
        <v>1729.9501778144088</v>
      </c>
      <c r="F17">
        <f t="shared" si="2"/>
        <v>35.336622256166933</v>
      </c>
      <c r="G17">
        <f t="shared" si="3"/>
        <v>565.38595609867093</v>
      </c>
      <c r="H17">
        <f t="shared" si="4"/>
        <v>0.43640514629133226</v>
      </c>
      <c r="I17">
        <f t="shared" si="5"/>
        <v>246.73734088230523</v>
      </c>
    </row>
    <row r="18" spans="1:11">
      <c r="A18">
        <v>17</v>
      </c>
      <c r="B18" s="1">
        <v>47192</v>
      </c>
      <c r="C18">
        <f t="shared" si="0"/>
        <v>2.0426381470020516E-2</v>
      </c>
      <c r="D18">
        <v>1.7980374125995822</v>
      </c>
      <c r="E18">
        <f t="shared" si="1"/>
        <v>1798.0374125995822</v>
      </c>
      <c r="F18">
        <f t="shared" si="2"/>
        <v>36.727398087127739</v>
      </c>
      <c r="G18">
        <f t="shared" si="3"/>
        <v>624.36576748117159</v>
      </c>
      <c r="H18">
        <f t="shared" si="4"/>
        <v>0.4143649188016057</v>
      </c>
      <c r="I18">
        <f t="shared" si="5"/>
        <v>258.71527054483789</v>
      </c>
    </row>
    <row r="19" spans="1:11">
      <c r="A19">
        <v>18</v>
      </c>
      <c r="B19" s="1">
        <v>47376</v>
      </c>
      <c r="C19">
        <f t="shared" si="0"/>
        <v>2.0426381470020516E-2</v>
      </c>
      <c r="D19">
        <v>1.8348154852388772</v>
      </c>
      <c r="E19">
        <f t="shared" si="1"/>
        <v>1834.8154852388773</v>
      </c>
      <c r="F19">
        <f t="shared" si="2"/>
        <v>37.478641028590104</v>
      </c>
      <c r="G19">
        <f t="shared" si="3"/>
        <v>674.6155385146219</v>
      </c>
      <c r="H19">
        <f t="shared" si="4"/>
        <v>0.39343781207117146</v>
      </c>
      <c r="I19">
        <f t="shared" si="5"/>
        <v>265.41926146240792</v>
      </c>
    </row>
    <row r="20" spans="1:11">
      <c r="A20">
        <v>19</v>
      </c>
      <c r="B20" s="1">
        <v>47557</v>
      </c>
      <c r="C20">
        <f t="shared" si="0"/>
        <v>2.0426381470020516E-2</v>
      </c>
      <c r="D20">
        <v>1.9073412216789085</v>
      </c>
      <c r="E20">
        <f t="shared" si="1"/>
        <v>1907.3412216789086</v>
      </c>
      <c r="F20">
        <f t="shared" si="2"/>
        <v>38.960079387508351</v>
      </c>
      <c r="G20">
        <f t="shared" si="3"/>
        <v>740.24150836265869</v>
      </c>
      <c r="H20">
        <f t="shared" si="4"/>
        <v>0.37356760899313524</v>
      </c>
      <c r="I20">
        <f t="shared" si="5"/>
        <v>276.53025035651035</v>
      </c>
    </row>
    <row r="21" spans="1:11">
      <c r="A21">
        <v>20</v>
      </c>
      <c r="B21" s="1">
        <v>47741</v>
      </c>
      <c r="C21">
        <f t="shared" si="0"/>
        <v>2.0426381470020516E-2</v>
      </c>
      <c r="D21">
        <v>1.9465207820149035</v>
      </c>
      <c r="E21">
        <f t="shared" si="1"/>
        <v>1946.5207820149035</v>
      </c>
      <c r="F21">
        <f t="shared" si="2"/>
        <v>39.760376032759069</v>
      </c>
      <c r="G21">
        <f t="shared" si="3"/>
        <v>795.20752065518138</v>
      </c>
      <c r="H21">
        <f t="shared" si="4"/>
        <v>0.35470093165220062</v>
      </c>
      <c r="I21">
        <f t="shared" si="5"/>
        <v>282.06084843322941</v>
      </c>
    </row>
    <row r="22" spans="1:11">
      <c r="H22" t="s">
        <v>4</v>
      </c>
      <c r="I22">
        <f>SUM(I2:I21)</f>
        <v>3444.8863489892274</v>
      </c>
    </row>
    <row r="23" spans="1:11">
      <c r="A23" t="s">
        <v>98</v>
      </c>
      <c r="B23" s="8">
        <v>1000</v>
      </c>
      <c r="H23" t="s">
        <v>5</v>
      </c>
      <c r="I23">
        <f>(A21*B25)*H21</f>
        <v>13808.654697221129</v>
      </c>
    </row>
    <row r="24" spans="1:11">
      <c r="A24" t="s">
        <v>79</v>
      </c>
      <c r="B24" s="12">
        <v>4.1270000000000001E-2</v>
      </c>
      <c r="H24" t="s">
        <v>6</v>
      </c>
      <c r="I24">
        <f>SUM(I22:I23)</f>
        <v>17253.541046210357</v>
      </c>
    </row>
    <row r="25" spans="1:11">
      <c r="A25" t="s">
        <v>111</v>
      </c>
      <c r="B25">
        <f>B23*D21</f>
        <v>1946.5207820149035</v>
      </c>
      <c r="H25" t="s">
        <v>89</v>
      </c>
      <c r="I25">
        <f>(I24/B26)/2</f>
        <v>8.2840380727320841</v>
      </c>
    </row>
    <row r="26" spans="1:11">
      <c r="A26" t="s">
        <v>90</v>
      </c>
      <c r="B26">
        <v>1041.372631</v>
      </c>
      <c r="H26" t="s">
        <v>18</v>
      </c>
      <c r="I26">
        <f>I25/(1+B27)</f>
        <v>7.8656605966454842</v>
      </c>
    </row>
    <row r="27" spans="1:11">
      <c r="A27" t="s">
        <v>101</v>
      </c>
      <c r="B27">
        <v>5.3190380000000002E-2</v>
      </c>
    </row>
    <row r="28" spans="1:11">
      <c r="A28" t="s">
        <v>119</v>
      </c>
      <c r="B28">
        <f>F5/B26</f>
        <v>2.3323180327498375E-2</v>
      </c>
      <c r="K28" s="6"/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45C7F-7044-4871-955F-9296AAFB2141}">
  <dimension ref="A1:L31"/>
  <sheetViews>
    <sheetView topLeftCell="A22" workbookViewId="0">
      <selection activeCell="B29" sqref="B29"/>
    </sheetView>
  </sheetViews>
  <sheetFormatPr defaultRowHeight="15"/>
  <cols>
    <col min="2" max="2" width="10.7109375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44301</v>
      </c>
      <c r="C2">
        <f>(1+$B$24)^(1/2)-1</f>
        <v>2.2127193650574917E-2</v>
      </c>
      <c r="D2">
        <v>1.0557441598180293</v>
      </c>
      <c r="E2">
        <f>$B$23*D2</f>
        <v>1055.7441598180292</v>
      </c>
      <c r="F2">
        <f>C2*E2</f>
        <v>23.360655469757045</v>
      </c>
      <c r="G2">
        <f>A2*F2</f>
        <v>23.360655469757045</v>
      </c>
      <c r="H2">
        <f>(1+$B$27)^(-A2)</f>
        <v>0.94892445438765438</v>
      </c>
      <c r="I2">
        <f>G2*H2</f>
        <v>22.167497245777177</v>
      </c>
    </row>
    <row r="3" spans="1:9">
      <c r="A3">
        <v>2</v>
      </c>
      <c r="B3" s="1">
        <v>44484</v>
      </c>
      <c r="C3">
        <f t="shared" ref="C3:C21" si="0">(1+$B$24)^(1/2)-1</f>
        <v>2.2127193650574917E-2</v>
      </c>
      <c r="D3">
        <v>1.1162445531207754</v>
      </c>
      <c r="E3">
        <f t="shared" ref="E3:E21" si="1">$B$23*D3</f>
        <v>1116.2445531207754</v>
      </c>
      <c r="F3">
        <f t="shared" ref="F3:F21" si="2">C3*E3</f>
        <v>24.699359388302856</v>
      </c>
      <c r="G3">
        <f t="shared" ref="G3:G21" si="3">A3*F3</f>
        <v>49.398718776605712</v>
      </c>
      <c r="H3">
        <f t="shared" ref="H3:H21" si="4">(1+$B$27)^(-A3)</f>
        <v>0.90045762013490771</v>
      </c>
      <c r="I3">
        <f t="shared" ref="I3:I21" si="5">G3*H3</f>
        <v>44.481452747295961</v>
      </c>
    </row>
    <row r="4" spans="1:9">
      <c r="A4">
        <v>3</v>
      </c>
      <c r="B4" s="1">
        <v>44666</v>
      </c>
      <c r="C4">
        <f t="shared" si="0"/>
        <v>2.2127193650574917E-2</v>
      </c>
      <c r="D4">
        <v>1.1838215633725142</v>
      </c>
      <c r="E4">
        <f t="shared" si="1"/>
        <v>1183.8215633725142</v>
      </c>
      <c r="F4">
        <f t="shared" si="2"/>
        <v>26.194648980469967</v>
      </c>
      <c r="G4">
        <f t="shared" si="3"/>
        <v>78.583946941409906</v>
      </c>
      <c r="H4">
        <f t="shared" si="4"/>
        <v>0.85446625588572311</v>
      </c>
      <c r="I4">
        <f t="shared" si="5"/>
        <v>67.147330915748839</v>
      </c>
    </row>
    <row r="5" spans="1:9">
      <c r="A5">
        <v>4</v>
      </c>
      <c r="B5" s="1">
        <v>44849</v>
      </c>
      <c r="C5">
        <f t="shared" si="0"/>
        <v>2.2127193650574917E-2</v>
      </c>
      <c r="D5">
        <v>1.1853938658327898</v>
      </c>
      <c r="E5">
        <f t="shared" si="1"/>
        <v>1185.3938658327897</v>
      </c>
      <c r="F5">
        <f t="shared" si="2"/>
        <v>26.22943962148576</v>
      </c>
      <c r="G5">
        <f t="shared" si="3"/>
        <v>104.91775848594304</v>
      </c>
      <c r="H5">
        <f t="shared" si="4"/>
        <v>0.81082392565902173</v>
      </c>
      <c r="I5">
        <f t="shared" si="5"/>
        <v>85.069828806917471</v>
      </c>
    </row>
    <row r="6" spans="1:9">
      <c r="A6">
        <v>5</v>
      </c>
      <c r="B6" s="1">
        <v>45031</v>
      </c>
      <c r="C6">
        <f t="shared" si="0"/>
        <v>2.2127193650574917E-2</v>
      </c>
      <c r="D6">
        <v>1.2650514934450379</v>
      </c>
      <c r="E6">
        <f t="shared" si="1"/>
        <v>1265.051493445038</v>
      </c>
      <c r="F6">
        <f t="shared" si="2"/>
        <v>27.992039373407358</v>
      </c>
      <c r="G6">
        <f t="shared" si="3"/>
        <v>139.96019686703679</v>
      </c>
      <c r="H6">
        <f t="shared" si="4"/>
        <v>0.76941065126044328</v>
      </c>
      <c r="I6">
        <f t="shared" si="5"/>
        <v>107.68686622200663</v>
      </c>
    </row>
    <row r="7" spans="1:9">
      <c r="A7">
        <v>6</v>
      </c>
      <c r="B7" s="1">
        <v>45214</v>
      </c>
      <c r="C7">
        <f t="shared" si="0"/>
        <v>2.2127193650574917E-2</v>
      </c>
      <c r="D7">
        <v>1.2847561353702786</v>
      </c>
      <c r="E7">
        <f t="shared" si="1"/>
        <v>1284.7561353702786</v>
      </c>
      <c r="F7">
        <f t="shared" si="2"/>
        <v>28.428047801102394</v>
      </c>
      <c r="G7">
        <f t="shared" si="3"/>
        <v>170.56828680661437</v>
      </c>
      <c r="H7">
        <f t="shared" si="4"/>
        <v>0.7301125824473661</v>
      </c>
      <c r="I7">
        <f t="shared" si="5"/>
        <v>124.53405236400022</v>
      </c>
    </row>
    <row r="8" spans="1:9">
      <c r="A8">
        <v>7</v>
      </c>
      <c r="B8" s="1">
        <v>45397</v>
      </c>
      <c r="C8">
        <f t="shared" si="0"/>
        <v>2.2127193650574917E-2</v>
      </c>
      <c r="D8">
        <v>1.3451795237419679</v>
      </c>
      <c r="E8">
        <f t="shared" si="1"/>
        <v>1345.1795237419678</v>
      </c>
      <c r="F8">
        <f t="shared" si="2"/>
        <v>29.765047816626662</v>
      </c>
      <c r="G8">
        <f t="shared" si="3"/>
        <v>208.35533471638664</v>
      </c>
      <c r="H8">
        <f t="shared" si="4"/>
        <v>0.6928216839404282</v>
      </c>
      <c r="I8">
        <f t="shared" si="5"/>
        <v>144.35309385617856</v>
      </c>
    </row>
    <row r="9" spans="1:9">
      <c r="A9">
        <v>8</v>
      </c>
      <c r="B9" s="1">
        <v>45580</v>
      </c>
      <c r="C9">
        <f t="shared" si="0"/>
        <v>2.2127193650574917E-2</v>
      </c>
      <c r="D9">
        <v>1.3638134322388682</v>
      </c>
      <c r="E9">
        <f t="shared" si="1"/>
        <v>1363.8134322388682</v>
      </c>
      <c r="F9">
        <f t="shared" si="2"/>
        <v>30.177363918404669</v>
      </c>
      <c r="G9">
        <f t="shared" si="3"/>
        <v>241.41891134723735</v>
      </c>
      <c r="H9">
        <f t="shared" si="4"/>
        <v>0.65743543842110685</v>
      </c>
      <c r="I9">
        <f t="shared" si="5"/>
        <v>158.71734782471731</v>
      </c>
    </row>
    <row r="10" spans="1:9">
      <c r="A10">
        <v>9</v>
      </c>
      <c r="B10" s="1">
        <v>45762</v>
      </c>
      <c r="C10">
        <f t="shared" si="0"/>
        <v>2.2127193650574917E-2</v>
      </c>
      <c r="D10">
        <v>1.4259926785190515</v>
      </c>
      <c r="E10">
        <f t="shared" si="1"/>
        <v>1425.9926785190514</v>
      </c>
      <c r="F10">
        <f t="shared" si="2"/>
        <v>31.553216141893074</v>
      </c>
      <c r="G10">
        <f t="shared" si="3"/>
        <v>283.97894527703767</v>
      </c>
      <c r="H10">
        <f t="shared" si="4"/>
        <v>0.62385656469885709</v>
      </c>
      <c r="I10">
        <f t="shared" si="5"/>
        <v>177.16212924733745</v>
      </c>
    </row>
    <row r="11" spans="1:9">
      <c r="A11">
        <v>10</v>
      </c>
      <c r="B11" s="1">
        <v>45945</v>
      </c>
      <c r="C11">
        <f t="shared" si="0"/>
        <v>2.2127193650574917E-2</v>
      </c>
      <c r="D11">
        <v>1.445149345704789</v>
      </c>
      <c r="E11">
        <f t="shared" si="1"/>
        <v>1445.1493457047891</v>
      </c>
      <c r="F11">
        <f t="shared" si="2"/>
        <v>31.977099426411506</v>
      </c>
      <c r="G11">
        <f t="shared" si="3"/>
        <v>319.77099426411507</v>
      </c>
      <c r="H11">
        <f t="shared" si="4"/>
        <v>0.59199275027301945</v>
      </c>
      <c r="I11">
        <f t="shared" si="5"/>
        <v>189.3021103519514</v>
      </c>
    </row>
    <row r="12" spans="1:9">
      <c r="A12">
        <v>11</v>
      </c>
      <c r="B12" s="1">
        <v>46127</v>
      </c>
      <c r="C12">
        <f t="shared" si="0"/>
        <v>2.2127193650574917E-2</v>
      </c>
      <c r="D12">
        <v>1.510967642553303</v>
      </c>
      <c r="E12">
        <f t="shared" si="1"/>
        <v>1510.967642553303</v>
      </c>
      <c r="F12">
        <f t="shared" si="2"/>
        <v>33.433473626529597</v>
      </c>
      <c r="G12">
        <f t="shared" si="3"/>
        <v>367.76820989182556</v>
      </c>
      <c r="H12">
        <f t="shared" si="4"/>
        <v>0.56175639755427198</v>
      </c>
      <c r="I12">
        <f t="shared" si="5"/>
        <v>206.59614472381531</v>
      </c>
    </row>
    <row r="13" spans="1:9">
      <c r="A13">
        <v>12</v>
      </c>
      <c r="B13" s="1">
        <v>46310</v>
      </c>
      <c r="C13">
        <f t="shared" si="0"/>
        <v>2.2127193650574917E-2</v>
      </c>
      <c r="D13">
        <v>1.5312447965707623</v>
      </c>
      <c r="E13">
        <f t="shared" si="1"/>
        <v>1531.2447965707622</v>
      </c>
      <c r="F13">
        <f t="shared" si="2"/>
        <v>33.882150140156448</v>
      </c>
      <c r="G13">
        <f t="shared" si="3"/>
        <v>406.58580168187734</v>
      </c>
      <c r="H13">
        <f t="shared" si="4"/>
        <v>0.53306438304796189</v>
      </c>
      <c r="I13">
        <f t="shared" si="5"/>
        <v>216.73640952961094</v>
      </c>
    </row>
    <row r="14" spans="1:9">
      <c r="A14">
        <v>13</v>
      </c>
      <c r="B14" s="1">
        <v>46492</v>
      </c>
      <c r="C14">
        <f t="shared" si="0"/>
        <v>2.2127193650574917E-2</v>
      </c>
      <c r="D14">
        <v>1.6013865220578296</v>
      </c>
      <c r="E14">
        <f t="shared" si="1"/>
        <v>1601.3865220578296</v>
      </c>
      <c r="F14">
        <f t="shared" si="2"/>
        <v>35.434189682994258</v>
      </c>
      <c r="G14">
        <f t="shared" si="3"/>
        <v>460.64446587892536</v>
      </c>
      <c r="H14">
        <f t="shared" si="4"/>
        <v>0.50583782883727879</v>
      </c>
      <c r="I14">
        <f t="shared" si="5"/>
        <v>233.01139648610356</v>
      </c>
    </row>
    <row r="15" spans="1:9">
      <c r="A15">
        <v>14</v>
      </c>
      <c r="B15" s="1">
        <v>46675</v>
      </c>
      <c r="C15">
        <f t="shared" si="0"/>
        <v>2.2127193650574917E-2</v>
      </c>
      <c r="D15">
        <v>1.6229994866872988</v>
      </c>
      <c r="E15">
        <f t="shared" si="1"/>
        <v>1622.9994866872987</v>
      </c>
      <c r="F15">
        <f t="shared" si="2"/>
        <v>35.912423936713544</v>
      </c>
      <c r="G15">
        <f t="shared" si="3"/>
        <v>502.77393511398964</v>
      </c>
      <c r="H15">
        <f t="shared" si="4"/>
        <v>0.48000188573805064</v>
      </c>
      <c r="I15">
        <f t="shared" si="5"/>
        <v>241.33243695465535</v>
      </c>
    </row>
    <row r="16" spans="1:9">
      <c r="A16">
        <v>15</v>
      </c>
      <c r="B16" s="1">
        <v>46858</v>
      </c>
      <c r="C16">
        <f t="shared" si="0"/>
        <v>2.2127193650574917E-2</v>
      </c>
      <c r="D16">
        <v>1.6978082785341637</v>
      </c>
      <c r="E16">
        <f t="shared" si="1"/>
        <v>1697.8082785341637</v>
      </c>
      <c r="F16">
        <f t="shared" si="2"/>
        <v>37.567732560674678</v>
      </c>
      <c r="G16">
        <f t="shared" si="3"/>
        <v>563.51598841012014</v>
      </c>
      <c r="H16">
        <f t="shared" si="4"/>
        <v>0.45548552752902488</v>
      </c>
      <c r="I16">
        <f t="shared" si="5"/>
        <v>256.67337725202344</v>
      </c>
    </row>
    <row r="17" spans="1:12">
      <c r="A17">
        <v>16</v>
      </c>
      <c r="B17" s="1">
        <v>47041</v>
      </c>
      <c r="C17">
        <f t="shared" si="0"/>
        <v>2.2127193650574917E-2</v>
      </c>
      <c r="D17">
        <v>1.7208637976101584</v>
      </c>
      <c r="E17">
        <f t="shared" si="1"/>
        <v>1720.8637976101584</v>
      </c>
      <c r="F17">
        <f t="shared" si="2"/>
        <v>38.077886495983734</v>
      </c>
      <c r="G17">
        <f t="shared" si="3"/>
        <v>609.24618393573974</v>
      </c>
      <c r="H17">
        <f t="shared" si="4"/>
        <v>0.43222135569195297</v>
      </c>
      <c r="I17">
        <f t="shared" si="5"/>
        <v>263.32921157085434</v>
      </c>
    </row>
    <row r="18" spans="1:12">
      <c r="A18">
        <v>17</v>
      </c>
      <c r="B18" s="1">
        <v>47223</v>
      </c>
      <c r="C18">
        <f t="shared" si="0"/>
        <v>2.2127193650574917E-2</v>
      </c>
      <c r="D18">
        <v>1.8006082244608457</v>
      </c>
      <c r="E18">
        <f t="shared" si="1"/>
        <v>1800.6082244608456</v>
      </c>
      <c r="F18">
        <f t="shared" si="2"/>
        <v>39.842406871462998</v>
      </c>
      <c r="G18">
        <f t="shared" si="3"/>
        <v>677.320916814871</v>
      </c>
      <c r="H18">
        <f t="shared" si="4"/>
        <v>0.41014541412467881</v>
      </c>
      <c r="I18">
        <f t="shared" si="5"/>
        <v>277.80006792234241</v>
      </c>
    </row>
    <row r="19" spans="1:12">
      <c r="A19">
        <v>18</v>
      </c>
      <c r="B19" s="1">
        <v>47406</v>
      </c>
      <c r="C19">
        <f t="shared" si="0"/>
        <v>2.2127193650574917E-2</v>
      </c>
      <c r="D19">
        <v>1.825188990775527</v>
      </c>
      <c r="E19">
        <f t="shared" si="1"/>
        <v>1825.1889907755269</v>
      </c>
      <c r="F19">
        <f t="shared" si="2"/>
        <v>40.386310247787478</v>
      </c>
      <c r="G19">
        <f t="shared" si="3"/>
        <v>726.95358446017462</v>
      </c>
      <c r="H19">
        <f t="shared" si="4"/>
        <v>0.38919701331785939</v>
      </c>
      <c r="I19">
        <f t="shared" si="5"/>
        <v>282.92816389261219</v>
      </c>
    </row>
    <row r="20" spans="1:12">
      <c r="A20">
        <v>19</v>
      </c>
      <c r="B20" s="1">
        <v>47588</v>
      </c>
      <c r="C20">
        <f t="shared" si="0"/>
        <v>2.2127193650574917E-2</v>
      </c>
      <c r="D20">
        <v>1.9101309376170896</v>
      </c>
      <c r="E20">
        <f t="shared" si="1"/>
        <v>1910.1309376170896</v>
      </c>
      <c r="F20">
        <f t="shared" si="2"/>
        <v>42.265837154607574</v>
      </c>
      <c r="G20">
        <f t="shared" si="3"/>
        <v>803.05090593754392</v>
      </c>
      <c r="H20">
        <f t="shared" si="4"/>
        <v>0.36931856351195441</v>
      </c>
      <c r="I20">
        <f t="shared" si="5"/>
        <v>296.58160700782736</v>
      </c>
    </row>
    <row r="21" spans="1:12">
      <c r="A21">
        <v>20</v>
      </c>
      <c r="B21" s="1">
        <v>47771</v>
      </c>
      <c r="C21">
        <f t="shared" si="0"/>
        <v>2.2127193650574917E-2</v>
      </c>
      <c r="D21">
        <v>1.9357735784018995</v>
      </c>
      <c r="E21">
        <f t="shared" si="1"/>
        <v>1935.7735784018994</v>
      </c>
      <c r="F21">
        <f t="shared" si="2"/>
        <v>42.833236832965191</v>
      </c>
      <c r="G21">
        <f t="shared" si="3"/>
        <v>856.6647366593038</v>
      </c>
      <c r="H21">
        <f t="shared" si="4"/>
        <v>0.35045541637581368</v>
      </c>
      <c r="I21">
        <f t="shared" si="5"/>
        <v>300.22279698041308</v>
      </c>
    </row>
    <row r="22" spans="1:12">
      <c r="H22" t="s">
        <v>4</v>
      </c>
      <c r="I22">
        <f>SUM(I2:I21)</f>
        <v>3695.8333219021893</v>
      </c>
    </row>
    <row r="23" spans="1:12">
      <c r="A23" t="s">
        <v>98</v>
      </c>
      <c r="B23" s="8">
        <v>1000</v>
      </c>
      <c r="H23" t="s">
        <v>5</v>
      </c>
      <c r="I23">
        <f>(A21*B25)*H21</f>
        <v>13568.04670856273</v>
      </c>
    </row>
    <row r="24" spans="1:12">
      <c r="A24" t="s">
        <v>79</v>
      </c>
      <c r="B24" s="13">
        <v>4.4743999999999999E-2</v>
      </c>
      <c r="H24" t="s">
        <v>6</v>
      </c>
      <c r="I24">
        <f>SUM(I22:I23)</f>
        <v>17263.880030464919</v>
      </c>
    </row>
    <row r="25" spans="1:12">
      <c r="A25" t="s">
        <v>111</v>
      </c>
      <c r="B25">
        <f>B23*D21</f>
        <v>1935.7735784018994</v>
      </c>
      <c r="H25" t="s">
        <v>89</v>
      </c>
      <c r="I25">
        <f>(I24/B26)/2</f>
        <v>8.1744223613556226</v>
      </c>
    </row>
    <row r="26" spans="1:12">
      <c r="A26" t="s">
        <v>90</v>
      </c>
      <c r="B26">
        <v>1055.969417</v>
      </c>
      <c r="H26" t="s">
        <v>18</v>
      </c>
      <c r="I26">
        <f>I25/(1+B27)</f>
        <v>7.7569092791836258</v>
      </c>
    </row>
    <row r="27" spans="1:12">
      <c r="A27" t="s">
        <v>101</v>
      </c>
      <c r="B27">
        <v>5.3824669999999998E-2</v>
      </c>
    </row>
    <row r="28" spans="1:12">
      <c r="A28" t="s">
        <v>119</v>
      </c>
      <c r="B28">
        <f>F5/B26</f>
        <v>2.4839203862554438E-2</v>
      </c>
    </row>
    <row r="29" spans="1:12">
      <c r="A29" t="s">
        <v>19</v>
      </c>
      <c r="B29" t="s">
        <v>154</v>
      </c>
    </row>
    <row r="31" spans="1:12">
      <c r="L31" s="6"/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7599-7FF3-4169-B034-A1FBFEDEF07C}">
  <dimension ref="A1:M17"/>
  <sheetViews>
    <sheetView workbookViewId="0">
      <selection activeCell="B17" sqref="B17"/>
    </sheetView>
  </sheetViews>
  <sheetFormatPr defaultRowHeight="15"/>
  <cols>
    <col min="2" max="2" width="11.28515625" customWidth="1"/>
    <col min="4" max="4" width="10.7109375" bestFit="1" customWidth="1"/>
    <col min="6" max="6" width="9.5703125" bestFit="1" customWidth="1"/>
    <col min="13" max="13" width="10" bestFit="1" customWidth="1"/>
  </cols>
  <sheetData>
    <row r="1" spans="1:13">
      <c r="A1" t="s">
        <v>96</v>
      </c>
      <c r="B1" t="s">
        <v>0</v>
      </c>
      <c r="C1" t="s">
        <v>121</v>
      </c>
      <c r="D1" t="s">
        <v>141</v>
      </c>
      <c r="E1" t="s">
        <v>116</v>
      </c>
      <c r="F1" t="s">
        <v>142</v>
      </c>
      <c r="G1" t="s">
        <v>107</v>
      </c>
      <c r="H1" t="s">
        <v>12</v>
      </c>
      <c r="I1" t="s">
        <v>3</v>
      </c>
      <c r="J1" t="s">
        <v>102</v>
      </c>
    </row>
    <row r="2" spans="1:13">
      <c r="A2">
        <v>0</v>
      </c>
      <c r="B2" s="1">
        <v>44098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3">
      <c r="A3">
        <v>1</v>
      </c>
      <c r="B3" s="1">
        <v>44252</v>
      </c>
      <c r="C3">
        <v>1.9E-2</v>
      </c>
      <c r="D3" s="14">
        <f>(1+C3)^(NETWORKDAYS.INTL(B2,B3)/252)-1</f>
        <v>8.3249962573384018E-3</v>
      </c>
      <c r="E3">
        <f>2.32/100</f>
        <v>2.3199999999999998E-2</v>
      </c>
      <c r="F3" s="14">
        <f>D3+E3</f>
        <v>3.15249962573384E-2</v>
      </c>
      <c r="G3">
        <f>$B$14*F3</f>
        <v>31.524996257338401</v>
      </c>
      <c r="H3">
        <f>A3*G3</f>
        <v>31.524996257338401</v>
      </c>
      <c r="I3">
        <f>(1+$B$16)^(-A3)</f>
        <v>0.93622486758175916</v>
      </c>
      <c r="J3">
        <f>H3*I3</f>
        <v>29.514485446542096</v>
      </c>
    </row>
    <row r="4" spans="1:13">
      <c r="A4">
        <v>2</v>
      </c>
      <c r="B4" s="1">
        <v>44433</v>
      </c>
      <c r="C4">
        <v>5.1499999999999997E-2</v>
      </c>
      <c r="D4" s="14">
        <f t="shared" ref="D4:D12" si="0">(1+C4)^(NETWORKDAYS.INTL(B3,B4)/252)-1</f>
        <v>2.6244440717754669E-2</v>
      </c>
      <c r="E4">
        <f t="shared" ref="E4:E12" si="1">2.32/100</f>
        <v>2.3199999999999998E-2</v>
      </c>
      <c r="F4" s="14">
        <f t="shared" ref="F4:F12" si="2">D4+E4</f>
        <v>4.9444440717754667E-2</v>
      </c>
      <c r="G4">
        <f t="shared" ref="G4:G12" si="3">$B$14*F4</f>
        <v>49.444440717754667</v>
      </c>
      <c r="H4">
        <f t="shared" ref="H4:H12" si="4">A4*G4</f>
        <v>98.888881435509333</v>
      </c>
      <c r="I4">
        <f t="shared" ref="I4:I12" si="5">(1+$B$16)^(-A4)</f>
        <v>0.87651700267848232</v>
      </c>
      <c r="J4">
        <f t="shared" ref="J4:J12" si="6">H4*I4</f>
        <v>86.677785954080449</v>
      </c>
    </row>
    <row r="5" spans="1:13">
      <c r="A5">
        <v>3</v>
      </c>
      <c r="B5" s="1">
        <v>44617</v>
      </c>
      <c r="C5">
        <v>0.1065</v>
      </c>
      <c r="D5" s="14">
        <f t="shared" si="0"/>
        <v>5.4864268922984127E-2</v>
      </c>
      <c r="E5">
        <f t="shared" si="1"/>
        <v>2.3199999999999998E-2</v>
      </c>
      <c r="F5" s="14">
        <f t="shared" si="2"/>
        <v>7.8064268922984126E-2</v>
      </c>
      <c r="G5">
        <f t="shared" si="3"/>
        <v>78.064268922984127</v>
      </c>
      <c r="H5">
        <f t="shared" si="4"/>
        <v>234.19280676895238</v>
      </c>
      <c r="I5">
        <f t="shared" si="5"/>
        <v>0.82061701476582249</v>
      </c>
      <c r="J5">
        <f t="shared" si="6"/>
        <v>192.18260197036682</v>
      </c>
    </row>
    <row r="6" spans="1:13">
      <c r="A6">
        <v>4</v>
      </c>
      <c r="B6" s="1">
        <v>44798</v>
      </c>
      <c r="C6">
        <v>0.13650000000000001</v>
      </c>
      <c r="D6" s="14">
        <f t="shared" si="0"/>
        <v>6.8234929658265164E-2</v>
      </c>
      <c r="E6">
        <f t="shared" si="1"/>
        <v>2.3199999999999998E-2</v>
      </c>
      <c r="F6" s="14">
        <f t="shared" si="2"/>
        <v>9.1434929658265163E-2</v>
      </c>
      <c r="G6">
        <f t="shared" si="3"/>
        <v>91.434929658265162</v>
      </c>
      <c r="H6">
        <f t="shared" si="4"/>
        <v>365.73971863306065</v>
      </c>
      <c r="I6">
        <f t="shared" si="5"/>
        <v>0.76828205598447064</v>
      </c>
      <c r="J6">
        <f t="shared" si="6"/>
        <v>280.99126298658962</v>
      </c>
    </row>
    <row r="7" spans="1:13">
      <c r="A7">
        <v>5</v>
      </c>
      <c r="B7" s="1">
        <v>44982</v>
      </c>
      <c r="C7">
        <v>0.13683999999999999</v>
      </c>
      <c r="D7" s="14">
        <f t="shared" si="0"/>
        <v>6.9487832216176715E-2</v>
      </c>
      <c r="E7">
        <f t="shared" si="1"/>
        <v>2.3199999999999998E-2</v>
      </c>
      <c r="F7" s="14">
        <f t="shared" si="2"/>
        <v>9.2687832216176713E-2</v>
      </c>
      <c r="G7">
        <f t="shared" si="3"/>
        <v>92.687832216176716</v>
      </c>
      <c r="H7">
        <f t="shared" si="4"/>
        <v>463.43916108088359</v>
      </c>
      <c r="I7">
        <f t="shared" si="5"/>
        <v>0.71928476612950265</v>
      </c>
      <c r="J7">
        <f t="shared" si="6"/>
        <v>333.34472859331629</v>
      </c>
    </row>
    <row r="8" spans="1:13">
      <c r="A8">
        <v>6</v>
      </c>
      <c r="B8" s="1">
        <v>45163</v>
      </c>
      <c r="C8">
        <v>0.13525000000000001</v>
      </c>
      <c r="D8" s="14">
        <f t="shared" si="0"/>
        <v>6.7628660002110097E-2</v>
      </c>
      <c r="E8">
        <f t="shared" si="1"/>
        <v>2.3199999999999998E-2</v>
      </c>
      <c r="F8" s="14">
        <f t="shared" si="2"/>
        <v>9.0828660002110095E-2</v>
      </c>
      <c r="G8">
        <f t="shared" si="3"/>
        <v>90.828660002110098</v>
      </c>
      <c r="H8">
        <f t="shared" si="4"/>
        <v>544.97196001266059</v>
      </c>
      <c r="I8">
        <f t="shared" si="5"/>
        <v>0.67341228492317018</v>
      </c>
      <c r="J8">
        <f t="shared" si="6"/>
        <v>366.9908128111843</v>
      </c>
    </row>
    <row r="9" spans="1:13">
      <c r="A9">
        <v>7</v>
      </c>
      <c r="B9" s="1">
        <v>45347</v>
      </c>
      <c r="C9">
        <v>0.12934999999999999</v>
      </c>
      <c r="D9" s="14">
        <f t="shared" si="0"/>
        <v>6.5276787347437359E-2</v>
      </c>
      <c r="E9">
        <f t="shared" si="1"/>
        <v>2.3199999999999998E-2</v>
      </c>
      <c r="F9" s="14">
        <f t="shared" si="2"/>
        <v>8.8476787347437358E-2</v>
      </c>
      <c r="G9">
        <f t="shared" si="3"/>
        <v>88.476787347437352</v>
      </c>
      <c r="H9">
        <f t="shared" si="4"/>
        <v>619.33751143206143</v>
      </c>
      <c r="I9">
        <f t="shared" si="5"/>
        <v>0.63046532728012483</v>
      </c>
      <c r="J9">
        <f t="shared" si="6"/>
        <v>390.47082684187268</v>
      </c>
    </row>
    <row r="10" spans="1:13">
      <c r="A10">
        <v>8</v>
      </c>
      <c r="B10" s="1">
        <v>45529</v>
      </c>
      <c r="C10">
        <v>0.1205</v>
      </c>
      <c r="D10" s="14">
        <f t="shared" si="0"/>
        <v>6.0450120252372175E-2</v>
      </c>
      <c r="E10">
        <f t="shared" si="1"/>
        <v>2.3199999999999998E-2</v>
      </c>
      <c r="F10" s="14">
        <f t="shared" si="2"/>
        <v>8.3650120252372173E-2</v>
      </c>
      <c r="G10">
        <f t="shared" si="3"/>
        <v>83.650120252372176</v>
      </c>
      <c r="H10">
        <f t="shared" si="4"/>
        <v>669.20096201897741</v>
      </c>
      <c r="I10">
        <f t="shared" si="5"/>
        <v>0.59025731754772526</v>
      </c>
      <c r="J10">
        <f t="shared" si="6"/>
        <v>395.00076474167878</v>
      </c>
    </row>
    <row r="11" spans="1:13">
      <c r="A11">
        <v>9</v>
      </c>
      <c r="B11" s="1">
        <v>45713</v>
      </c>
      <c r="C11">
        <v>0.1171</v>
      </c>
      <c r="D11" s="14">
        <f t="shared" si="0"/>
        <v>5.9719863221608493E-2</v>
      </c>
      <c r="E11">
        <f t="shared" si="1"/>
        <v>2.3199999999999998E-2</v>
      </c>
      <c r="F11" s="14">
        <f t="shared" si="2"/>
        <v>8.2919863221608492E-2</v>
      </c>
      <c r="G11">
        <f t="shared" si="3"/>
        <v>82.919863221608495</v>
      </c>
      <c r="H11">
        <f t="shared" si="4"/>
        <v>746.27876899447642</v>
      </c>
      <c r="I11">
        <f t="shared" si="5"/>
        <v>0.55261357896028351</v>
      </c>
      <c r="J11">
        <f t="shared" si="6"/>
        <v>412.4037814361123</v>
      </c>
    </row>
    <row r="12" spans="1:13">
      <c r="A12">
        <v>10</v>
      </c>
      <c r="B12" s="1">
        <v>45894</v>
      </c>
      <c r="C12">
        <v>0.11559999999999999</v>
      </c>
      <c r="D12" s="14">
        <f t="shared" si="0"/>
        <v>5.8055273355323678E-2</v>
      </c>
      <c r="E12">
        <f t="shared" si="1"/>
        <v>2.3199999999999998E-2</v>
      </c>
      <c r="F12" s="14">
        <f t="shared" si="2"/>
        <v>8.1255273355323676E-2</v>
      </c>
      <c r="G12">
        <f t="shared" si="3"/>
        <v>81.255273355323681</v>
      </c>
      <c r="H12">
        <f t="shared" si="4"/>
        <v>812.55273355323675</v>
      </c>
      <c r="I12">
        <f t="shared" si="5"/>
        <v>0.51737057478597337</v>
      </c>
      <c r="J12">
        <f t="shared" si="6"/>
        <v>420.39087480235196</v>
      </c>
    </row>
    <row r="13" spans="1:13">
      <c r="I13" t="s">
        <v>4</v>
      </c>
      <c r="J13">
        <f>SUM(J3:J12)</f>
        <v>2907.9679255840952</v>
      </c>
    </row>
    <row r="14" spans="1:13">
      <c r="A14" t="s">
        <v>98</v>
      </c>
      <c r="B14" s="8">
        <v>1000</v>
      </c>
      <c r="I14" t="s">
        <v>5</v>
      </c>
      <c r="J14">
        <f>(A12*B14)*I12</f>
        <v>5173.7057478597335</v>
      </c>
    </row>
    <row r="15" spans="1:13">
      <c r="A15" t="s">
        <v>90</v>
      </c>
      <c r="B15">
        <v>1045.5095389999999</v>
      </c>
      <c r="I15" t="s">
        <v>6</v>
      </c>
      <c r="J15">
        <f>SUM(J13:J14)</f>
        <v>8081.6736734438291</v>
      </c>
    </row>
    <row r="16" spans="1:13" ht="18">
      <c r="A16" t="s">
        <v>101</v>
      </c>
      <c r="B16">
        <v>6.8119460000000007E-2</v>
      </c>
      <c r="I16" t="s">
        <v>89</v>
      </c>
      <c r="J16">
        <f>(J15/B15)/2</f>
        <v>3.864944972751621</v>
      </c>
      <c r="M16" s="16"/>
    </row>
    <row r="17" spans="1:10">
      <c r="A17" t="s">
        <v>119</v>
      </c>
      <c r="B17">
        <f>G6/B15</f>
        <v>8.7454897585841324E-2</v>
      </c>
      <c r="I17" t="s">
        <v>18</v>
      </c>
      <c r="J17">
        <f>J16/(1+B16)</f>
        <v>3.6184575953251721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30B4E-37A7-40FE-9BC0-682A556ADAB2}">
  <dimension ref="A1:N16"/>
  <sheetViews>
    <sheetView workbookViewId="0">
      <selection activeCell="B14" sqref="B14"/>
    </sheetView>
  </sheetViews>
  <sheetFormatPr defaultRowHeight="15"/>
  <cols>
    <col min="2" max="2" width="10.7109375" customWidth="1"/>
    <col min="14" max="14" width="10" bestFit="1" customWidth="1"/>
  </cols>
  <sheetData>
    <row r="1" spans="1:14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14">
      <c r="A2">
        <v>1</v>
      </c>
      <c r="B2" s="1">
        <v>44392</v>
      </c>
      <c r="C2" s="10">
        <f>$B$9</f>
        <v>5.8000000000000003E-2</v>
      </c>
      <c r="D2">
        <v>1.0938702677787517</v>
      </c>
      <c r="E2">
        <f>$B$8*D2</f>
        <v>1093.8702677787517</v>
      </c>
      <c r="F2">
        <f>C2*E2</f>
        <v>63.444475531167598</v>
      </c>
      <c r="G2">
        <f>A2*F2</f>
        <v>63.444475531167598</v>
      </c>
      <c r="H2">
        <f>(1+$B$12)^(-A2)</f>
        <v>0.91242022265188494</v>
      </c>
      <c r="I2">
        <f>G2*H2</f>
        <v>57.888022490180006</v>
      </c>
    </row>
    <row r="3" spans="1:14">
      <c r="A3">
        <v>2</v>
      </c>
      <c r="B3" s="1">
        <v>44757</v>
      </c>
      <c r="C3" s="10">
        <f t="shared" ref="C3:C6" si="0">$B$9</f>
        <v>5.8000000000000003E-2</v>
      </c>
      <c r="D3">
        <v>1.2040146378055321</v>
      </c>
      <c r="E3">
        <f t="shared" ref="E3:E6" si="1">$B$8*D3</f>
        <v>1204.0146378055322</v>
      </c>
      <c r="F3">
        <f t="shared" ref="F3:F6" si="2">C3*E3</f>
        <v>69.832848992720869</v>
      </c>
      <c r="G3">
        <f t="shared" ref="G3:G6" si="3">A3*F3</f>
        <v>139.66569798544174</v>
      </c>
      <c r="H3">
        <f t="shared" ref="H3:H6" si="4">(1+$B$12)^(-A3)</f>
        <v>0.83251066270411522</v>
      </c>
      <c r="I3">
        <f t="shared" ref="I3:I6" si="5">G3*H3</f>
        <v>116.27318278689292</v>
      </c>
    </row>
    <row r="4" spans="1:14">
      <c r="A4">
        <v>3</v>
      </c>
      <c r="B4" s="1">
        <v>45122</v>
      </c>
      <c r="C4" s="10">
        <f t="shared" si="0"/>
        <v>5.8000000000000003E-2</v>
      </c>
      <c r="D4">
        <v>1.2955717096528316</v>
      </c>
      <c r="E4">
        <f t="shared" si="1"/>
        <v>1295.5717096528317</v>
      </c>
      <c r="F4">
        <f t="shared" si="2"/>
        <v>75.14315915986424</v>
      </c>
      <c r="G4">
        <f t="shared" si="3"/>
        <v>225.42947747959272</v>
      </c>
      <c r="H4">
        <f t="shared" si="4"/>
        <v>0.7595995642245571</v>
      </c>
      <c r="I4">
        <f t="shared" si="5"/>
        <v>171.23613285686824</v>
      </c>
    </row>
    <row r="5" spans="1:14">
      <c r="A5">
        <v>4</v>
      </c>
      <c r="B5" s="1">
        <v>45488</v>
      </c>
      <c r="C5" s="10">
        <f t="shared" si="0"/>
        <v>5.8000000000000003E-2</v>
      </c>
      <c r="D5">
        <v>1.375897842297471</v>
      </c>
      <c r="E5">
        <f t="shared" si="1"/>
        <v>1375.897842297471</v>
      </c>
      <c r="F5">
        <f t="shared" si="2"/>
        <v>79.802074853253316</v>
      </c>
      <c r="G5">
        <f t="shared" si="3"/>
        <v>319.20829941301326</v>
      </c>
      <c r="H5">
        <f t="shared" si="4"/>
        <v>0.6930740035160452</v>
      </c>
      <c r="I5">
        <f t="shared" si="5"/>
        <v>221.23497402972558</v>
      </c>
    </row>
    <row r="6" spans="1:14">
      <c r="A6">
        <v>5</v>
      </c>
      <c r="B6" s="1">
        <v>45853</v>
      </c>
      <c r="C6" s="10">
        <f t="shared" si="0"/>
        <v>5.8000000000000003E-2</v>
      </c>
      <c r="D6">
        <v>1.4581098245733359</v>
      </c>
      <c r="E6">
        <f t="shared" si="1"/>
        <v>1458.109824573336</v>
      </c>
      <c r="F6">
        <f t="shared" si="2"/>
        <v>84.570369825253493</v>
      </c>
      <c r="G6">
        <f t="shared" si="3"/>
        <v>422.85184912626744</v>
      </c>
      <c r="H6">
        <f t="shared" si="4"/>
        <v>0.63237473660234311</v>
      </c>
      <c r="I6">
        <f t="shared" si="5"/>
        <v>267.40082671303708</v>
      </c>
    </row>
    <row r="7" spans="1:14">
      <c r="H7" t="s">
        <v>4</v>
      </c>
      <c r="I7">
        <f>SUM(I2:I6)</f>
        <v>834.03313887670379</v>
      </c>
    </row>
    <row r="8" spans="1:14">
      <c r="A8" t="s">
        <v>98</v>
      </c>
      <c r="B8" s="8">
        <v>1000</v>
      </c>
      <c r="H8" t="s">
        <v>5</v>
      </c>
      <c r="I8">
        <f>(A6*B10)*H6</f>
        <v>4610.3590812592602</v>
      </c>
    </row>
    <row r="9" spans="1:14">
      <c r="A9" t="s">
        <v>79</v>
      </c>
      <c r="B9" s="10">
        <v>5.8000000000000003E-2</v>
      </c>
      <c r="H9" t="s">
        <v>6</v>
      </c>
      <c r="I9">
        <f>SUM(I7:I8)</f>
        <v>5444.3922201359637</v>
      </c>
    </row>
    <row r="10" spans="1:14">
      <c r="A10" t="s">
        <v>111</v>
      </c>
      <c r="B10">
        <f>B8*D6</f>
        <v>1458.109824573336</v>
      </c>
      <c r="H10" t="s">
        <v>89</v>
      </c>
      <c r="I10">
        <f>I9/B11</f>
        <v>4.5188138804233171</v>
      </c>
    </row>
    <row r="11" spans="1:14">
      <c r="A11" t="s">
        <v>90</v>
      </c>
      <c r="B11">
        <v>1204.8277189999999</v>
      </c>
      <c r="H11" t="s">
        <v>18</v>
      </c>
      <c r="I11">
        <f>I10/(1+B12)</f>
        <v>4.1230571668982714</v>
      </c>
    </row>
    <row r="12" spans="1:14">
      <c r="A12" t="s">
        <v>101</v>
      </c>
      <c r="B12">
        <v>9.5986230000000006E-2</v>
      </c>
    </row>
    <row r="13" spans="1:14">
      <c r="A13" t="s">
        <v>119</v>
      </c>
      <c r="B13">
        <f>F3/B11</f>
        <v>5.7960858545553495E-2</v>
      </c>
    </row>
    <row r="14" spans="1:14">
      <c r="A14" t="s">
        <v>19</v>
      </c>
      <c r="B14" t="s">
        <v>133</v>
      </c>
    </row>
    <row r="16" spans="1:14" ht="18">
      <c r="N16" s="16"/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F48BB-E6F1-46B3-B939-F9DB43898AFB}">
  <dimension ref="A1:L25"/>
  <sheetViews>
    <sheetView topLeftCell="A10" workbookViewId="0">
      <selection activeCell="B25" sqref="B25"/>
    </sheetView>
  </sheetViews>
  <sheetFormatPr defaultRowHeight="15"/>
  <cols>
    <col min="2" max="2" width="11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44849</v>
      </c>
      <c r="C2" s="11">
        <f>$B$21</f>
        <v>5.0900000000000001E-2</v>
      </c>
      <c r="D2">
        <v>1.1752864027689767</v>
      </c>
      <c r="E2">
        <f>$B$20*D2</f>
        <v>1175.2864027689766</v>
      </c>
      <c r="F2">
        <f>C2*E2</f>
        <v>59.822077900940911</v>
      </c>
      <c r="G2">
        <f>A2*F2</f>
        <v>59.822077900940911</v>
      </c>
      <c r="H2">
        <f>(1+$B$24)^(-A2)</f>
        <v>0.89163735111662412</v>
      </c>
      <c r="I2">
        <f>G2*H2</f>
        <v>53.339599077887293</v>
      </c>
    </row>
    <row r="3" spans="1:9">
      <c r="A3">
        <v>2</v>
      </c>
      <c r="B3" s="1">
        <v>45214</v>
      </c>
      <c r="C3" s="11">
        <f t="shared" ref="C3:C18" si="0">$B$21</f>
        <v>5.0900000000000001E-2</v>
      </c>
      <c r="D3">
        <v>1.2738014429608153</v>
      </c>
      <c r="E3">
        <f t="shared" ref="E3:E18" si="1">$B$20*D3</f>
        <v>1273.8014429608154</v>
      </c>
      <c r="F3">
        <f t="shared" ref="F3:F18" si="2">C3*E3</f>
        <v>64.836493446705504</v>
      </c>
      <c r="G3">
        <f t="shared" ref="G3:G18" si="3">A3*F3</f>
        <v>129.67298689341101</v>
      </c>
      <c r="H3">
        <f t="shared" ref="H3:H18" si="4">(1+$B$24)^(-A3)</f>
        <v>0.79501716590627003</v>
      </c>
      <c r="I3">
        <f t="shared" ref="I3:I18" si="5">G3*H3</f>
        <v>103.09225053460052</v>
      </c>
    </row>
    <row r="4" spans="1:9">
      <c r="A4">
        <v>3</v>
      </c>
      <c r="B4" s="1">
        <v>45580</v>
      </c>
      <c r="C4" s="11">
        <f t="shared" si="0"/>
        <v>5.0900000000000001E-2</v>
      </c>
      <c r="D4">
        <v>1.3521846442979062</v>
      </c>
      <c r="E4">
        <f t="shared" si="1"/>
        <v>1352.1846442979063</v>
      </c>
      <c r="F4">
        <f t="shared" si="2"/>
        <v>68.826198394763438</v>
      </c>
      <c r="G4">
        <f t="shared" si="3"/>
        <v>206.47859518429033</v>
      </c>
      <c r="H4">
        <f t="shared" si="4"/>
        <v>0.70886699990091229</v>
      </c>
      <c r="I4">
        <f t="shared" si="5"/>
        <v>146.36586231204285</v>
      </c>
    </row>
    <row r="5" spans="1:9">
      <c r="A5">
        <v>4</v>
      </c>
      <c r="B5" s="1">
        <v>45945</v>
      </c>
      <c r="C5" s="11">
        <f t="shared" si="0"/>
        <v>5.0900000000000001E-2</v>
      </c>
      <c r="D5">
        <v>1.4328270332191051</v>
      </c>
      <c r="E5">
        <f t="shared" si="1"/>
        <v>1432.827033219105</v>
      </c>
      <c r="F5">
        <f t="shared" si="2"/>
        <v>72.930895990852449</v>
      </c>
      <c r="G5">
        <f t="shared" si="3"/>
        <v>291.72358396340979</v>
      </c>
      <c r="H5">
        <f t="shared" si="4"/>
        <v>0.63205229408563768</v>
      </c>
      <c r="I5">
        <f t="shared" si="5"/>
        <v>184.38456048295731</v>
      </c>
    </row>
    <row r="6" spans="1:9">
      <c r="A6">
        <v>5</v>
      </c>
      <c r="B6" s="1">
        <v>46310</v>
      </c>
      <c r="C6" s="11">
        <f t="shared" si="0"/>
        <v>5.0900000000000001E-2</v>
      </c>
      <c r="D6">
        <v>1.5181883765325823</v>
      </c>
      <c r="E6">
        <f t="shared" si="1"/>
        <v>1518.1883765325824</v>
      </c>
      <c r="F6">
        <f t="shared" si="2"/>
        <v>77.275788365508447</v>
      </c>
      <c r="G6">
        <f t="shared" si="3"/>
        <v>386.37894182754223</v>
      </c>
      <c r="H6">
        <f t="shared" si="4"/>
        <v>0.56356143326570352</v>
      </c>
      <c r="I6">
        <f t="shared" si="5"/>
        <v>217.74827024001559</v>
      </c>
    </row>
    <row r="7" spans="1:9">
      <c r="A7">
        <v>6</v>
      </c>
      <c r="B7" s="1">
        <v>46675</v>
      </c>
      <c r="C7" s="11">
        <f t="shared" si="0"/>
        <v>5.0900000000000001E-2</v>
      </c>
      <c r="D7">
        <v>1.6091607046275029</v>
      </c>
      <c r="E7">
        <f t="shared" si="1"/>
        <v>1609.160704627503</v>
      </c>
      <c r="F7">
        <f t="shared" si="2"/>
        <v>81.906279865539901</v>
      </c>
      <c r="G7">
        <f t="shared" si="3"/>
        <v>491.43767919323943</v>
      </c>
      <c r="H7">
        <f t="shared" si="4"/>
        <v>0.50249242354851997</v>
      </c>
      <c r="I7">
        <f t="shared" si="5"/>
        <v>246.94371044087094</v>
      </c>
    </row>
    <row r="8" spans="1:9">
      <c r="A8">
        <v>7</v>
      </c>
      <c r="B8" s="1">
        <v>47041</v>
      </c>
      <c r="C8" s="11">
        <f t="shared" si="0"/>
        <v>5.0900000000000001E-2</v>
      </c>
      <c r="D8">
        <v>1.7061905588044408</v>
      </c>
      <c r="E8">
        <f t="shared" si="1"/>
        <v>1706.1905588044408</v>
      </c>
      <c r="F8">
        <f t="shared" si="2"/>
        <v>86.84509944314604</v>
      </c>
      <c r="G8">
        <f t="shared" si="3"/>
        <v>607.91569610202225</v>
      </c>
      <c r="H8">
        <f t="shared" si="4"/>
        <v>0.44804101348897507</v>
      </c>
      <c r="I8">
        <f t="shared" si="5"/>
        <v>272.37116459740582</v>
      </c>
    </row>
    <row r="9" spans="1:9">
      <c r="A9">
        <v>8</v>
      </c>
      <c r="B9" s="1">
        <v>47406</v>
      </c>
      <c r="C9" s="11">
        <f t="shared" si="0"/>
        <v>5.0900000000000001E-2</v>
      </c>
      <c r="D9">
        <v>1.8096262054090102</v>
      </c>
      <c r="E9">
        <f t="shared" si="1"/>
        <v>1809.6262054090103</v>
      </c>
      <c r="F9">
        <f t="shared" si="2"/>
        <v>92.109973855318628</v>
      </c>
      <c r="G9">
        <f t="shared" si="3"/>
        <v>736.87979084254903</v>
      </c>
      <c r="H9">
        <f t="shared" si="4"/>
        <v>0.39949010245891736</v>
      </c>
      <c r="I9">
        <f t="shared" si="5"/>
        <v>294.37618314359548</v>
      </c>
    </row>
    <row r="10" spans="1:9">
      <c r="A10">
        <v>9</v>
      </c>
      <c r="B10" s="1">
        <v>47771</v>
      </c>
      <c r="C10" s="11">
        <f t="shared" si="0"/>
        <v>5.0900000000000001E-2</v>
      </c>
      <c r="D10">
        <v>1.9198070071155231</v>
      </c>
      <c r="E10">
        <f t="shared" si="1"/>
        <v>1919.807007115523</v>
      </c>
      <c r="F10">
        <f t="shared" si="2"/>
        <v>97.718176662180127</v>
      </c>
      <c r="G10">
        <f t="shared" si="3"/>
        <v>879.46358995962112</v>
      </c>
      <c r="H10">
        <f t="shared" si="4"/>
        <v>0.35620029675377785</v>
      </c>
      <c r="I10">
        <f t="shared" si="5"/>
        <v>313.26519172775983</v>
      </c>
    </row>
    <row r="11" spans="1:9">
      <c r="A11">
        <v>10</v>
      </c>
      <c r="B11" s="1">
        <v>48136</v>
      </c>
      <c r="C11" s="11">
        <f t="shared" si="0"/>
        <v>5.0900000000000001E-2</v>
      </c>
      <c r="D11">
        <v>2.0371151331571578</v>
      </c>
      <c r="E11">
        <f t="shared" si="1"/>
        <v>2037.1151331571577</v>
      </c>
      <c r="F11">
        <f t="shared" si="2"/>
        <v>103.68916027769933</v>
      </c>
      <c r="G11">
        <f t="shared" si="3"/>
        <v>1036.8916027769933</v>
      </c>
      <c r="H11">
        <f t="shared" si="4"/>
        <v>0.31760148906449392</v>
      </c>
      <c r="I11">
        <f t="shared" si="5"/>
        <v>329.31831704044282</v>
      </c>
    </row>
    <row r="12" spans="1:9">
      <c r="A12">
        <v>11</v>
      </c>
      <c r="B12" s="1">
        <v>48502</v>
      </c>
      <c r="C12" s="11">
        <f t="shared" si="0"/>
        <v>5.0900000000000001E-2</v>
      </c>
      <c r="D12">
        <v>2.1619441181080052</v>
      </c>
      <c r="E12">
        <f t="shared" si="1"/>
        <v>2161.9441181080051</v>
      </c>
      <c r="F12">
        <f t="shared" si="2"/>
        <v>110.04295561169747</v>
      </c>
      <c r="G12">
        <f t="shared" si="3"/>
        <v>1210.4725117286721</v>
      </c>
      <c r="H12">
        <f t="shared" si="4"/>
        <v>0.2831853504201608</v>
      </c>
      <c r="I12">
        <f t="shared" si="5"/>
        <v>342.78808240785622</v>
      </c>
    </row>
    <row r="13" spans="1:9">
      <c r="A13">
        <v>12</v>
      </c>
      <c r="B13" s="1">
        <v>48867</v>
      </c>
      <c r="C13" s="11">
        <f t="shared" si="0"/>
        <v>5.0900000000000001E-2</v>
      </c>
      <c r="D13">
        <v>2.2947285767234353</v>
      </c>
      <c r="E13">
        <f t="shared" si="1"/>
        <v>2294.7285767234353</v>
      </c>
      <c r="F13">
        <f t="shared" si="2"/>
        <v>116.80168455522286</v>
      </c>
      <c r="G13">
        <f t="shared" si="3"/>
        <v>1401.6202146626742</v>
      </c>
      <c r="H13">
        <f t="shared" si="4"/>
        <v>0.25249863572366515</v>
      </c>
      <c r="I13">
        <f t="shared" si="5"/>
        <v>353.90719200503594</v>
      </c>
    </row>
    <row r="14" spans="1:9">
      <c r="A14">
        <v>13</v>
      </c>
      <c r="B14" s="1">
        <v>49232</v>
      </c>
      <c r="C14" s="11">
        <f t="shared" si="0"/>
        <v>5.0900000000000001E-2</v>
      </c>
      <c r="D14">
        <v>2.435943000510667</v>
      </c>
      <c r="E14">
        <f t="shared" si="1"/>
        <v>2435.9430005106669</v>
      </c>
      <c r="F14">
        <f t="shared" si="2"/>
        <v>123.98949872599295</v>
      </c>
      <c r="G14">
        <f t="shared" si="3"/>
        <v>1611.8634834379084</v>
      </c>
      <c r="H14">
        <f t="shared" si="4"/>
        <v>0.22513721471721018</v>
      </c>
      <c r="I14">
        <f t="shared" si="5"/>
        <v>362.89045516559071</v>
      </c>
    </row>
    <row r="15" spans="1:9">
      <c r="A15">
        <v>14</v>
      </c>
      <c r="B15" s="1">
        <v>49597</v>
      </c>
      <c r="C15" s="11">
        <f t="shared" si="0"/>
        <v>5.0900000000000001E-2</v>
      </c>
      <c r="D15">
        <v>2.5860944729282238</v>
      </c>
      <c r="E15">
        <f t="shared" si="1"/>
        <v>2586.0944729282237</v>
      </c>
      <c r="F15">
        <f t="shared" si="2"/>
        <v>131.6322086720466</v>
      </c>
      <c r="G15">
        <f t="shared" si="3"/>
        <v>1842.8509214086525</v>
      </c>
      <c r="H15">
        <f t="shared" si="4"/>
        <v>0.20074074976822795</v>
      </c>
      <c r="I15">
        <f t="shared" si="5"/>
        <v>369.93527567464264</v>
      </c>
    </row>
    <row r="16" spans="1:9">
      <c r="A16">
        <v>15</v>
      </c>
      <c r="B16" s="1">
        <v>49963</v>
      </c>
      <c r="C16" s="11">
        <f t="shared" si="0"/>
        <v>5.0900000000000001E-2</v>
      </c>
      <c r="D16">
        <v>2.7457261483714022</v>
      </c>
      <c r="E16">
        <f t="shared" si="1"/>
        <v>2745.7261483714024</v>
      </c>
      <c r="F16">
        <f t="shared" si="2"/>
        <v>139.7574609521044</v>
      </c>
      <c r="G16">
        <f t="shared" si="3"/>
        <v>2096.361914281566</v>
      </c>
      <c r="H16">
        <f t="shared" si="4"/>
        <v>0.17898795038450785</v>
      </c>
      <c r="I16">
        <f t="shared" si="5"/>
        <v>375.22352230140081</v>
      </c>
    </row>
    <row r="17" spans="1:12">
      <c r="A17">
        <v>16</v>
      </c>
      <c r="B17" s="1">
        <v>50328</v>
      </c>
      <c r="C17" s="11">
        <f t="shared" si="0"/>
        <v>5.0900000000000001E-2</v>
      </c>
      <c r="D17">
        <v>2.915418386939248</v>
      </c>
      <c r="E17">
        <f t="shared" si="1"/>
        <v>2915.4183869392482</v>
      </c>
      <c r="F17">
        <f t="shared" si="2"/>
        <v>148.39479589520772</v>
      </c>
      <c r="G17">
        <f t="shared" si="3"/>
        <v>2374.3167343233235</v>
      </c>
      <c r="H17">
        <f t="shared" si="4"/>
        <v>0.1595923419626363</v>
      </c>
      <c r="I17">
        <f t="shared" si="5"/>
        <v>378.92276819173776</v>
      </c>
    </row>
    <row r="18" spans="1:12">
      <c r="A18">
        <v>17</v>
      </c>
      <c r="B18" s="1">
        <v>50693</v>
      </c>
      <c r="C18" s="11">
        <f t="shared" si="0"/>
        <v>5.0900000000000001E-2</v>
      </c>
      <c r="D18">
        <v>3.0957903240842359</v>
      </c>
      <c r="E18">
        <f t="shared" si="1"/>
        <v>3095.7903240842361</v>
      </c>
      <c r="F18">
        <f t="shared" si="2"/>
        <v>157.57572749588761</v>
      </c>
      <c r="G18">
        <f t="shared" si="3"/>
        <v>2678.7873674300895</v>
      </c>
      <c r="H18">
        <f t="shared" si="4"/>
        <v>0.14229849304606348</v>
      </c>
      <c r="I18">
        <f t="shared" si="5"/>
        <v>381.1874055761333</v>
      </c>
    </row>
    <row r="19" spans="1:12">
      <c r="H19" t="s">
        <v>4</v>
      </c>
      <c r="I19">
        <f>SUM(I2:I18)</f>
        <v>4726.0598109199755</v>
      </c>
    </row>
    <row r="20" spans="1:12">
      <c r="A20" t="s">
        <v>98</v>
      </c>
      <c r="B20" s="8">
        <v>1000</v>
      </c>
      <c r="H20" t="s">
        <v>5</v>
      </c>
      <c r="I20">
        <f>(A18*B22)*H18</f>
        <v>7488.9470643641116</v>
      </c>
    </row>
    <row r="21" spans="1:12">
      <c r="A21" t="s">
        <v>79</v>
      </c>
      <c r="B21" s="11">
        <v>5.0900000000000001E-2</v>
      </c>
      <c r="H21" t="s">
        <v>6</v>
      </c>
      <c r="I21">
        <f>SUM(I19:I20)</f>
        <v>12215.006875284087</v>
      </c>
    </row>
    <row r="22" spans="1:12">
      <c r="A22" t="s">
        <v>111</v>
      </c>
      <c r="B22">
        <f>B20*D18</f>
        <v>3095.7903240842361</v>
      </c>
      <c r="H22" t="s">
        <v>89</v>
      </c>
      <c r="I22">
        <f>I21/B23</f>
        <v>11.601019198666481</v>
      </c>
    </row>
    <row r="23" spans="1:12">
      <c r="A23" t="s">
        <v>90</v>
      </c>
      <c r="B23">
        <v>1052.9253220000001</v>
      </c>
      <c r="H23" t="s">
        <v>18</v>
      </c>
      <c r="I23">
        <f>I22/(1+B24)</f>
        <v>10.343902028552083</v>
      </c>
    </row>
    <row r="24" spans="1:12">
      <c r="A24" t="s">
        <v>101</v>
      </c>
      <c r="B24">
        <v>0.12153220000000001</v>
      </c>
    </row>
    <row r="25" spans="1:12">
      <c r="A25" t="s">
        <v>119</v>
      </c>
      <c r="B25">
        <f>F2/B23</f>
        <v>5.6815119411612845E-2</v>
      </c>
      <c r="L25" s="6"/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0C196-F836-4163-B878-0A63DAACF1FC}">
  <dimension ref="A1:M40"/>
  <sheetViews>
    <sheetView topLeftCell="A26" workbookViewId="0">
      <selection activeCell="B39" sqref="B39"/>
    </sheetView>
  </sheetViews>
  <sheetFormatPr defaultRowHeight="15"/>
  <cols>
    <col min="2" max="2" width="12.28515625" customWidth="1"/>
    <col min="13" max="13" width="10" bestFit="1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44484</v>
      </c>
      <c r="C2">
        <f>(1+$B$35)^(1/2)-1</f>
        <v>3.682206766638596E-2</v>
      </c>
      <c r="D2">
        <v>1.1233885182607481</v>
      </c>
      <c r="E2">
        <f>$B$34*D2</f>
        <v>1123.3885182607482</v>
      </c>
      <c r="F2">
        <f>C2*E2</f>
        <v>41.365488035038332</v>
      </c>
      <c r="G2">
        <f>A2*F2</f>
        <v>41.365488035038332</v>
      </c>
      <c r="H2">
        <f>(1+$B$38)^(-A2)</f>
        <v>0.94132212966714224</v>
      </c>
      <c r="I2">
        <f>G2*H2</f>
        <v>38.938249291862974</v>
      </c>
    </row>
    <row r="3" spans="1:9">
      <c r="A3">
        <v>2</v>
      </c>
      <c r="B3" s="1">
        <v>44666</v>
      </c>
      <c r="C3">
        <f t="shared" ref="C3:C32" si="0">(1+$B$35)^(1/2)-1</f>
        <v>3.682206766638596E-2</v>
      </c>
      <c r="D3">
        <v>1.1913980213780981</v>
      </c>
      <c r="E3">
        <f t="shared" ref="E3:E32" si="1">$B$34*D3</f>
        <v>1191.3980213780981</v>
      </c>
      <c r="F3">
        <f t="shared" ref="F3:F32" si="2">C3*E3</f>
        <v>43.869738560782672</v>
      </c>
      <c r="G3">
        <f t="shared" ref="G3:G32" si="3">A3*F3</f>
        <v>87.739477121565344</v>
      </c>
      <c r="H3">
        <f t="shared" ref="H3:H32" si="4">(1+$B$38)^(-A3)</f>
        <v>0.886087351801084</v>
      </c>
      <c r="I3">
        <f t="shared" ref="I3:I32" si="5">G3*H3</f>
        <v>77.744840931059628</v>
      </c>
    </row>
    <row r="4" spans="1:9">
      <c r="A4">
        <v>3</v>
      </c>
      <c r="B4" s="1">
        <v>44849</v>
      </c>
      <c r="C4">
        <f t="shared" si="0"/>
        <v>3.682206766638596E-2</v>
      </c>
      <c r="D4">
        <v>1.1929803865741195</v>
      </c>
      <c r="E4">
        <f t="shared" si="1"/>
        <v>1192.9803865741196</v>
      </c>
      <c r="F4">
        <f t="shared" si="2"/>
        <v>43.928004519103517</v>
      </c>
      <c r="G4">
        <f t="shared" si="3"/>
        <v>131.78401355731054</v>
      </c>
      <c r="H4">
        <f t="shared" si="4"/>
        <v>0.83409363306851469</v>
      </c>
      <c r="I4">
        <f t="shared" si="5"/>
        <v>109.92020664836755</v>
      </c>
    </row>
    <row r="5" spans="1:9">
      <c r="A5">
        <v>4</v>
      </c>
      <c r="B5" s="1">
        <v>45031</v>
      </c>
      <c r="C5">
        <f t="shared" si="0"/>
        <v>3.682206766638596E-2</v>
      </c>
      <c r="D5">
        <v>1.2731478230030862</v>
      </c>
      <c r="E5">
        <f t="shared" si="1"/>
        <v>1273.1478230030862</v>
      </c>
      <c r="F5">
        <f t="shared" si="2"/>
        <v>46.879935287931616</v>
      </c>
      <c r="G5">
        <f t="shared" si="3"/>
        <v>187.51974115172646</v>
      </c>
      <c r="H5">
        <f t="shared" si="4"/>
        <v>0.78515079502185792</v>
      </c>
      <c r="I5">
        <f t="shared" si="5"/>
        <v>147.23127384757103</v>
      </c>
    </row>
    <row r="6" spans="1:9">
      <c r="A6">
        <v>5</v>
      </c>
      <c r="B6" s="1">
        <v>45214</v>
      </c>
      <c r="C6">
        <f t="shared" si="0"/>
        <v>3.682206766638596E-2</v>
      </c>
      <c r="D6">
        <v>1.2929785746366478</v>
      </c>
      <c r="E6">
        <f t="shared" si="1"/>
        <v>1292.9785746366479</v>
      </c>
      <c r="F6">
        <f t="shared" si="2"/>
        <v>47.610144566457919</v>
      </c>
      <c r="G6">
        <f t="shared" si="3"/>
        <v>238.05072283228958</v>
      </c>
      <c r="H6">
        <f t="shared" si="4"/>
        <v>0.73907981847982518</v>
      </c>
      <c r="I6">
        <f t="shared" si="5"/>
        <v>175.93848501987975</v>
      </c>
    </row>
    <row r="7" spans="1:9">
      <c r="A7">
        <v>6</v>
      </c>
      <c r="B7" s="1">
        <v>45397</v>
      </c>
      <c r="C7">
        <f t="shared" si="0"/>
        <v>3.682206766638596E-2</v>
      </c>
      <c r="D7">
        <v>1.3537886726939159</v>
      </c>
      <c r="E7">
        <f t="shared" si="1"/>
        <v>1353.7886726939159</v>
      </c>
      <c r="F7">
        <f t="shared" si="2"/>
        <v>49.849298111922209</v>
      </c>
      <c r="G7">
        <f t="shared" si="3"/>
        <v>299.09578867153323</v>
      </c>
      <c r="H7">
        <f t="shared" si="4"/>
        <v>0.69571218872543383</v>
      </c>
      <c r="I7">
        <f t="shared" si="5"/>
        <v>208.0845857752322</v>
      </c>
    </row>
    <row r="8" spans="1:9">
      <c r="A8">
        <v>7</v>
      </c>
      <c r="B8" s="1">
        <v>45580</v>
      </c>
      <c r="C8">
        <f t="shared" si="0"/>
        <v>3.682206766638596E-2</v>
      </c>
      <c r="D8">
        <v>1.3725418382051962</v>
      </c>
      <c r="E8">
        <f t="shared" si="1"/>
        <v>1372.5418382051962</v>
      </c>
      <c r="F8">
        <f t="shared" si="2"/>
        <v>50.539828441337505</v>
      </c>
      <c r="G8">
        <f t="shared" si="3"/>
        <v>353.77879908936256</v>
      </c>
      <c r="H8">
        <f t="shared" si="4"/>
        <v>0.65488927912641415</v>
      </c>
      <c r="I8">
        <f t="shared" si="5"/>
        <v>231.68594270584114</v>
      </c>
    </row>
    <row r="9" spans="1:9">
      <c r="A9">
        <v>8</v>
      </c>
      <c r="B9" s="1">
        <v>45762</v>
      </c>
      <c r="C9">
        <f t="shared" si="0"/>
        <v>3.682206766638596E-2</v>
      </c>
      <c r="D9">
        <v>1.4351190316615727</v>
      </c>
      <c r="E9">
        <f t="shared" si="1"/>
        <v>1435.1190316615728</v>
      </c>
      <c r="F9">
        <f t="shared" si="2"/>
        <v>52.844050093160725</v>
      </c>
      <c r="G9">
        <f t="shared" si="3"/>
        <v>422.7524007452858</v>
      </c>
      <c r="H9">
        <f t="shared" si="4"/>
        <v>0.61646177092345567</v>
      </c>
      <c r="I9">
        <f t="shared" si="5"/>
        <v>260.61069362558129</v>
      </c>
    </row>
    <row r="10" spans="1:9">
      <c r="A10">
        <v>9</v>
      </c>
      <c r="B10" s="1">
        <v>45945</v>
      </c>
      <c r="C10">
        <f t="shared" si="0"/>
        <v>3.682206766638596E-2</v>
      </c>
      <c r="D10">
        <v>1.4543983015172988</v>
      </c>
      <c r="E10">
        <f t="shared" si="1"/>
        <v>1454.3983015172987</v>
      </c>
      <c r="F10">
        <f t="shared" si="2"/>
        <v>53.553952672346782</v>
      </c>
      <c r="G10">
        <f t="shared" si="3"/>
        <v>481.98557405112103</v>
      </c>
      <c r="H10">
        <f t="shared" si="4"/>
        <v>0.58028910706404524</v>
      </c>
      <c r="I10">
        <f t="shared" si="5"/>
        <v>279.69097838387626</v>
      </c>
    </row>
    <row r="11" spans="1:9">
      <c r="A11">
        <v>10</v>
      </c>
      <c r="B11" s="1">
        <v>46127</v>
      </c>
      <c r="C11">
        <f t="shared" si="0"/>
        <v>3.682206766638596E-2</v>
      </c>
      <c r="D11">
        <v>1.5206378354656429</v>
      </c>
      <c r="E11">
        <f t="shared" si="1"/>
        <v>1520.6378354656429</v>
      </c>
      <c r="F11">
        <f t="shared" si="2"/>
        <v>55.993029273582579</v>
      </c>
      <c r="G11">
        <f t="shared" si="3"/>
        <v>559.93029273582579</v>
      </c>
      <c r="H11">
        <f t="shared" si="4"/>
        <v>0.54623897808417132</v>
      </c>
      <c r="I11">
        <f t="shared" si="5"/>
        <v>305.85575090238837</v>
      </c>
    </row>
    <row r="12" spans="1:9">
      <c r="A12">
        <v>11</v>
      </c>
      <c r="B12" s="1">
        <v>46310</v>
      </c>
      <c r="C12">
        <f t="shared" si="0"/>
        <v>3.682206766638596E-2</v>
      </c>
      <c r="D12">
        <v>1.5410447632688138</v>
      </c>
      <c r="E12">
        <f t="shared" si="1"/>
        <v>1541.0447632688138</v>
      </c>
      <c r="F12">
        <f t="shared" si="2"/>
        <v>56.744454550013991</v>
      </c>
      <c r="G12">
        <f t="shared" si="3"/>
        <v>624.18900005015394</v>
      </c>
      <c r="H12">
        <f t="shared" si="4"/>
        <v>0.51418683815739563</v>
      </c>
      <c r="I12">
        <f t="shared" si="5"/>
        <v>320.94976834841509</v>
      </c>
    </row>
    <row r="13" spans="1:9">
      <c r="A13">
        <v>12</v>
      </c>
      <c r="B13" s="1">
        <v>46492</v>
      </c>
      <c r="C13">
        <f t="shared" si="0"/>
        <v>3.682206766638596E-2</v>
      </c>
      <c r="D13">
        <v>1.6116353957989984</v>
      </c>
      <c r="E13">
        <f t="shared" si="1"/>
        <v>1611.6353957989984</v>
      </c>
      <c r="F13">
        <f t="shared" si="2"/>
        <v>59.34374759765344</v>
      </c>
      <c r="G13">
        <f t="shared" si="3"/>
        <v>712.12497117184125</v>
      </c>
      <c r="H13">
        <f t="shared" si="4"/>
        <v>0.48401544954113374</v>
      </c>
      <c r="I13">
        <f t="shared" si="5"/>
        <v>344.67948805120562</v>
      </c>
    </row>
    <row r="14" spans="1:9">
      <c r="A14">
        <v>13</v>
      </c>
      <c r="B14" s="1">
        <v>46675</v>
      </c>
      <c r="C14">
        <f t="shared" si="0"/>
        <v>3.682206766638596E-2</v>
      </c>
      <c r="D14">
        <v>1.6333866834020963</v>
      </c>
      <c r="E14">
        <f t="shared" si="1"/>
        <v>1633.3866834020962</v>
      </c>
      <c r="F14">
        <f t="shared" si="2"/>
        <v>60.144674981605725</v>
      </c>
      <c r="G14">
        <f t="shared" si="3"/>
        <v>781.88077476087437</v>
      </c>
      <c r="H14">
        <f t="shared" si="4"/>
        <v>0.45561445375385917</v>
      </c>
      <c r="I14">
        <f t="shared" si="5"/>
        <v>356.23618209332</v>
      </c>
    </row>
    <row r="15" spans="1:9">
      <c r="A15">
        <v>14</v>
      </c>
      <c r="B15" s="1">
        <v>46858</v>
      </c>
      <c r="C15">
        <f t="shared" si="0"/>
        <v>3.682206766638596E-2</v>
      </c>
      <c r="D15">
        <v>1.7086742515167814</v>
      </c>
      <c r="E15">
        <f t="shared" si="1"/>
        <v>1708.6742515167814</v>
      </c>
      <c r="F15">
        <f t="shared" si="2"/>
        <v>62.916918909162305</v>
      </c>
      <c r="G15">
        <f t="shared" si="3"/>
        <v>880.8368647282723</v>
      </c>
      <c r="H15">
        <f t="shared" si="4"/>
        <v>0.42887996791471439</v>
      </c>
      <c r="I15">
        <f t="shared" si="5"/>
        <v>377.77328628275905</v>
      </c>
    </row>
    <row r="16" spans="1:9">
      <c r="A16">
        <v>15</v>
      </c>
      <c r="B16" s="1">
        <v>47041</v>
      </c>
      <c r="C16">
        <f t="shared" si="0"/>
        <v>3.682206766638596E-2</v>
      </c>
      <c r="D16">
        <v>1.7318773259148623</v>
      </c>
      <c r="E16">
        <f t="shared" si="1"/>
        <v>1731.8773259148622</v>
      </c>
      <c r="F16">
        <f t="shared" si="2"/>
        <v>63.771304084716625</v>
      </c>
      <c r="G16">
        <f t="shared" si="3"/>
        <v>956.56956127074943</v>
      </c>
      <c r="H16">
        <f t="shared" si="4"/>
        <v>0.40371420476905451</v>
      </c>
      <c r="I16">
        <f t="shared" si="5"/>
        <v>386.18071973470398</v>
      </c>
    </row>
    <row r="17" spans="1:9">
      <c r="A17">
        <v>16</v>
      </c>
      <c r="B17" s="1">
        <v>47223</v>
      </c>
      <c r="C17">
        <f t="shared" si="0"/>
        <v>3.682206766638596E-2</v>
      </c>
      <c r="D17">
        <v>1.8121321170973939</v>
      </c>
      <c r="E17">
        <f t="shared" si="1"/>
        <v>1812.1321170973938</v>
      </c>
      <c r="F17">
        <f t="shared" si="2"/>
        <v>66.726451436191482</v>
      </c>
      <c r="G17">
        <f t="shared" si="3"/>
        <v>1067.6232229790637</v>
      </c>
      <c r="H17">
        <f t="shared" si="4"/>
        <v>0.38002511501008313</v>
      </c>
      <c r="I17">
        <f t="shared" si="5"/>
        <v>405.7236381000543</v>
      </c>
    </row>
    <row r="18" spans="1:9">
      <c r="A18">
        <v>17</v>
      </c>
      <c r="B18" s="1">
        <v>47406</v>
      </c>
      <c r="C18">
        <f t="shared" si="0"/>
        <v>3.682206766638596E-2</v>
      </c>
      <c r="D18">
        <v>1.8368702003164892</v>
      </c>
      <c r="E18">
        <f t="shared" si="1"/>
        <v>1836.8702003164892</v>
      </c>
      <c r="F18">
        <f t="shared" si="2"/>
        <v>67.637358810421702</v>
      </c>
      <c r="G18">
        <f t="shared" si="3"/>
        <v>1149.835099777169</v>
      </c>
      <c r="H18">
        <f t="shared" si="4"/>
        <v>0.35772605058829204</v>
      </c>
      <c r="I18">
        <f t="shared" si="5"/>
        <v>411.32596907108137</v>
      </c>
    </row>
    <row r="19" spans="1:9">
      <c r="A19">
        <v>18</v>
      </c>
      <c r="B19" s="1">
        <v>47588</v>
      </c>
      <c r="C19">
        <f t="shared" si="0"/>
        <v>3.682206766638596E-2</v>
      </c>
      <c r="D19">
        <v>1.9223557756178373</v>
      </c>
      <c r="E19">
        <f t="shared" si="1"/>
        <v>1922.3557756178373</v>
      </c>
      <c r="F19">
        <f t="shared" si="2"/>
        <v>70.785114448667869</v>
      </c>
      <c r="G19">
        <f t="shared" si="3"/>
        <v>1274.1320600760216</v>
      </c>
      <c r="H19">
        <f t="shared" si="4"/>
        <v>0.33673544777718689</v>
      </c>
      <c r="I19">
        <f t="shared" si="5"/>
        <v>429.04542977696872</v>
      </c>
    </row>
    <row r="20" spans="1:9">
      <c r="A20">
        <v>19</v>
      </c>
      <c r="B20" s="1">
        <v>47771</v>
      </c>
      <c r="C20">
        <f t="shared" si="0"/>
        <v>3.682206766638596E-2</v>
      </c>
      <c r="D20">
        <v>1.9487097783999254</v>
      </c>
      <c r="E20">
        <f t="shared" si="1"/>
        <v>1948.7097783999254</v>
      </c>
      <c r="F20">
        <f t="shared" si="2"/>
        <v>71.755523322390047</v>
      </c>
      <c r="G20">
        <f t="shared" si="3"/>
        <v>1363.354943125411</v>
      </c>
      <c r="H20">
        <f t="shared" si="4"/>
        <v>0.31697652883604033</v>
      </c>
      <c r="I20">
        <f t="shared" si="5"/>
        <v>432.15151744334997</v>
      </c>
    </row>
    <row r="21" spans="1:9">
      <c r="A21">
        <v>20</v>
      </c>
      <c r="B21" s="1">
        <v>47953</v>
      </c>
      <c r="C21">
        <f t="shared" si="0"/>
        <v>3.682206766638596E-2</v>
      </c>
      <c r="D21">
        <v>2.0397178928883353</v>
      </c>
      <c r="E21">
        <f t="shared" si="1"/>
        <v>2039.7178928883352</v>
      </c>
      <c r="F21">
        <f t="shared" si="2"/>
        <v>75.106630272272469</v>
      </c>
      <c r="G21">
        <f t="shared" si="3"/>
        <v>1502.1326054454494</v>
      </c>
      <c r="H21">
        <f t="shared" si="4"/>
        <v>0.29837702117843978</v>
      </c>
      <c r="I21">
        <f t="shared" si="5"/>
        <v>448.2018522278218</v>
      </c>
    </row>
    <row r="22" spans="1:9">
      <c r="A22">
        <v>21</v>
      </c>
      <c r="B22" s="1">
        <v>48136</v>
      </c>
      <c r="C22">
        <f t="shared" si="0"/>
        <v>3.682206766638596E-2</v>
      </c>
      <c r="D22">
        <v>2.0677839829714424</v>
      </c>
      <c r="E22">
        <f t="shared" si="1"/>
        <v>2067.7839829714426</v>
      </c>
      <c r="F22">
        <f t="shared" si="2"/>
        <v>76.140081740443534</v>
      </c>
      <c r="G22">
        <f t="shared" si="3"/>
        <v>1598.9417165493142</v>
      </c>
      <c r="H22">
        <f t="shared" si="4"/>
        <v>0.28086889301942691</v>
      </c>
      <c r="I22">
        <f t="shared" si="5"/>
        <v>449.09298992978813</v>
      </c>
    </row>
    <row r="23" spans="1:9">
      <c r="A23">
        <v>22</v>
      </c>
      <c r="B23" s="1">
        <v>48319</v>
      </c>
      <c r="C23">
        <f t="shared" si="0"/>
        <v>3.682206766638596E-2</v>
      </c>
      <c r="D23">
        <v>2.1646257379852281</v>
      </c>
      <c r="E23">
        <f t="shared" si="1"/>
        <v>2164.6257379852282</v>
      </c>
      <c r="F23">
        <f t="shared" si="2"/>
        <v>79.705995396492725</v>
      </c>
      <c r="G23">
        <f t="shared" si="3"/>
        <v>1753.53189872284</v>
      </c>
      <c r="H23">
        <f t="shared" si="4"/>
        <v>0.26438810453429967</v>
      </c>
      <c r="I23">
        <f t="shared" si="5"/>
        <v>463.61297494376322</v>
      </c>
    </row>
    <row r="24" spans="1:9">
      <c r="A24">
        <v>23</v>
      </c>
      <c r="B24" s="1">
        <v>48502</v>
      </c>
      <c r="C24">
        <f t="shared" si="0"/>
        <v>3.682206766638596E-2</v>
      </c>
      <c r="D24">
        <v>2.1944922732838843</v>
      </c>
      <c r="E24">
        <f t="shared" si="1"/>
        <v>2194.4922732838845</v>
      </c>
      <c r="F24">
        <f t="shared" si="2"/>
        <v>80.805742980220344</v>
      </c>
      <c r="G24">
        <f t="shared" si="3"/>
        <v>1858.5320885450678</v>
      </c>
      <c r="H24">
        <f t="shared" si="4"/>
        <v>0.24887437361888598</v>
      </c>
      <c r="I24">
        <f t="shared" si="5"/>
        <v>462.54100938725367</v>
      </c>
    </row>
    <row r="25" spans="1:9">
      <c r="A25">
        <v>24</v>
      </c>
      <c r="B25" s="1">
        <v>48684</v>
      </c>
      <c r="C25">
        <f t="shared" si="0"/>
        <v>3.682206766638596E-2</v>
      </c>
      <c r="D25">
        <v>2.2975047905160602</v>
      </c>
      <c r="E25">
        <f t="shared" si="1"/>
        <v>2297.50479051606</v>
      </c>
      <c r="F25">
        <f t="shared" si="2"/>
        <v>84.598876860228259</v>
      </c>
      <c r="G25">
        <f t="shared" si="3"/>
        <v>2030.3730446454783</v>
      </c>
      <c r="H25">
        <f t="shared" si="4"/>
        <v>0.23427095539450574</v>
      </c>
      <c r="I25">
        <f t="shared" si="5"/>
        <v>475.65743297634765</v>
      </c>
    </row>
    <row r="26" spans="1:9">
      <c r="A26">
        <v>25</v>
      </c>
      <c r="B26" s="1">
        <v>48867</v>
      </c>
      <c r="C26">
        <f t="shared" si="0"/>
        <v>3.682206766638596E-2</v>
      </c>
      <c r="D26">
        <v>2.3292758072351476</v>
      </c>
      <c r="E26">
        <f t="shared" si="1"/>
        <v>2329.2758072351476</v>
      </c>
      <c r="F26">
        <f t="shared" si="2"/>
        <v>85.768751387688383</v>
      </c>
      <c r="G26">
        <f t="shared" si="3"/>
        <v>2144.2187846922097</v>
      </c>
      <c r="H26">
        <f t="shared" si="4"/>
        <v>0.22052443465111224</v>
      </c>
      <c r="I26">
        <f t="shared" si="5"/>
        <v>472.85263526254454</v>
      </c>
    </row>
    <row r="27" spans="1:9">
      <c r="A27">
        <v>26</v>
      </c>
      <c r="B27" s="1">
        <v>49049</v>
      </c>
      <c r="C27">
        <f t="shared" si="0"/>
        <v>3.682206766638596E-2</v>
      </c>
      <c r="D27">
        <v>2.4388272211153854</v>
      </c>
      <c r="E27">
        <f t="shared" si="1"/>
        <v>2438.8272211153853</v>
      </c>
      <c r="F27">
        <f t="shared" si="2"/>
        <v>89.802660962534759</v>
      </c>
      <c r="G27">
        <f t="shared" si="3"/>
        <v>2334.8691850259038</v>
      </c>
      <c r="H27">
        <f t="shared" si="4"/>
        <v>0.20758453046942746</v>
      </c>
      <c r="I27">
        <f t="shared" si="5"/>
        <v>484.68272348113697</v>
      </c>
    </row>
    <row r="28" spans="1:9">
      <c r="A28">
        <v>27</v>
      </c>
      <c r="B28" s="1">
        <v>49232</v>
      </c>
      <c r="C28">
        <f t="shared" si="0"/>
        <v>3.682206766638596E-2</v>
      </c>
      <c r="D28">
        <v>2.4726162198210728</v>
      </c>
      <c r="E28">
        <f t="shared" si="1"/>
        <v>2472.6162198210727</v>
      </c>
      <c r="F28">
        <f t="shared" si="2"/>
        <v>91.046841759255003</v>
      </c>
      <c r="G28">
        <f t="shared" si="3"/>
        <v>2458.2647274998849</v>
      </c>
      <c r="H28">
        <f t="shared" si="4"/>
        <v>0.19540391230743526</v>
      </c>
      <c r="I28">
        <f t="shared" si="5"/>
        <v>480.35454524084872</v>
      </c>
    </row>
    <row r="29" spans="1:9">
      <c r="A29">
        <v>28</v>
      </c>
      <c r="B29" s="1">
        <v>49414</v>
      </c>
      <c r="C29">
        <f t="shared" si="0"/>
        <v>3.682206766638596E-2</v>
      </c>
      <c r="D29">
        <v>2.5890999136507769</v>
      </c>
      <c r="E29">
        <f t="shared" si="1"/>
        <v>2589.0999136507767</v>
      </c>
      <c r="F29">
        <f t="shared" si="2"/>
        <v>95.336012215482938</v>
      </c>
      <c r="G29">
        <f t="shared" si="3"/>
        <v>2669.4083420335223</v>
      </c>
      <c r="H29">
        <f t="shared" si="4"/>
        <v>0.18393802687852645</v>
      </c>
      <c r="I29">
        <f t="shared" si="5"/>
        <v>491.00570336672473</v>
      </c>
    </row>
    <row r="30" spans="1:9">
      <c r="A30">
        <v>29</v>
      </c>
      <c r="B30" s="1">
        <v>49597</v>
      </c>
      <c r="C30">
        <f t="shared" si="0"/>
        <v>3.682206766638596E-2</v>
      </c>
      <c r="D30">
        <v>2.6250282286619351</v>
      </c>
      <c r="E30">
        <f t="shared" si="1"/>
        <v>2625.0282286619349</v>
      </c>
      <c r="F30">
        <f t="shared" si="2"/>
        <v>96.65896706196304</v>
      </c>
      <c r="G30">
        <f t="shared" si="3"/>
        <v>2803.1100447969284</v>
      </c>
      <c r="H30">
        <f t="shared" si="4"/>
        <v>0.17314493518806653</v>
      </c>
      <c r="I30">
        <f t="shared" si="5"/>
        <v>485.34430703138247</v>
      </c>
    </row>
    <row r="31" spans="1:9">
      <c r="A31">
        <v>30</v>
      </c>
      <c r="B31" s="1">
        <v>49780</v>
      </c>
      <c r="C31">
        <f t="shared" si="0"/>
        <v>3.682206766638596E-2</v>
      </c>
      <c r="D31">
        <v>2.7488655620125795</v>
      </c>
      <c r="E31">
        <f t="shared" si="1"/>
        <v>2748.8655620125796</v>
      </c>
      <c r="F31">
        <f t="shared" si="2"/>
        <v>101.21891373022528</v>
      </c>
      <c r="G31">
        <f t="shared" si="3"/>
        <v>3036.5674119067585</v>
      </c>
      <c r="H31">
        <f t="shared" si="4"/>
        <v>0.16298515913231007</v>
      </c>
      <c r="I31">
        <f t="shared" si="5"/>
        <v>494.91542284560995</v>
      </c>
    </row>
    <row r="32" spans="1:9">
      <c r="A32">
        <v>31</v>
      </c>
      <c r="B32" s="1">
        <v>49963</v>
      </c>
      <c r="C32">
        <f t="shared" si="0"/>
        <v>3.682206766638596E-2</v>
      </c>
      <c r="D32">
        <v>2.7870631653641769</v>
      </c>
      <c r="E32">
        <f t="shared" si="1"/>
        <v>2787.0631653641767</v>
      </c>
      <c r="F32">
        <f t="shared" si="2"/>
        <v>102.62542846553156</v>
      </c>
      <c r="G32">
        <f t="shared" si="3"/>
        <v>3181.3882824314783</v>
      </c>
      <c r="H32">
        <f t="shared" si="4"/>
        <v>0.15342153709856418</v>
      </c>
      <c r="I32">
        <f t="shared" si="5"/>
        <v>488.09348039799841</v>
      </c>
    </row>
    <row r="33" spans="1:13">
      <c r="H33" t="s">
        <v>4</v>
      </c>
      <c r="I33">
        <f>SUM(I2:I32)</f>
        <v>10996.122083124739</v>
      </c>
    </row>
    <row r="34" spans="1:13">
      <c r="A34" t="s">
        <v>98</v>
      </c>
      <c r="B34" s="8">
        <v>1000</v>
      </c>
      <c r="H34" t="s">
        <v>5</v>
      </c>
      <c r="I34">
        <f>(A32*B36)*H32</f>
        <v>13255.460959449814</v>
      </c>
    </row>
    <row r="35" spans="1:13">
      <c r="A35" t="s">
        <v>79</v>
      </c>
      <c r="B35" s="10">
        <v>7.4999999999999997E-2</v>
      </c>
      <c r="H35" t="s">
        <v>6</v>
      </c>
      <c r="I35">
        <f>SUM(I33:I34)</f>
        <v>24251.583042574552</v>
      </c>
    </row>
    <row r="36" spans="1:13">
      <c r="A36" t="s">
        <v>111</v>
      </c>
      <c r="B36">
        <f>B34*D32</f>
        <v>2787.0631653641767</v>
      </c>
      <c r="H36" t="s">
        <v>89</v>
      </c>
      <c r="I36">
        <f>(I35/B37)/2</f>
        <v>9.8006797238923369</v>
      </c>
    </row>
    <row r="37" spans="1:13">
      <c r="A37" t="s">
        <v>90</v>
      </c>
      <c r="B37">
        <v>1237.239851</v>
      </c>
      <c r="H37" t="s">
        <v>18</v>
      </c>
      <c r="I37">
        <f>I36/(1+B38)</f>
        <v>9.2255967098799143</v>
      </c>
    </row>
    <row r="38" spans="1:13">
      <c r="A38" t="s">
        <v>101</v>
      </c>
      <c r="B38">
        <v>6.2335590000000003E-2</v>
      </c>
    </row>
    <row r="39" spans="1:13">
      <c r="A39" t="s">
        <v>119</v>
      </c>
      <c r="B39">
        <f>F4/B37</f>
        <v>3.5504841267114597E-2</v>
      </c>
    </row>
    <row r="40" spans="1:13" ht="18">
      <c r="M40" s="16"/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DB625-2AC3-43FC-B779-79A0A8B14BE1}">
  <dimension ref="A1:O43"/>
  <sheetViews>
    <sheetView topLeftCell="A25" workbookViewId="0">
      <selection activeCell="B39" sqref="B39"/>
    </sheetView>
  </sheetViews>
  <sheetFormatPr defaultRowHeight="15"/>
  <cols>
    <col min="2" max="2" width="11.5703125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44484</v>
      </c>
      <c r="C2">
        <f>(1+$B$35)^(1/2)-1</f>
        <v>2.8348190060156764E-2</v>
      </c>
      <c r="D2">
        <v>1.1067267034709258</v>
      </c>
      <c r="E2">
        <f>$B$34*D2</f>
        <v>1106.7267034709259</v>
      </c>
      <c r="F2">
        <f>C2*E2</f>
        <v>31.373698934644565</v>
      </c>
      <c r="G2">
        <f>A2*F2</f>
        <v>31.373698934644565</v>
      </c>
      <c r="H2">
        <f>(1+$B$38)^(-A2)</f>
        <v>0.94300228276334597</v>
      </c>
      <c r="I2">
        <f>G2*H2</f>
        <v>29.58546971409978</v>
      </c>
    </row>
    <row r="3" spans="1:9">
      <c r="A3">
        <v>2</v>
      </c>
      <c r="B3" s="1">
        <v>44666</v>
      </c>
      <c r="C3">
        <f t="shared" ref="C3:C32" si="0">(1+$B$35)^(1/2)-1</f>
        <v>2.8348190060156764E-2</v>
      </c>
      <c r="D3">
        <v>1.1737275068139146</v>
      </c>
      <c r="E3">
        <f t="shared" ref="E3:E32" si="1">$B$34*D3</f>
        <v>1173.7275068139145</v>
      </c>
      <c r="F3">
        <f t="shared" ref="F3:F32" si="2">C3*E3</f>
        <v>33.273050441994791</v>
      </c>
      <c r="G3">
        <f t="shared" ref="G3:G32" si="3">A3*F3</f>
        <v>66.546100883989581</v>
      </c>
      <c r="H3">
        <f t="shared" ref="H3:H32" si="4">(1+$B$38)^(-A3)</f>
        <v>0.88925330529688151</v>
      </c>
      <c r="I3">
        <f t="shared" ref="I3:I32" si="5">G3*H3</f>
        <v>59.176340165707465</v>
      </c>
    </row>
    <row r="4" spans="1:9">
      <c r="A4">
        <v>3</v>
      </c>
      <c r="B4" s="1">
        <v>44849</v>
      </c>
      <c r="C4">
        <f t="shared" si="0"/>
        <v>2.8348190060156764E-2</v>
      </c>
      <c r="D4">
        <v>1.1752864027689767</v>
      </c>
      <c r="E4">
        <f t="shared" si="1"/>
        <v>1175.2864027689766</v>
      </c>
      <c r="F4">
        <f t="shared" si="2"/>
        <v>33.317242320812902</v>
      </c>
      <c r="G4">
        <f t="shared" si="3"/>
        <v>99.951726962438698</v>
      </c>
      <c r="H4">
        <f t="shared" si="4"/>
        <v>0.83856789684980992</v>
      </c>
      <c r="I4">
        <f t="shared" si="5"/>
        <v>83.81630946539866</v>
      </c>
    </row>
    <row r="5" spans="1:9">
      <c r="A5">
        <v>4</v>
      </c>
      <c r="B5" s="1">
        <v>45031</v>
      </c>
      <c r="C5">
        <f t="shared" si="0"/>
        <v>2.8348190060156764E-2</v>
      </c>
      <c r="D5">
        <v>1.2542648160272041</v>
      </c>
      <c r="E5">
        <f t="shared" si="1"/>
        <v>1254.264816027204</v>
      </c>
      <c r="F5">
        <f t="shared" si="2"/>
        <v>35.556137390506734</v>
      </c>
      <c r="G5">
        <f t="shared" si="3"/>
        <v>142.22454956202694</v>
      </c>
      <c r="H5">
        <f t="shared" si="4"/>
        <v>0.79077144098142871</v>
      </c>
      <c r="I5">
        <f t="shared" si="5"/>
        <v>112.46711200009867</v>
      </c>
    </row>
    <row r="6" spans="1:9">
      <c r="A6">
        <v>5</v>
      </c>
      <c r="B6" s="1">
        <v>45214</v>
      </c>
      <c r="C6">
        <f t="shared" si="0"/>
        <v>2.8348190060156764E-2</v>
      </c>
      <c r="D6">
        <v>1.2738014429608153</v>
      </c>
      <c r="E6">
        <f t="shared" si="1"/>
        <v>1273.8014429608154</v>
      </c>
      <c r="F6">
        <f t="shared" si="2"/>
        <v>36.10996540395513</v>
      </c>
      <c r="G6">
        <f t="shared" si="3"/>
        <v>180.54982701977565</v>
      </c>
      <c r="H6">
        <f t="shared" si="4"/>
        <v>0.74569927398954783</v>
      </c>
      <c r="I6">
        <f t="shared" si="5"/>
        <v>134.63587492758515</v>
      </c>
    </row>
    <row r="7" spans="1:9">
      <c r="A7">
        <v>6</v>
      </c>
      <c r="B7" s="1">
        <v>45397</v>
      </c>
      <c r="C7">
        <f t="shared" si="0"/>
        <v>2.8348190060156764E-2</v>
      </c>
      <c r="D7">
        <v>1.3337096210013561</v>
      </c>
      <c r="E7">
        <f t="shared" si="1"/>
        <v>1333.7096210013563</v>
      </c>
      <c r="F7">
        <f t="shared" si="2"/>
        <v>37.808253821206094</v>
      </c>
      <c r="G7">
        <f t="shared" si="3"/>
        <v>226.84952292723656</v>
      </c>
      <c r="H7">
        <f t="shared" si="4"/>
        <v>0.70319611762711332</v>
      </c>
      <c r="I7">
        <f t="shared" si="5"/>
        <v>159.51970380799557</v>
      </c>
    </row>
    <row r="8" spans="1:9">
      <c r="A8">
        <v>7</v>
      </c>
      <c r="B8" s="1">
        <v>45580</v>
      </c>
      <c r="C8">
        <f t="shared" si="0"/>
        <v>2.8348190060156764E-2</v>
      </c>
      <c r="D8">
        <v>1.3521846442979062</v>
      </c>
      <c r="E8">
        <f t="shared" si="1"/>
        <v>1352.1846442979063</v>
      </c>
      <c r="F8">
        <f t="shared" si="2"/>
        <v>38.331987292982518</v>
      </c>
      <c r="G8">
        <f t="shared" si="3"/>
        <v>268.32391105087765</v>
      </c>
      <c r="H8">
        <f t="shared" si="4"/>
        <v>0.66311554415269014</v>
      </c>
      <c r="I8">
        <f t="shared" si="5"/>
        <v>177.92975628568075</v>
      </c>
    </row>
    <row r="9" spans="1:9">
      <c r="A9">
        <v>8</v>
      </c>
      <c r="B9" s="1">
        <v>45762</v>
      </c>
      <c r="C9">
        <f t="shared" si="0"/>
        <v>2.8348190060156764E-2</v>
      </c>
      <c r="D9">
        <v>1.413833708624878</v>
      </c>
      <c r="E9">
        <f t="shared" si="1"/>
        <v>1413.833708624878</v>
      </c>
      <c r="F9">
        <f t="shared" si="2"/>
        <v>40.079626685554338</v>
      </c>
      <c r="G9">
        <f t="shared" si="3"/>
        <v>320.6370134844347</v>
      </c>
      <c r="H9">
        <f t="shared" si="4"/>
        <v>0.62531947187184522</v>
      </c>
      <c r="I9">
        <f t="shared" si="5"/>
        <v>200.50056793465242</v>
      </c>
    </row>
    <row r="10" spans="1:9">
      <c r="A10">
        <v>9</v>
      </c>
      <c r="B10" s="1">
        <v>45945</v>
      </c>
      <c r="C10">
        <f t="shared" si="0"/>
        <v>2.8348190060156764E-2</v>
      </c>
      <c r="D10">
        <v>1.4328270332191051</v>
      </c>
      <c r="E10">
        <f t="shared" si="1"/>
        <v>1432.827033219105</v>
      </c>
      <c r="F10">
        <f t="shared" si="2"/>
        <v>40.618053061025741</v>
      </c>
      <c r="G10">
        <f t="shared" si="3"/>
        <v>365.56247754923169</v>
      </c>
      <c r="H10">
        <f t="shared" si="4"/>
        <v>0.58967768943151999</v>
      </c>
      <c r="I10">
        <f t="shared" si="5"/>
        <v>215.56403710409285</v>
      </c>
    </row>
    <row r="11" spans="1:9">
      <c r="A11">
        <v>10</v>
      </c>
      <c r="B11" s="1">
        <v>46127</v>
      </c>
      <c r="C11">
        <f t="shared" si="0"/>
        <v>2.8348190060156764E-2</v>
      </c>
      <c r="D11">
        <v>1.4980841191287955</v>
      </c>
      <c r="E11">
        <f t="shared" si="1"/>
        <v>1498.0841191287955</v>
      </c>
      <c r="F11">
        <f t="shared" si="2"/>
        <v>42.467973335165624</v>
      </c>
      <c r="G11">
        <f t="shared" si="3"/>
        <v>424.67973335165624</v>
      </c>
      <c r="H11">
        <f t="shared" si="4"/>
        <v>0.55606740722853865</v>
      </c>
      <c r="I11">
        <f t="shared" si="5"/>
        <v>236.15055822736264</v>
      </c>
    </row>
    <row r="12" spans="1:9">
      <c r="A12">
        <v>11</v>
      </c>
      <c r="B12" s="1">
        <v>46310</v>
      </c>
      <c r="C12">
        <f t="shared" si="0"/>
        <v>2.8348190060156764E-2</v>
      </c>
      <c r="D12">
        <v>1.5181883765325823</v>
      </c>
      <c r="E12">
        <f t="shared" si="1"/>
        <v>1518.1883765325824</v>
      </c>
      <c r="F12">
        <f t="shared" si="2"/>
        <v>43.037892645066485</v>
      </c>
      <c r="G12">
        <f t="shared" si="3"/>
        <v>473.41681909573134</v>
      </c>
      <c r="H12">
        <f t="shared" si="4"/>
        <v>0.52437283438680715</v>
      </c>
      <c r="I12">
        <f t="shared" si="5"/>
        <v>248.24691927561497</v>
      </c>
    </row>
    <row r="13" spans="1:9">
      <c r="A13">
        <v>12</v>
      </c>
      <c r="B13" s="1">
        <v>46492</v>
      </c>
      <c r="C13">
        <f t="shared" si="0"/>
        <v>2.8348190060156764E-2</v>
      </c>
      <c r="D13">
        <v>1.5877320266288222</v>
      </c>
      <c r="E13">
        <f t="shared" si="1"/>
        <v>1587.7320266288223</v>
      </c>
      <c r="F13">
        <f t="shared" si="2"/>
        <v>45.009329255471734</v>
      </c>
      <c r="G13">
        <f t="shared" si="3"/>
        <v>540.11195106566083</v>
      </c>
      <c r="H13">
        <f t="shared" si="4"/>
        <v>0.49448477984584505</v>
      </c>
      <c r="I13">
        <f t="shared" si="5"/>
        <v>267.07713921481314</v>
      </c>
    </row>
    <row r="14" spans="1:9">
      <c r="A14">
        <v>13</v>
      </c>
      <c r="B14" s="1">
        <v>46675</v>
      </c>
      <c r="C14">
        <f t="shared" si="0"/>
        <v>2.8348190060156764E-2</v>
      </c>
      <c r="D14">
        <v>1.6091607046275029</v>
      </c>
      <c r="E14">
        <f t="shared" si="1"/>
        <v>1609.160704627503</v>
      </c>
      <c r="F14">
        <f t="shared" si="2"/>
        <v>45.616793492116237</v>
      </c>
      <c r="G14">
        <f t="shared" si="3"/>
        <v>593.01831539751106</v>
      </c>
      <c r="H14">
        <f t="shared" si="4"/>
        <v>0.46630027618636249</v>
      </c>
      <c r="I14">
        <f t="shared" si="5"/>
        <v>276.52460425343082</v>
      </c>
    </row>
    <row r="15" spans="1:9">
      <c r="A15">
        <v>14</v>
      </c>
      <c r="B15" s="1">
        <v>46858</v>
      </c>
      <c r="C15">
        <f t="shared" si="0"/>
        <v>2.8348190060156764E-2</v>
      </c>
      <c r="D15">
        <v>1.68333162654587</v>
      </c>
      <c r="E15">
        <f t="shared" si="1"/>
        <v>1683.33162654587</v>
      </c>
      <c r="F15">
        <f t="shared" si="2"/>
        <v>47.719404883595146</v>
      </c>
      <c r="G15">
        <f t="shared" si="3"/>
        <v>668.07166837033208</v>
      </c>
      <c r="H15">
        <f t="shared" si="4"/>
        <v>0.43972222489691848</v>
      </c>
      <c r="I15">
        <f t="shared" si="5"/>
        <v>293.76596040639868</v>
      </c>
    </row>
    <row r="16" spans="1:9">
      <c r="A16">
        <v>15</v>
      </c>
      <c r="B16" s="1">
        <v>47041</v>
      </c>
      <c r="C16">
        <f t="shared" si="0"/>
        <v>2.8348190060156764E-2</v>
      </c>
      <c r="D16">
        <v>1.7061905588044408</v>
      </c>
      <c r="E16">
        <f t="shared" si="1"/>
        <v>1706.1905588044408</v>
      </c>
      <c r="F16">
        <f t="shared" si="2"/>
        <v>48.367414239833366</v>
      </c>
      <c r="G16">
        <f t="shared" si="3"/>
        <v>725.5112135975005</v>
      </c>
      <c r="H16">
        <f t="shared" si="4"/>
        <v>0.41465906185957152</v>
      </c>
      <c r="I16">
        <f t="shared" si="5"/>
        <v>300.83979919893875</v>
      </c>
    </row>
    <row r="17" spans="1:9">
      <c r="A17">
        <v>16</v>
      </c>
      <c r="B17" s="1">
        <v>47223</v>
      </c>
      <c r="C17">
        <f t="shared" si="0"/>
        <v>2.8348190060156764E-2</v>
      </c>
      <c r="D17">
        <v>1.7852550311925901</v>
      </c>
      <c r="E17">
        <f t="shared" si="1"/>
        <v>1785.2550311925902</v>
      </c>
      <c r="F17">
        <f t="shared" si="2"/>
        <v>50.608748930098642</v>
      </c>
      <c r="G17">
        <f t="shared" si="3"/>
        <v>809.73998288157827</v>
      </c>
      <c r="H17">
        <f t="shared" si="4"/>
        <v>0.39102444190208346</v>
      </c>
      <c r="I17">
        <f t="shared" si="5"/>
        <v>316.62812489207175</v>
      </c>
    </row>
    <row r="18" spans="1:9">
      <c r="A18">
        <v>17</v>
      </c>
      <c r="B18" s="1">
        <v>47406</v>
      </c>
      <c r="C18">
        <f t="shared" si="0"/>
        <v>2.8348190060156764E-2</v>
      </c>
      <c r="D18">
        <v>1.8096262054090102</v>
      </c>
      <c r="E18">
        <f t="shared" si="1"/>
        <v>1809.6262054090103</v>
      </c>
      <c r="F18">
        <f t="shared" si="2"/>
        <v>51.299627608774905</v>
      </c>
      <c r="G18">
        <f t="shared" si="3"/>
        <v>872.09366934917341</v>
      </c>
      <c r="H18">
        <f t="shared" si="4"/>
        <v>0.36873694132992801</v>
      </c>
      <c r="I18">
        <f t="shared" si="5"/>
        <v>321.57315218900777</v>
      </c>
    </row>
    <row r="19" spans="1:9">
      <c r="A19">
        <v>18</v>
      </c>
      <c r="B19" s="1">
        <v>47588</v>
      </c>
      <c r="C19">
        <f t="shared" si="0"/>
        <v>2.8348190060156764E-2</v>
      </c>
      <c r="D19">
        <v>1.8938438802469666</v>
      </c>
      <c r="E19">
        <f t="shared" si="1"/>
        <v>1893.8438802469666</v>
      </c>
      <c r="F19">
        <f t="shared" si="2"/>
        <v>53.687046261505778</v>
      </c>
      <c r="G19">
        <f t="shared" si="3"/>
        <v>966.36683270710398</v>
      </c>
      <c r="H19">
        <f t="shared" si="4"/>
        <v>0.34771977741329613</v>
      </c>
      <c r="I19">
        <f t="shared" si="5"/>
        <v>336.02485996850618</v>
      </c>
    </row>
    <row r="20" spans="1:9">
      <c r="A20">
        <v>19</v>
      </c>
      <c r="B20" s="1">
        <v>47771</v>
      </c>
      <c r="C20">
        <f t="shared" si="0"/>
        <v>2.8348190060156764E-2</v>
      </c>
      <c r="D20">
        <v>1.9198070071155231</v>
      </c>
      <c r="E20">
        <f t="shared" si="1"/>
        <v>1919.807007115523</v>
      </c>
      <c r="F20">
        <f t="shared" si="2"/>
        <v>54.423053916531572</v>
      </c>
      <c r="G20">
        <f t="shared" si="3"/>
        <v>1034.0380244140999</v>
      </c>
      <c r="H20">
        <f t="shared" si="4"/>
        <v>0.32790054386270079</v>
      </c>
      <c r="I20">
        <f t="shared" si="5"/>
        <v>339.06163058009605</v>
      </c>
    </row>
    <row r="21" spans="1:9">
      <c r="A21">
        <v>20</v>
      </c>
      <c r="B21" s="1">
        <v>47953</v>
      </c>
      <c r="C21">
        <f t="shared" si="0"/>
        <v>2.8348190060156764E-2</v>
      </c>
      <c r="D21">
        <v>2.0094653122340413</v>
      </c>
      <c r="E21">
        <f t="shared" si="1"/>
        <v>2009.4653122340414</v>
      </c>
      <c r="F21">
        <f t="shared" si="2"/>
        <v>56.964704590502862</v>
      </c>
      <c r="G21">
        <f t="shared" si="3"/>
        <v>1139.2940918100571</v>
      </c>
      <c r="H21">
        <f t="shared" si="4"/>
        <v>0.30921096138186949</v>
      </c>
      <c r="I21">
        <f t="shared" si="5"/>
        <v>352.28222142527164</v>
      </c>
    </row>
    <row r="22" spans="1:9">
      <c r="A22">
        <v>21</v>
      </c>
      <c r="B22" s="1">
        <v>48136</v>
      </c>
      <c r="C22">
        <f t="shared" si="0"/>
        <v>2.8348190060156764E-2</v>
      </c>
      <c r="D22">
        <v>2.0371151331571578</v>
      </c>
      <c r="E22">
        <f t="shared" si="1"/>
        <v>2037.1151331571577</v>
      </c>
      <c r="F22">
        <f t="shared" si="2"/>
        <v>57.748526969160665</v>
      </c>
      <c r="G22">
        <f t="shared" si="3"/>
        <v>1212.7190663523741</v>
      </c>
      <c r="H22">
        <f t="shared" si="4"/>
        <v>0.29158664243855176</v>
      </c>
      <c r="I22">
        <f t="shared" si="5"/>
        <v>353.61268077890401</v>
      </c>
    </row>
    <row r="23" spans="1:9">
      <c r="A23">
        <v>22</v>
      </c>
      <c r="B23" s="1">
        <v>48319</v>
      </c>
      <c r="C23">
        <f t="shared" si="0"/>
        <v>2.8348190060156764E-2</v>
      </c>
      <c r="D23">
        <v>2.132520555718072</v>
      </c>
      <c r="E23">
        <f t="shared" si="1"/>
        <v>2132.520555718072</v>
      </c>
      <c r="F23">
        <f t="shared" si="2"/>
        <v>60.45309802068703</v>
      </c>
      <c r="G23">
        <f t="shared" si="3"/>
        <v>1329.9681564551147</v>
      </c>
      <c r="H23">
        <f t="shared" si="4"/>
        <v>0.27496686944285381</v>
      </c>
      <c r="I23">
        <f t="shared" si="5"/>
        <v>365.69718043914651</v>
      </c>
    </row>
    <row r="24" spans="1:9">
      <c r="A24">
        <v>23</v>
      </c>
      <c r="B24" s="1">
        <v>48502</v>
      </c>
      <c r="C24">
        <f t="shared" si="0"/>
        <v>2.8348190060156764E-2</v>
      </c>
      <c r="D24">
        <v>2.1619441181080052</v>
      </c>
      <c r="E24">
        <f t="shared" si="1"/>
        <v>2161.9441181080051</v>
      </c>
      <c r="F24">
        <f t="shared" si="2"/>
        <v>61.287202759563733</v>
      </c>
      <c r="G24">
        <f t="shared" si="3"/>
        <v>1409.605663469966</v>
      </c>
      <c r="H24">
        <f t="shared" si="4"/>
        <v>0.25929438556890205</v>
      </c>
      <c r="I24">
        <f t="shared" si="5"/>
        <v>365.50283440388932</v>
      </c>
    </row>
    <row r="25" spans="1:9">
      <c r="A25">
        <v>24</v>
      </c>
      <c r="B25" s="1">
        <v>48684</v>
      </c>
      <c r="C25">
        <f t="shared" si="0"/>
        <v>2.8348190060156764E-2</v>
      </c>
      <c r="D25">
        <v>2.2634287797005195</v>
      </c>
      <c r="E25">
        <f t="shared" si="1"/>
        <v>2263.4287797005195</v>
      </c>
      <c r="F25">
        <f t="shared" si="2"/>
        <v>64.164109234579016</v>
      </c>
      <c r="G25">
        <f t="shared" si="3"/>
        <v>1539.9386216298963</v>
      </c>
      <c r="H25">
        <f t="shared" si="4"/>
        <v>0.24451519749919384</v>
      </c>
      <c r="I25">
        <f t="shared" si="5"/>
        <v>376.53839620447042</v>
      </c>
    </row>
    <row r="26" spans="1:9">
      <c r="A26">
        <v>25</v>
      </c>
      <c r="B26" s="1">
        <v>48867</v>
      </c>
      <c r="C26">
        <f t="shared" si="0"/>
        <v>2.8348190060156764E-2</v>
      </c>
      <c r="D26">
        <v>2.2947285767234353</v>
      </c>
      <c r="E26">
        <f t="shared" si="1"/>
        <v>2294.7285767234353</v>
      </c>
      <c r="F26">
        <f t="shared" si="2"/>
        <v>65.051401829428968</v>
      </c>
      <c r="G26">
        <f t="shared" si="3"/>
        <v>1626.2850457357242</v>
      </c>
      <c r="H26">
        <f t="shared" si="4"/>
        <v>0.23057838941207018</v>
      </c>
      <c r="I26">
        <f t="shared" si="5"/>
        <v>374.98618657067817</v>
      </c>
    </row>
    <row r="27" spans="1:9">
      <c r="A27">
        <v>26</v>
      </c>
      <c r="B27" s="1">
        <v>49049</v>
      </c>
      <c r="C27">
        <f t="shared" si="0"/>
        <v>2.8348190060156764E-2</v>
      </c>
      <c r="D27">
        <v>2.4026551517003329</v>
      </c>
      <c r="E27">
        <f t="shared" si="1"/>
        <v>2402.6551517003331</v>
      </c>
      <c r="F27">
        <f t="shared" si="2"/>
        <v>68.110924889415827</v>
      </c>
      <c r="G27">
        <f t="shared" si="3"/>
        <v>1770.8840471248116</v>
      </c>
      <c r="H27">
        <f t="shared" si="4"/>
        <v>0.21743594757147788</v>
      </c>
      <c r="I27">
        <f t="shared" si="5"/>
        <v>385.0538508257971</v>
      </c>
    </row>
    <row r="28" spans="1:9">
      <c r="A28">
        <v>27</v>
      </c>
      <c r="B28" s="1">
        <v>49232</v>
      </c>
      <c r="C28">
        <f t="shared" si="0"/>
        <v>2.8348190060156764E-2</v>
      </c>
      <c r="D28">
        <v>2.435943000510667</v>
      </c>
      <c r="E28">
        <f t="shared" si="1"/>
        <v>2435.9430005106669</v>
      </c>
      <c r="F28">
        <f t="shared" si="2"/>
        <v>69.054575154184931</v>
      </c>
      <c r="G28">
        <f t="shared" si="3"/>
        <v>1864.4735291629931</v>
      </c>
      <c r="H28">
        <f t="shared" si="4"/>
        <v>0.20504259491471488</v>
      </c>
      <c r="I28">
        <f t="shared" si="5"/>
        <v>382.29649056937643</v>
      </c>
    </row>
    <row r="29" spans="1:9">
      <c r="A29">
        <v>28</v>
      </c>
      <c r="B29" s="1">
        <v>49414</v>
      </c>
      <c r="C29">
        <f t="shared" si="0"/>
        <v>2.8348190060156764E-2</v>
      </c>
      <c r="D29">
        <v>2.5506990376115755</v>
      </c>
      <c r="E29">
        <f t="shared" si="1"/>
        <v>2550.6990376115755</v>
      </c>
      <c r="F29">
        <f t="shared" si="2"/>
        <v>72.307701104471889</v>
      </c>
      <c r="G29">
        <f t="shared" si="3"/>
        <v>2024.6156309252128</v>
      </c>
      <c r="H29">
        <f t="shared" si="4"/>
        <v>0.19335563506829617</v>
      </c>
      <c r="I29">
        <f t="shared" si="5"/>
        <v>391.47084108674369</v>
      </c>
    </row>
    <row r="30" spans="1:9">
      <c r="A30">
        <v>29</v>
      </c>
      <c r="B30" s="1">
        <v>49597</v>
      </c>
      <c r="C30">
        <f t="shared" si="0"/>
        <v>2.8348190060156764E-2</v>
      </c>
      <c r="D30">
        <v>2.5860944729282238</v>
      </c>
      <c r="E30">
        <f t="shared" si="1"/>
        <v>2586.0944729282237</v>
      </c>
      <c r="F30">
        <f t="shared" si="2"/>
        <v>73.31109763209021</v>
      </c>
      <c r="G30">
        <f t="shared" si="3"/>
        <v>2126.0218313306159</v>
      </c>
      <c r="H30">
        <f t="shared" si="4"/>
        <v>0.18233480525455978</v>
      </c>
      <c r="I30">
        <f t="shared" si="5"/>
        <v>387.64777658261039</v>
      </c>
    </row>
    <row r="31" spans="1:9">
      <c r="A31">
        <v>30</v>
      </c>
      <c r="B31" s="1">
        <v>49780</v>
      </c>
      <c r="C31">
        <f t="shared" si="0"/>
        <v>2.8348190060156764E-2</v>
      </c>
      <c r="D31">
        <v>2.708095082225868</v>
      </c>
      <c r="E31">
        <f t="shared" si="1"/>
        <v>2708.0950822258678</v>
      </c>
      <c r="F31">
        <f t="shared" si="2"/>
        <v>76.769594091914755</v>
      </c>
      <c r="G31">
        <f t="shared" si="3"/>
        <v>2303.0878227574426</v>
      </c>
      <c r="H31">
        <f t="shared" si="4"/>
        <v>0.17194213758225999</v>
      </c>
      <c r="I31">
        <f t="shared" si="5"/>
        <v>395.99784328458782</v>
      </c>
    </row>
    <row r="32" spans="1:9">
      <c r="A32">
        <v>31</v>
      </c>
      <c r="B32" s="1">
        <v>49963</v>
      </c>
      <c r="C32">
        <f t="shared" si="0"/>
        <v>2.8348190060156764E-2</v>
      </c>
      <c r="D32">
        <v>2.7457261483714022</v>
      </c>
      <c r="E32">
        <f t="shared" si="1"/>
        <v>2745.7261483714024</v>
      </c>
      <c r="F32">
        <f t="shared" si="2"/>
        <v>77.836366707174705</v>
      </c>
      <c r="G32">
        <f t="shared" si="3"/>
        <v>2412.9273679224157</v>
      </c>
      <c r="H32">
        <f t="shared" si="4"/>
        <v>0.16214182824328044</v>
      </c>
      <c r="I32">
        <f t="shared" si="5"/>
        <v>391.23645485318707</v>
      </c>
    </row>
    <row r="33" spans="1:15">
      <c r="H33" t="s">
        <v>4</v>
      </c>
      <c r="I33">
        <f>SUM(I2:I32)</f>
        <v>8631.4106766362147</v>
      </c>
    </row>
    <row r="34" spans="1:15">
      <c r="A34" t="s">
        <v>98</v>
      </c>
      <c r="B34" s="6">
        <v>1000</v>
      </c>
      <c r="H34" t="s">
        <v>5</v>
      </c>
      <c r="I34">
        <f>(A32*B36)*H32</f>
        <v>13801.108784121918</v>
      </c>
    </row>
    <row r="35" spans="1:15">
      <c r="A35" t="s">
        <v>79</v>
      </c>
      <c r="B35" s="11">
        <v>5.7500000000000002E-2</v>
      </c>
      <c r="H35" t="s">
        <v>6</v>
      </c>
      <c r="I35">
        <f>SUM(I33:I34)</f>
        <v>22432.519460758132</v>
      </c>
    </row>
    <row r="36" spans="1:15">
      <c r="A36" t="s">
        <v>111</v>
      </c>
      <c r="B36">
        <f>B34*D32</f>
        <v>2745.7261483714024</v>
      </c>
      <c r="H36" t="s">
        <v>89</v>
      </c>
      <c r="I36">
        <f>(I35/B37)/2</f>
        <v>10.422754859663087</v>
      </c>
    </row>
    <row r="37" spans="1:15">
      <c r="A37" t="s">
        <v>90</v>
      </c>
      <c r="B37">
        <v>1076.131971</v>
      </c>
      <c r="H37" t="s">
        <v>18</v>
      </c>
      <c r="I37">
        <f>I36/(1+B38)</f>
        <v>9.8286816253450482</v>
      </c>
    </row>
    <row r="38" spans="1:15">
      <c r="A38" t="s">
        <v>101</v>
      </c>
      <c r="B38">
        <v>6.0442820000000001E-2</v>
      </c>
    </row>
    <row r="39" spans="1:15">
      <c r="A39" t="s">
        <v>119</v>
      </c>
      <c r="B39">
        <f>F4/B37</f>
        <v>3.0960182597170417E-2</v>
      </c>
    </row>
    <row r="43" spans="1:15">
      <c r="O43" s="6"/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FC96D-C174-4283-80B5-802D36D53924}">
  <dimension ref="A1:J23"/>
  <sheetViews>
    <sheetView topLeftCell="A10" workbookViewId="0">
      <selection activeCell="B23" sqref="B23"/>
    </sheetView>
  </sheetViews>
  <sheetFormatPr defaultRowHeight="15"/>
  <cols>
    <col min="2" max="2" width="11.140625" customWidth="1"/>
    <col min="4" max="4" width="10.7109375" bestFit="1" customWidth="1"/>
    <col min="6" max="6" width="9.5703125" bestFit="1" customWidth="1"/>
  </cols>
  <sheetData>
    <row r="1" spans="1:10">
      <c r="A1" t="s">
        <v>96</v>
      </c>
      <c r="B1" t="s">
        <v>0</v>
      </c>
      <c r="C1" t="s">
        <v>121</v>
      </c>
      <c r="D1" t="s">
        <v>141</v>
      </c>
      <c r="E1" t="s">
        <v>116</v>
      </c>
      <c r="F1" t="s">
        <v>142</v>
      </c>
      <c r="G1" t="s">
        <v>107</v>
      </c>
      <c r="H1" t="s">
        <v>12</v>
      </c>
      <c r="I1" t="s">
        <v>3</v>
      </c>
      <c r="J1" t="s">
        <v>102</v>
      </c>
    </row>
    <row r="2" spans="1:10">
      <c r="A2">
        <v>0</v>
      </c>
      <c r="B2" s="1">
        <v>44270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</v>
      </c>
      <c r="B3" s="1">
        <v>44454</v>
      </c>
      <c r="C3">
        <v>5.1499999999999997E-2</v>
      </c>
      <c r="D3" s="14">
        <f>(1+C3)^(NETWORKDAYS.INTL(B2,B3)/252)-1</f>
        <v>2.6858143811610669E-2</v>
      </c>
      <c r="E3">
        <f>1.99/100</f>
        <v>1.9900000000000001E-2</v>
      </c>
      <c r="F3" s="14">
        <f>D3+E3</f>
        <v>4.675814381161067E-2</v>
      </c>
      <c r="G3">
        <f>$B$20*F3</f>
        <v>46.758143811610672</v>
      </c>
      <c r="H3">
        <f>A3*G3</f>
        <v>46.758143811610672</v>
      </c>
      <c r="I3">
        <f>(1+$B$22)^(-A3)</f>
        <v>0.92592592592592582</v>
      </c>
      <c r="J3">
        <f>H3*I3</f>
        <v>43.294577603343207</v>
      </c>
    </row>
    <row r="4" spans="1:10">
      <c r="A4">
        <v>2</v>
      </c>
      <c r="B4" s="1">
        <v>44635</v>
      </c>
      <c r="C4">
        <v>0.1065</v>
      </c>
      <c r="D4" s="14">
        <f t="shared" ref="D4:D18" si="0">(1+C4)^(NETWORKDAYS.INTL(B3,B4)/252)-1</f>
        <v>5.3594150284956621E-2</v>
      </c>
      <c r="E4">
        <f t="shared" ref="E4:E18" si="1">1.99/100</f>
        <v>1.9900000000000001E-2</v>
      </c>
      <c r="F4" s="14">
        <f t="shared" ref="F4:F18" si="2">D4+E4</f>
        <v>7.3494150284956622E-2</v>
      </c>
      <c r="G4">
        <f t="shared" ref="G4:G18" si="3">$B$20*F4</f>
        <v>73.494150284956618</v>
      </c>
      <c r="H4">
        <f t="shared" ref="H4:H18" si="4">A4*G4</f>
        <v>146.98830056991324</v>
      </c>
      <c r="I4">
        <f t="shared" ref="I4:I18" si="5">(1+$B$22)^(-A4)</f>
        <v>0.85733882030178321</v>
      </c>
      <c r="J4">
        <f t="shared" ref="J4:J18" si="6">H4*I4</f>
        <v>126.01877620877335</v>
      </c>
    </row>
    <row r="5" spans="1:10">
      <c r="A5">
        <v>3</v>
      </c>
      <c r="B5" s="1">
        <v>44819</v>
      </c>
      <c r="C5">
        <v>0.13650000000000001</v>
      </c>
      <c r="D5" s="14">
        <f t="shared" si="0"/>
        <v>6.9863363092107056E-2</v>
      </c>
      <c r="E5">
        <f t="shared" si="1"/>
        <v>1.9900000000000001E-2</v>
      </c>
      <c r="F5" s="14">
        <f t="shared" si="2"/>
        <v>8.9763363092107057E-2</v>
      </c>
      <c r="G5">
        <f t="shared" si="3"/>
        <v>89.763363092107056</v>
      </c>
      <c r="H5">
        <f t="shared" si="4"/>
        <v>269.29008927632117</v>
      </c>
      <c r="I5">
        <f t="shared" si="5"/>
        <v>0.79383224102016958</v>
      </c>
      <c r="J5">
        <f t="shared" si="6"/>
        <v>213.77115505474356</v>
      </c>
    </row>
    <row r="6" spans="1:10">
      <c r="A6">
        <v>4</v>
      </c>
      <c r="B6" s="1">
        <v>45000</v>
      </c>
      <c r="C6">
        <v>0.13705000000000001</v>
      </c>
      <c r="D6" s="14">
        <f t="shared" si="0"/>
        <v>6.850158603241141E-2</v>
      </c>
      <c r="E6">
        <f t="shared" si="1"/>
        <v>1.9900000000000001E-2</v>
      </c>
      <c r="F6" s="14">
        <f t="shared" si="2"/>
        <v>8.8401586032411411E-2</v>
      </c>
      <c r="G6">
        <f t="shared" si="3"/>
        <v>88.401586032411416</v>
      </c>
      <c r="H6">
        <f t="shared" si="4"/>
        <v>353.60634412964566</v>
      </c>
      <c r="I6">
        <f t="shared" si="5"/>
        <v>0.73502985279645328</v>
      </c>
      <c r="J6">
        <f t="shared" si="6"/>
        <v>259.91121907350544</v>
      </c>
    </row>
    <row r="7" spans="1:10">
      <c r="A7">
        <v>5</v>
      </c>
      <c r="B7" s="1">
        <v>45184</v>
      </c>
      <c r="C7">
        <v>0.13413</v>
      </c>
      <c r="D7" s="14">
        <f t="shared" si="0"/>
        <v>6.8685289764101043E-2</v>
      </c>
      <c r="E7">
        <f t="shared" si="1"/>
        <v>1.9900000000000001E-2</v>
      </c>
      <c r="F7" s="14">
        <f t="shared" si="2"/>
        <v>8.8585289764101044E-2</v>
      </c>
      <c r="G7">
        <f t="shared" si="3"/>
        <v>88.585289764101049</v>
      </c>
      <c r="H7">
        <f t="shared" si="4"/>
        <v>442.92644882050524</v>
      </c>
      <c r="I7">
        <f t="shared" si="5"/>
        <v>0.68058319703375303</v>
      </c>
      <c r="J7">
        <f t="shared" si="6"/>
        <v>301.44829858906644</v>
      </c>
    </row>
    <row r="8" spans="1:10">
      <c r="A8">
        <v>6</v>
      </c>
      <c r="B8" s="1">
        <v>45366</v>
      </c>
      <c r="C8">
        <v>0.12934999999999999</v>
      </c>
      <c r="D8" s="14">
        <f t="shared" si="0"/>
        <v>6.5276787347437359E-2</v>
      </c>
      <c r="E8">
        <f t="shared" si="1"/>
        <v>1.9900000000000001E-2</v>
      </c>
      <c r="F8" s="14">
        <f t="shared" si="2"/>
        <v>8.517678734743736E-2</v>
      </c>
      <c r="G8">
        <f t="shared" si="3"/>
        <v>85.176787347437354</v>
      </c>
      <c r="H8">
        <f t="shared" si="4"/>
        <v>511.0607240846241</v>
      </c>
      <c r="I8">
        <f t="shared" si="5"/>
        <v>0.63016962688310452</v>
      </c>
      <c r="J8">
        <f t="shared" si="6"/>
        <v>322.05494581101681</v>
      </c>
    </row>
    <row r="9" spans="1:10">
      <c r="A9">
        <v>7</v>
      </c>
      <c r="B9" s="1">
        <v>45550</v>
      </c>
      <c r="C9">
        <v>0.1205</v>
      </c>
      <c r="D9" s="14">
        <f t="shared" si="0"/>
        <v>6.0929009015429525E-2</v>
      </c>
      <c r="E9">
        <f t="shared" si="1"/>
        <v>1.9900000000000001E-2</v>
      </c>
      <c r="F9" s="14">
        <f t="shared" si="2"/>
        <v>8.0829009015429526E-2</v>
      </c>
      <c r="G9">
        <f t="shared" si="3"/>
        <v>80.82900901542952</v>
      </c>
      <c r="H9">
        <f t="shared" si="4"/>
        <v>565.80306310800665</v>
      </c>
      <c r="I9">
        <f t="shared" si="5"/>
        <v>0.58349039526213387</v>
      </c>
      <c r="J9">
        <f t="shared" si="6"/>
        <v>330.1406529334169</v>
      </c>
    </row>
    <row r="10" spans="1:10">
      <c r="A10">
        <v>8</v>
      </c>
      <c r="B10" s="1">
        <v>45731</v>
      </c>
      <c r="C10">
        <v>0.1171</v>
      </c>
      <c r="D10" s="14">
        <f t="shared" si="0"/>
        <v>5.878892963944593E-2</v>
      </c>
      <c r="E10">
        <f t="shared" si="1"/>
        <v>1.9900000000000001E-2</v>
      </c>
      <c r="F10" s="14">
        <f t="shared" si="2"/>
        <v>7.8688929639445931E-2</v>
      </c>
      <c r="G10">
        <f t="shared" si="3"/>
        <v>78.688929639445931</v>
      </c>
      <c r="H10">
        <f t="shared" si="4"/>
        <v>629.51143711556745</v>
      </c>
      <c r="I10">
        <f t="shared" si="5"/>
        <v>0.54026888450197574</v>
      </c>
      <c r="J10">
        <f t="shared" si="6"/>
        <v>340.10544191166326</v>
      </c>
    </row>
    <row r="11" spans="1:10">
      <c r="A11">
        <v>9</v>
      </c>
      <c r="B11" s="1">
        <v>45915</v>
      </c>
      <c r="C11">
        <v>0.11559999999999999</v>
      </c>
      <c r="D11" s="14">
        <f t="shared" si="0"/>
        <v>5.8514671397432938E-2</v>
      </c>
      <c r="E11">
        <f t="shared" si="1"/>
        <v>1.9900000000000001E-2</v>
      </c>
      <c r="F11" s="14">
        <f t="shared" si="2"/>
        <v>7.8414671397432939E-2</v>
      </c>
      <c r="G11">
        <f t="shared" si="3"/>
        <v>78.41467139743294</v>
      </c>
      <c r="H11">
        <f t="shared" si="4"/>
        <v>705.73204257689645</v>
      </c>
      <c r="I11">
        <f t="shared" si="5"/>
        <v>0.50024896713145905</v>
      </c>
      <c r="J11">
        <f t="shared" si="6"/>
        <v>353.04172537066734</v>
      </c>
    </row>
    <row r="12" spans="1:10">
      <c r="A12">
        <v>10</v>
      </c>
      <c r="B12" s="1">
        <v>46096</v>
      </c>
      <c r="C12">
        <v>0.1152</v>
      </c>
      <c r="D12" s="14">
        <f t="shared" si="0"/>
        <v>5.7859551036805845E-2</v>
      </c>
      <c r="E12">
        <f t="shared" si="1"/>
        <v>1.9900000000000001E-2</v>
      </c>
      <c r="F12" s="14">
        <f t="shared" si="2"/>
        <v>7.7759551036805846E-2</v>
      </c>
      <c r="G12">
        <f t="shared" si="3"/>
        <v>77.759551036805846</v>
      </c>
      <c r="H12">
        <f t="shared" si="4"/>
        <v>777.59551036805851</v>
      </c>
      <c r="I12">
        <f t="shared" si="5"/>
        <v>0.46319348808468425</v>
      </c>
      <c r="J12">
        <f t="shared" si="6"/>
        <v>360.1771767663713</v>
      </c>
    </row>
    <row r="13" spans="1:10">
      <c r="A13">
        <v>11</v>
      </c>
      <c r="B13" s="1">
        <v>46280</v>
      </c>
      <c r="C13">
        <v>0.115</v>
      </c>
      <c r="D13" s="14">
        <f t="shared" si="0"/>
        <v>5.867589752307123E-2</v>
      </c>
      <c r="E13">
        <f t="shared" si="1"/>
        <v>1.9900000000000001E-2</v>
      </c>
      <c r="F13" s="14">
        <f t="shared" si="2"/>
        <v>7.8575897523071231E-2</v>
      </c>
      <c r="G13">
        <f t="shared" si="3"/>
        <v>78.575897523071234</v>
      </c>
      <c r="H13">
        <f t="shared" si="4"/>
        <v>864.33487275378354</v>
      </c>
      <c r="I13">
        <f t="shared" si="5"/>
        <v>0.42888285933767062</v>
      </c>
      <c r="J13">
        <f t="shared" si="6"/>
        <v>370.69841165190439</v>
      </c>
    </row>
    <row r="14" spans="1:10">
      <c r="A14">
        <v>12</v>
      </c>
      <c r="B14" s="1">
        <v>46461</v>
      </c>
      <c r="C14">
        <v>0.11484999999999999</v>
      </c>
      <c r="D14" s="14">
        <f t="shared" si="0"/>
        <v>5.7688266126721288E-2</v>
      </c>
      <c r="E14">
        <f t="shared" si="1"/>
        <v>1.9900000000000001E-2</v>
      </c>
      <c r="F14" s="14">
        <f t="shared" si="2"/>
        <v>7.7588266126721289E-2</v>
      </c>
      <c r="G14">
        <f t="shared" si="3"/>
        <v>77.588266126721294</v>
      </c>
      <c r="H14">
        <f t="shared" si="4"/>
        <v>931.05919352065553</v>
      </c>
      <c r="I14">
        <f t="shared" si="5"/>
        <v>0.39711375864599124</v>
      </c>
      <c r="J14">
        <f t="shared" si="6"/>
        <v>369.73641586089286</v>
      </c>
    </row>
    <row r="15" spans="1:10">
      <c r="A15">
        <v>13</v>
      </c>
      <c r="B15" s="1">
        <v>46645</v>
      </c>
      <c r="C15">
        <v>0.11459999999999999</v>
      </c>
      <c r="D15" s="14">
        <f t="shared" si="0"/>
        <v>5.8932753535372973E-2</v>
      </c>
      <c r="E15">
        <f t="shared" si="1"/>
        <v>1.9900000000000001E-2</v>
      </c>
      <c r="F15" s="14">
        <f t="shared" si="2"/>
        <v>7.8832753535372974E-2</v>
      </c>
      <c r="G15">
        <f t="shared" si="3"/>
        <v>78.832753535372973</v>
      </c>
      <c r="H15">
        <f t="shared" si="4"/>
        <v>1024.8257959598486</v>
      </c>
      <c r="I15">
        <f t="shared" si="5"/>
        <v>0.36769792467221413</v>
      </c>
      <c r="J15">
        <f t="shared" si="6"/>
        <v>376.82631832498629</v>
      </c>
    </row>
    <row r="16" spans="1:10">
      <c r="A16">
        <v>14</v>
      </c>
      <c r="B16" s="1">
        <v>46827</v>
      </c>
      <c r="C16">
        <v>0.115</v>
      </c>
      <c r="D16" s="14">
        <f t="shared" si="0"/>
        <v>5.8218688600747637E-2</v>
      </c>
      <c r="E16">
        <f t="shared" si="1"/>
        <v>1.9900000000000001E-2</v>
      </c>
      <c r="F16" s="14">
        <f t="shared" si="2"/>
        <v>7.8118688600747638E-2</v>
      </c>
      <c r="G16">
        <f t="shared" si="3"/>
        <v>78.118688600747632</v>
      </c>
      <c r="H16">
        <f t="shared" si="4"/>
        <v>1093.6616404104668</v>
      </c>
      <c r="I16">
        <f t="shared" si="5"/>
        <v>0.34046104136316119</v>
      </c>
      <c r="J16">
        <f t="shared" si="6"/>
        <v>372.34918099309067</v>
      </c>
    </row>
    <row r="17" spans="1:10">
      <c r="A17">
        <v>15</v>
      </c>
      <c r="B17" s="1">
        <v>47011</v>
      </c>
      <c r="C17">
        <v>0.115</v>
      </c>
      <c r="D17" s="14">
        <f t="shared" si="0"/>
        <v>5.9133303984902241E-2</v>
      </c>
      <c r="E17">
        <f t="shared" si="1"/>
        <v>1.9900000000000001E-2</v>
      </c>
      <c r="F17" s="14">
        <f t="shared" si="2"/>
        <v>7.9033303984902242E-2</v>
      </c>
      <c r="G17">
        <f t="shared" si="3"/>
        <v>79.033303984902247</v>
      </c>
      <c r="H17">
        <f t="shared" si="4"/>
        <v>1185.4995597735337</v>
      </c>
      <c r="I17">
        <f t="shared" si="5"/>
        <v>0.31524170496588994</v>
      </c>
      <c r="J17">
        <f t="shared" si="6"/>
        <v>373.7189024593207</v>
      </c>
    </row>
    <row r="18" spans="1:10">
      <c r="A18">
        <v>16</v>
      </c>
      <c r="B18" s="1">
        <v>47192</v>
      </c>
      <c r="C18">
        <v>0.1159</v>
      </c>
      <c r="D18" s="14">
        <f t="shared" si="0"/>
        <v>5.820204279949226E-2</v>
      </c>
      <c r="E18">
        <f t="shared" si="1"/>
        <v>1.9900000000000001E-2</v>
      </c>
      <c r="F18" s="14">
        <f t="shared" si="2"/>
        <v>7.8102042799492261E-2</v>
      </c>
      <c r="G18">
        <f t="shared" si="3"/>
        <v>78.102042799492267</v>
      </c>
      <c r="H18">
        <f t="shared" si="4"/>
        <v>1249.6326847918763</v>
      </c>
      <c r="I18">
        <f t="shared" si="5"/>
        <v>0.29189046756100923</v>
      </c>
      <c r="J18">
        <f t="shared" si="6"/>
        <v>364.75586864342</v>
      </c>
    </row>
    <row r="19" spans="1:10">
      <c r="I19" t="s">
        <v>4</v>
      </c>
      <c r="J19">
        <f>SUM(J3:J18)</f>
        <v>4878.0490672561837</v>
      </c>
    </row>
    <row r="20" spans="1:10">
      <c r="A20" t="s">
        <v>98</v>
      </c>
      <c r="B20" s="8">
        <v>1000</v>
      </c>
      <c r="I20" t="s">
        <v>5</v>
      </c>
      <c r="J20">
        <f>(A18*B20)*I18</f>
        <v>4670.2474809761479</v>
      </c>
    </row>
    <row r="21" spans="1:10">
      <c r="A21" t="s">
        <v>90</v>
      </c>
      <c r="B21">
        <v>981.866758</v>
      </c>
      <c r="I21" t="s">
        <v>6</v>
      </c>
      <c r="J21">
        <f>SUM(J19:J20)</f>
        <v>9548.2965482323307</v>
      </c>
    </row>
    <row r="22" spans="1:10">
      <c r="A22" t="s">
        <v>101</v>
      </c>
      <c r="B22">
        <v>0.08</v>
      </c>
      <c r="I22" t="s">
        <v>89</v>
      </c>
      <c r="J22">
        <f>(J21/B21)/2</f>
        <v>4.8623178605626709</v>
      </c>
    </row>
    <row r="23" spans="1:10">
      <c r="A23" t="s">
        <v>119</v>
      </c>
      <c r="B23">
        <f>G5/B21</f>
        <v>9.1421124465960443E-2</v>
      </c>
      <c r="I23" t="s">
        <v>18</v>
      </c>
      <c r="J23">
        <f>J22/(1+B22)</f>
        <v>4.5021461671876581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CAE4C-B30B-4A23-8B09-00F77B622371}">
  <dimension ref="A1:J27"/>
  <sheetViews>
    <sheetView topLeftCell="A13" workbookViewId="0">
      <selection activeCell="B27" sqref="B27"/>
    </sheetView>
  </sheetViews>
  <sheetFormatPr defaultRowHeight="15"/>
  <cols>
    <col min="2" max="2" width="11.7109375" customWidth="1"/>
    <col min="4" max="4" width="10.7109375" bestFit="1" customWidth="1"/>
    <col min="6" max="6" width="9.5703125" bestFit="1" customWidth="1"/>
  </cols>
  <sheetData>
    <row r="1" spans="1:10">
      <c r="A1" t="s">
        <v>96</v>
      </c>
      <c r="B1" t="s">
        <v>0</v>
      </c>
      <c r="C1" t="s">
        <v>121</v>
      </c>
      <c r="D1" t="s">
        <v>141</v>
      </c>
      <c r="E1" t="s">
        <v>116</v>
      </c>
      <c r="F1" t="s">
        <v>142</v>
      </c>
      <c r="G1" t="s">
        <v>107</v>
      </c>
      <c r="H1" t="s">
        <v>12</v>
      </c>
      <c r="I1" t="s">
        <v>3</v>
      </c>
      <c r="J1" t="s">
        <v>102</v>
      </c>
    </row>
    <row r="2" spans="1:10">
      <c r="A2">
        <v>0</v>
      </c>
      <c r="B2" s="1">
        <v>44323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</v>
      </c>
      <c r="B3" s="1">
        <v>44392</v>
      </c>
      <c r="C3">
        <v>4.1500000000000002E-2</v>
      </c>
      <c r="D3" s="14">
        <f>(1+C3)^(NETWORKDAYS.INTL(B2,B3)/252)-1</f>
        <v>8.1004863457581067E-3</v>
      </c>
      <c r="E3">
        <f>2.6/100</f>
        <v>2.6000000000000002E-2</v>
      </c>
      <c r="F3" s="14">
        <f>D3+E3</f>
        <v>3.4100486345758109E-2</v>
      </c>
      <c r="G3">
        <f>$B$24*F3</f>
        <v>34.100486345758107</v>
      </c>
      <c r="H3">
        <f>A3*G3</f>
        <v>34.100486345758107</v>
      </c>
      <c r="I3">
        <f>(1+$B$26)^(-A3)</f>
        <v>0.94854751053942998</v>
      </c>
      <c r="J3">
        <f>H3*I3</f>
        <v>32.345931431452676</v>
      </c>
    </row>
    <row r="4" spans="1:10">
      <c r="A4">
        <v>2</v>
      </c>
      <c r="B4" s="1">
        <v>44484</v>
      </c>
      <c r="C4">
        <v>6.1499999999999999E-2</v>
      </c>
      <c r="D4" s="14">
        <f t="shared" ref="D4:D22" si="0">(1+C4)^(NETWORKDAYS.INTL(B3,B4)/252)-1</f>
        <v>1.599466664864968E-2</v>
      </c>
      <c r="E4">
        <f t="shared" ref="E4:E22" si="1">2.6/100</f>
        <v>2.6000000000000002E-2</v>
      </c>
      <c r="F4" s="14">
        <f t="shared" ref="F4:F22" si="2">D4+E4</f>
        <v>4.1994666648649683E-2</v>
      </c>
      <c r="G4">
        <f t="shared" ref="G4:G22" si="3">$B$24*F4</f>
        <v>41.994666648649684</v>
      </c>
      <c r="H4">
        <f t="shared" ref="H4:H24" si="4">A4*G4</f>
        <v>83.989333297299368</v>
      </c>
      <c r="I4">
        <f t="shared" ref="I4:I22" si="5">(1+$B$26)^(-A4)</f>
        <v>0.89974237975054994</v>
      </c>
      <c r="J4">
        <f t="shared" ref="J4:J22" si="6">H4*I4</f>
        <v>75.56876261457424</v>
      </c>
    </row>
    <row r="5" spans="1:10">
      <c r="A5">
        <v>3</v>
      </c>
      <c r="B5" s="1">
        <v>44576</v>
      </c>
      <c r="C5">
        <v>9.1499999999999998E-2</v>
      </c>
      <c r="D5" s="14">
        <f t="shared" si="0"/>
        <v>2.3195446117762142E-2</v>
      </c>
      <c r="E5">
        <f t="shared" si="1"/>
        <v>2.6000000000000002E-2</v>
      </c>
      <c r="F5" s="14">
        <f t="shared" si="2"/>
        <v>4.9195446117762144E-2</v>
      </c>
      <c r="G5">
        <f t="shared" si="3"/>
        <v>49.195446117762145</v>
      </c>
      <c r="H5">
        <f t="shared" si="4"/>
        <v>147.58633835328644</v>
      </c>
      <c r="I5">
        <f t="shared" si="5"/>
        <v>0.85344839443920661</v>
      </c>
      <c r="J5">
        <f t="shared" si="6"/>
        <v>125.95732350877381</v>
      </c>
    </row>
    <row r="6" spans="1:10">
      <c r="A6">
        <v>4</v>
      </c>
      <c r="B6" s="1">
        <v>44666</v>
      </c>
      <c r="C6">
        <v>0.11650000000000001</v>
      </c>
      <c r="D6" s="14">
        <f t="shared" si="0"/>
        <v>2.8832116718555456E-2</v>
      </c>
      <c r="E6">
        <f t="shared" si="1"/>
        <v>2.6000000000000002E-2</v>
      </c>
      <c r="F6" s="14">
        <f t="shared" si="2"/>
        <v>5.4832116718555458E-2</v>
      </c>
      <c r="G6">
        <f t="shared" si="3"/>
        <v>54.832116718555461</v>
      </c>
      <c r="H6">
        <f t="shared" si="4"/>
        <v>219.32846687422185</v>
      </c>
      <c r="I6">
        <f t="shared" si="5"/>
        <v>0.80953634991918277</v>
      </c>
      <c r="J6">
        <f t="shared" si="6"/>
        <v>177.55436650672794</v>
      </c>
    </row>
    <row r="7" spans="1:10">
      <c r="A7">
        <v>5</v>
      </c>
      <c r="B7" s="1">
        <v>44757</v>
      </c>
      <c r="C7">
        <v>0.13150000000000001</v>
      </c>
      <c r="D7" s="14">
        <f t="shared" si="0"/>
        <v>3.2885984274794833E-2</v>
      </c>
      <c r="E7">
        <f t="shared" si="1"/>
        <v>2.6000000000000002E-2</v>
      </c>
      <c r="F7" s="14">
        <f t="shared" si="2"/>
        <v>5.8885984274794835E-2</v>
      </c>
      <c r="G7">
        <f t="shared" si="3"/>
        <v>58.885984274794836</v>
      </c>
      <c r="H7">
        <f t="shared" si="4"/>
        <v>294.4299213739742</v>
      </c>
      <c r="I7">
        <f t="shared" si="5"/>
        <v>0.76788368940701768</v>
      </c>
      <c r="J7">
        <f t="shared" si="6"/>
        <v>226.08793429646545</v>
      </c>
    </row>
    <row r="8" spans="1:10">
      <c r="A8">
        <v>6</v>
      </c>
      <c r="B8" s="1">
        <v>44849</v>
      </c>
      <c r="C8">
        <v>0.13650000000000001</v>
      </c>
      <c r="D8" s="14">
        <f t="shared" si="0"/>
        <v>3.4079434236576223E-2</v>
      </c>
      <c r="E8">
        <f t="shared" si="1"/>
        <v>2.6000000000000002E-2</v>
      </c>
      <c r="F8" s="14">
        <f t="shared" si="2"/>
        <v>6.0079434236576225E-2</v>
      </c>
      <c r="G8">
        <f t="shared" si="3"/>
        <v>60.079434236576226</v>
      </c>
      <c r="H8">
        <f t="shared" si="4"/>
        <v>360.47660541945737</v>
      </c>
      <c r="I8">
        <f t="shared" si="5"/>
        <v>0.72837416197085936</v>
      </c>
      <c r="J8">
        <f t="shared" si="6"/>
        <v>262.56184538249738</v>
      </c>
    </row>
    <row r="9" spans="1:10">
      <c r="A9">
        <v>7</v>
      </c>
      <c r="B9" s="1">
        <v>44941</v>
      </c>
      <c r="C9">
        <v>0.13672000000000001</v>
      </c>
      <c r="D9" s="14">
        <f t="shared" si="0"/>
        <v>3.3606114389451269E-2</v>
      </c>
      <c r="E9">
        <f t="shared" si="1"/>
        <v>2.6000000000000002E-2</v>
      </c>
      <c r="F9" s="14">
        <f t="shared" si="2"/>
        <v>5.9606114389451272E-2</v>
      </c>
      <c r="G9">
        <f t="shared" si="3"/>
        <v>59.606114389451271</v>
      </c>
      <c r="H9">
        <f t="shared" si="4"/>
        <v>417.24280072615892</v>
      </c>
      <c r="I9">
        <f t="shared" si="5"/>
        <v>0.69089749807870227</v>
      </c>
      <c r="J9">
        <f t="shared" si="6"/>
        <v>288.27200711305375</v>
      </c>
    </row>
    <row r="10" spans="1:10">
      <c r="A10">
        <v>8</v>
      </c>
      <c r="B10" s="1">
        <v>45031</v>
      </c>
      <c r="C10">
        <v>0.13700000000000001</v>
      </c>
      <c r="D10" s="14">
        <f t="shared" si="0"/>
        <v>3.3671779204877295E-2</v>
      </c>
      <c r="E10">
        <f t="shared" si="1"/>
        <v>2.6000000000000002E-2</v>
      </c>
      <c r="F10" s="14">
        <f t="shared" si="2"/>
        <v>5.9671779204877297E-2</v>
      </c>
      <c r="G10">
        <f t="shared" si="3"/>
        <v>59.671779204877296</v>
      </c>
      <c r="H10">
        <f t="shared" si="4"/>
        <v>477.37423363901837</v>
      </c>
      <c r="I10">
        <f t="shared" si="5"/>
        <v>0.65534910184047357</v>
      </c>
      <c r="J10">
        <f t="shared" si="6"/>
        <v>312.8467752571151</v>
      </c>
    </row>
    <row r="11" spans="1:10">
      <c r="A11">
        <v>9</v>
      </c>
      <c r="B11" s="1">
        <v>45122</v>
      </c>
      <c r="C11">
        <v>0.1361</v>
      </c>
      <c r="D11" s="14">
        <f t="shared" si="0"/>
        <v>3.346067100176664E-2</v>
      </c>
      <c r="E11">
        <f t="shared" si="1"/>
        <v>2.6000000000000002E-2</v>
      </c>
      <c r="F11" s="14">
        <f t="shared" si="2"/>
        <v>5.9460671001766642E-2</v>
      </c>
      <c r="G11">
        <f t="shared" si="3"/>
        <v>59.460671001766642</v>
      </c>
      <c r="H11">
        <f t="shared" si="4"/>
        <v>535.14603901589976</v>
      </c>
      <c r="I11">
        <f t="shared" si="5"/>
        <v>0.62162975908503249</v>
      </c>
      <c r="J11">
        <f t="shared" si="6"/>
        <v>332.66270330876318</v>
      </c>
    </row>
    <row r="12" spans="1:10">
      <c r="A12">
        <v>10</v>
      </c>
      <c r="B12" s="1">
        <v>45214</v>
      </c>
      <c r="C12">
        <v>0.13305</v>
      </c>
      <c r="D12" s="14">
        <f t="shared" si="0"/>
        <v>3.2744324571362116E-2</v>
      </c>
      <c r="E12">
        <f t="shared" si="1"/>
        <v>2.6000000000000002E-2</v>
      </c>
      <c r="F12" s="14">
        <f t="shared" si="2"/>
        <v>5.8744324571362118E-2</v>
      </c>
      <c r="G12">
        <f t="shared" si="3"/>
        <v>58.744324571362121</v>
      </c>
      <c r="H12">
        <f t="shared" si="4"/>
        <v>587.4432457136212</v>
      </c>
      <c r="I12">
        <f t="shared" si="5"/>
        <v>0.58964536045733318</v>
      </c>
      <c r="J12">
        <f t="shared" si="6"/>
        <v>346.38318436703389</v>
      </c>
    </row>
    <row r="13" spans="1:10">
      <c r="A13">
        <v>11</v>
      </c>
      <c r="B13" s="1">
        <v>45306</v>
      </c>
      <c r="C13">
        <v>0.12934999999999999</v>
      </c>
      <c r="D13" s="14">
        <f t="shared" si="0"/>
        <v>3.2371603825045003E-2</v>
      </c>
      <c r="E13">
        <f t="shared" si="1"/>
        <v>2.6000000000000002E-2</v>
      </c>
      <c r="F13" s="14">
        <f t="shared" si="2"/>
        <v>5.8371603825045006E-2</v>
      </c>
      <c r="G13">
        <f t="shared" si="3"/>
        <v>58.371603825045007</v>
      </c>
      <c r="H13">
        <f t="shared" si="4"/>
        <v>642.08764207549507</v>
      </c>
      <c r="I13">
        <f t="shared" si="5"/>
        <v>0.55930663876292819</v>
      </c>
      <c r="J13">
        <f t="shared" si="6"/>
        <v>359.12388088045924</v>
      </c>
    </row>
    <row r="14" spans="1:10">
      <c r="A14">
        <v>12</v>
      </c>
      <c r="B14" s="1">
        <v>45397</v>
      </c>
      <c r="C14">
        <v>0.12570000000000001</v>
      </c>
      <c r="D14" s="14">
        <f t="shared" si="0"/>
        <v>3.1496695765478311E-2</v>
      </c>
      <c r="E14">
        <f t="shared" si="1"/>
        <v>2.6000000000000002E-2</v>
      </c>
      <c r="F14" s="14">
        <f t="shared" si="2"/>
        <v>5.7496695765478313E-2</v>
      </c>
      <c r="G14">
        <f t="shared" si="3"/>
        <v>57.496695765478314</v>
      </c>
      <c r="H14">
        <f t="shared" si="4"/>
        <v>689.9603491857398</v>
      </c>
      <c r="I14">
        <f t="shared" si="5"/>
        <v>0.53052891982675177</v>
      </c>
      <c r="J14">
        <f t="shared" si="6"/>
        <v>366.04391877679899</v>
      </c>
    </row>
    <row r="15" spans="1:10">
      <c r="A15">
        <v>13</v>
      </c>
      <c r="B15" s="1">
        <v>45488</v>
      </c>
      <c r="C15">
        <v>0.1205</v>
      </c>
      <c r="D15" s="14">
        <f t="shared" si="0"/>
        <v>3.0246627774100254E-2</v>
      </c>
      <c r="E15">
        <f t="shared" si="1"/>
        <v>2.6000000000000002E-2</v>
      </c>
      <c r="F15" s="14">
        <f t="shared" si="2"/>
        <v>5.6246627774100257E-2</v>
      </c>
      <c r="G15">
        <f t="shared" si="3"/>
        <v>56.246627774100254</v>
      </c>
      <c r="H15">
        <f t="shared" si="4"/>
        <v>731.20616106330328</v>
      </c>
      <c r="I15">
        <f t="shared" si="5"/>
        <v>0.50323188617083814</v>
      </c>
      <c r="J15">
        <f t="shared" si="6"/>
        <v>367.96625561162375</v>
      </c>
    </row>
    <row r="16" spans="1:10">
      <c r="A16">
        <v>14</v>
      </c>
      <c r="B16" s="1">
        <v>45580</v>
      </c>
      <c r="C16">
        <v>0.11924999999999999</v>
      </c>
      <c r="D16" s="14">
        <f t="shared" si="0"/>
        <v>3.0406041639659431E-2</v>
      </c>
      <c r="E16">
        <f t="shared" si="1"/>
        <v>2.6000000000000002E-2</v>
      </c>
      <c r="F16" s="14">
        <f t="shared" si="2"/>
        <v>5.6406041639659434E-2</v>
      </c>
      <c r="G16">
        <f t="shared" si="3"/>
        <v>56.406041639659435</v>
      </c>
      <c r="H16">
        <f t="shared" si="4"/>
        <v>789.68458295523214</v>
      </c>
      <c r="I16">
        <f t="shared" si="5"/>
        <v>0.47733935285141033</v>
      </c>
      <c r="J16">
        <f t="shared" si="6"/>
        <v>376.94752778458638</v>
      </c>
    </row>
    <row r="17" spans="1:10">
      <c r="A17">
        <v>15</v>
      </c>
      <c r="B17" s="1">
        <v>45672</v>
      </c>
      <c r="C17">
        <v>0.1171</v>
      </c>
      <c r="D17" s="14">
        <f t="shared" si="0"/>
        <v>2.9879417854990598E-2</v>
      </c>
      <c r="E17">
        <f t="shared" si="1"/>
        <v>2.6000000000000002E-2</v>
      </c>
      <c r="F17" s="14">
        <f t="shared" si="2"/>
        <v>5.58794178549906E-2</v>
      </c>
      <c r="G17">
        <f t="shared" si="3"/>
        <v>55.879417854990599</v>
      </c>
      <c r="H17">
        <f t="shared" si="4"/>
        <v>838.19126782485898</v>
      </c>
      <c r="I17">
        <f t="shared" si="5"/>
        <v>0.45277905482970782</v>
      </c>
      <c r="J17">
        <f t="shared" si="6"/>
        <v>379.51545001225412</v>
      </c>
    </row>
    <row r="18" spans="1:10">
      <c r="A18">
        <v>16</v>
      </c>
      <c r="B18" s="1">
        <v>45762</v>
      </c>
      <c r="C18">
        <v>0.11595</v>
      </c>
      <c r="D18" s="14">
        <f t="shared" si="0"/>
        <v>2.870136702361048E-2</v>
      </c>
      <c r="E18">
        <f t="shared" si="1"/>
        <v>2.6000000000000002E-2</v>
      </c>
      <c r="F18" s="14">
        <f t="shared" si="2"/>
        <v>5.4701367023610482E-2</v>
      </c>
      <c r="G18">
        <f t="shared" si="3"/>
        <v>54.70136702361048</v>
      </c>
      <c r="H18">
        <f t="shared" si="4"/>
        <v>875.22187237776768</v>
      </c>
      <c r="I18">
        <f t="shared" si="5"/>
        <v>0.42948244528311535</v>
      </c>
      <c r="J18">
        <f t="shared" si="6"/>
        <v>375.89242991407036</v>
      </c>
    </row>
    <row r="19" spans="1:10">
      <c r="A19">
        <v>17</v>
      </c>
      <c r="B19" s="1">
        <v>45853</v>
      </c>
      <c r="C19">
        <v>0.11559999999999999</v>
      </c>
      <c r="D19" s="14">
        <f t="shared" si="0"/>
        <v>2.9064754476618049E-2</v>
      </c>
      <c r="E19">
        <f t="shared" si="1"/>
        <v>2.6000000000000002E-2</v>
      </c>
      <c r="F19" s="14">
        <f t="shared" si="2"/>
        <v>5.5064754476618051E-2</v>
      </c>
      <c r="G19">
        <f t="shared" si="3"/>
        <v>55.064754476618049</v>
      </c>
      <c r="H19">
        <f t="shared" si="4"/>
        <v>936.10082610250686</v>
      </c>
      <c r="I19">
        <f t="shared" si="5"/>
        <v>0.407384504293686</v>
      </c>
      <c r="J19">
        <f t="shared" si="6"/>
        <v>381.35297101067971</v>
      </c>
    </row>
    <row r="20" spans="1:10">
      <c r="A20">
        <v>18</v>
      </c>
      <c r="B20" s="1">
        <v>45945</v>
      </c>
      <c r="C20">
        <v>0.11544</v>
      </c>
      <c r="D20" s="14">
        <f t="shared" si="0"/>
        <v>2.9472306043065943E-2</v>
      </c>
      <c r="E20">
        <f t="shared" si="1"/>
        <v>2.6000000000000002E-2</v>
      </c>
      <c r="F20" s="14">
        <f t="shared" si="2"/>
        <v>5.5472306043065946E-2</v>
      </c>
      <c r="G20">
        <f t="shared" si="3"/>
        <v>55.472306043065949</v>
      </c>
      <c r="H20">
        <f t="shared" si="4"/>
        <v>998.50150877518706</v>
      </c>
      <c r="I20">
        <f t="shared" si="5"/>
        <v>0.38642355738011552</v>
      </c>
      <c r="J20">
        <f t="shared" si="6"/>
        <v>385.84450507032039</v>
      </c>
    </row>
    <row r="21" spans="1:10">
      <c r="A21">
        <v>19</v>
      </c>
      <c r="B21" s="1">
        <v>46037</v>
      </c>
      <c r="C21">
        <v>0.1152</v>
      </c>
      <c r="D21" s="14">
        <f t="shared" si="0"/>
        <v>2.9413409709470484E-2</v>
      </c>
      <c r="E21">
        <f t="shared" si="1"/>
        <v>2.6000000000000002E-2</v>
      </c>
      <c r="F21" s="14">
        <f t="shared" si="2"/>
        <v>5.5413409709470486E-2</v>
      </c>
      <c r="G21">
        <f t="shared" si="3"/>
        <v>55.413409709470486</v>
      </c>
      <c r="H21">
        <f t="shared" si="4"/>
        <v>1052.8547844799393</v>
      </c>
      <c r="I21">
        <f t="shared" si="5"/>
        <v>0.36654110336669915</v>
      </c>
      <c r="J21">
        <f t="shared" si="6"/>
        <v>385.91455438818519</v>
      </c>
    </row>
    <row r="22" spans="1:10">
      <c r="A22">
        <v>20</v>
      </c>
      <c r="B22" s="1">
        <v>46127</v>
      </c>
      <c r="C22">
        <v>0.11496000000000001</v>
      </c>
      <c r="D22" s="14">
        <f t="shared" si="0"/>
        <v>2.8465897019390729E-2</v>
      </c>
      <c r="E22">
        <f t="shared" si="1"/>
        <v>2.6000000000000002E-2</v>
      </c>
      <c r="F22" s="14">
        <f t="shared" si="2"/>
        <v>5.4465897019390731E-2</v>
      </c>
      <c r="G22">
        <f t="shared" si="3"/>
        <v>54.465897019390731</v>
      </c>
      <c r="H22">
        <f t="shared" si="4"/>
        <v>1089.3179403878146</v>
      </c>
      <c r="I22">
        <f t="shared" si="5"/>
        <v>0.34768165110885835</v>
      </c>
      <c r="J22">
        <f t="shared" si="6"/>
        <v>378.73586009653633</v>
      </c>
    </row>
    <row r="23" spans="1:10">
      <c r="I23" t="s">
        <v>4</v>
      </c>
      <c r="J23">
        <f>SUM(J3:J22)</f>
        <v>5937.5781873319702</v>
      </c>
    </row>
    <row r="24" spans="1:10">
      <c r="A24" t="s">
        <v>98</v>
      </c>
      <c r="B24" s="8">
        <v>1000</v>
      </c>
      <c r="I24" t="s">
        <v>5</v>
      </c>
      <c r="J24">
        <f>(A22*B24)*I22</f>
        <v>6953.6330221771668</v>
      </c>
    </row>
    <row r="25" spans="1:10">
      <c r="A25" t="s">
        <v>90</v>
      </c>
      <c r="B25">
        <v>995.28900999999996</v>
      </c>
      <c r="I25" t="s">
        <v>6</v>
      </c>
      <c r="J25">
        <f>SUM(J23:J24)</f>
        <v>12891.211209509136</v>
      </c>
    </row>
    <row r="26" spans="1:10">
      <c r="A26" t="s">
        <v>101</v>
      </c>
      <c r="B26">
        <v>5.4243449999999999E-2</v>
      </c>
      <c r="I26" t="s">
        <v>89</v>
      </c>
      <c r="J26">
        <f>(J25/B25)/4</f>
        <v>3.238057257737915</v>
      </c>
    </row>
    <row r="27" spans="1:10">
      <c r="A27" t="s">
        <v>119</v>
      </c>
      <c r="B27">
        <f>G8/B25</f>
        <v>6.0363807530212983E-2</v>
      </c>
      <c r="I27" t="s">
        <v>18</v>
      </c>
      <c r="J27">
        <f>J26/(1+B26)</f>
        <v>3.0714511508114328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8D3BC-EC0A-47E9-8FF4-CEFA111420ED}">
  <dimension ref="A1:N18"/>
  <sheetViews>
    <sheetView workbookViewId="0">
      <selection activeCell="B17" sqref="B17"/>
    </sheetView>
  </sheetViews>
  <sheetFormatPr defaultRowHeight="15"/>
  <cols>
    <col min="2" max="2" width="11" customWidth="1"/>
    <col min="4" max="4" width="10.7109375" bestFit="1" customWidth="1"/>
    <col min="6" max="6" width="9.5703125" bestFit="1" customWidth="1"/>
  </cols>
  <sheetData>
    <row r="1" spans="1:10">
      <c r="A1" t="s">
        <v>96</v>
      </c>
      <c r="B1" t="s">
        <v>0</v>
      </c>
      <c r="C1" t="s">
        <v>121</v>
      </c>
      <c r="D1" t="s">
        <v>141</v>
      </c>
      <c r="E1" t="s">
        <v>116</v>
      </c>
      <c r="F1" t="s">
        <v>142</v>
      </c>
      <c r="G1" t="s">
        <v>107</v>
      </c>
      <c r="H1" t="s">
        <v>12</v>
      </c>
      <c r="I1" t="s">
        <v>3</v>
      </c>
      <c r="J1" t="s">
        <v>102</v>
      </c>
    </row>
    <row r="2" spans="1:10">
      <c r="A2">
        <v>0</v>
      </c>
      <c r="B2" s="1">
        <v>44328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</v>
      </c>
      <c r="B3" s="1">
        <v>44484</v>
      </c>
      <c r="C3">
        <v>6.1499999999999999E-2</v>
      </c>
      <c r="D3" s="14">
        <f>(1+C3)^(NETWORKDAYS.INTL(B2,B3)/252)-1</f>
        <v>2.7123951079170761E-2</v>
      </c>
      <c r="E3">
        <f>1.8/100</f>
        <v>1.8000000000000002E-2</v>
      </c>
      <c r="F3" s="14">
        <f>D3+E3</f>
        <v>4.5123951079170763E-2</v>
      </c>
      <c r="G3">
        <f>$B$14*F3</f>
        <v>45.123951079170766</v>
      </c>
      <c r="H3">
        <f>A3*G3</f>
        <v>45.123951079170766</v>
      </c>
      <c r="I3">
        <f>(1+$B$16)^(-A3)</f>
        <v>0.93205854319361559</v>
      </c>
      <c r="J3">
        <f>H3*I3</f>
        <v>42.058164105991885</v>
      </c>
    </row>
    <row r="4" spans="1:10">
      <c r="A4">
        <v>2</v>
      </c>
      <c r="B4" s="1">
        <v>44666</v>
      </c>
      <c r="C4">
        <v>0.11650000000000001</v>
      </c>
      <c r="D4" s="14">
        <f t="shared" ref="D4:D12" si="0">(1+C4)^(NETWORKDAYS.INTL(B3,B4)/252)-1</f>
        <v>5.8958502313748662E-2</v>
      </c>
      <c r="E4">
        <f t="shared" ref="E4:E12" si="1">1.8/100</f>
        <v>1.8000000000000002E-2</v>
      </c>
      <c r="F4" s="14">
        <f t="shared" ref="F4:F12" si="2">D4+E4</f>
        <v>7.6958502313748664E-2</v>
      </c>
      <c r="G4">
        <f t="shared" ref="G4:G12" si="3">$B$14*F4</f>
        <v>76.958502313748667</v>
      </c>
      <c r="H4">
        <f t="shared" ref="H4:H12" si="4">A4*G4</f>
        <v>153.91700462749733</v>
      </c>
      <c r="I4">
        <f t="shared" ref="I4:I12" si="5">(1+$B$16)^(-A4)</f>
        <v>0.86873312794020485</v>
      </c>
      <c r="J4">
        <f t="shared" ref="J4:J12" si="6">H4*I4</f>
        <v>133.71280087323274</v>
      </c>
    </row>
    <row r="5" spans="1:10">
      <c r="A5">
        <v>3</v>
      </c>
      <c r="B5" s="1">
        <v>44849</v>
      </c>
      <c r="C5">
        <v>0.13650000000000001</v>
      </c>
      <c r="D5" s="14">
        <f t="shared" si="0"/>
        <v>6.8777465213071487E-2</v>
      </c>
      <c r="E5">
        <f t="shared" si="1"/>
        <v>1.8000000000000002E-2</v>
      </c>
      <c r="F5" s="14">
        <f t="shared" si="2"/>
        <v>8.6777465213071489E-2</v>
      </c>
      <c r="G5">
        <f t="shared" si="3"/>
        <v>86.777465213071494</v>
      </c>
      <c r="H5">
        <f t="shared" si="4"/>
        <v>260.3323956392145</v>
      </c>
      <c r="I5">
        <f t="shared" si="5"/>
        <v>0.80971013365198019</v>
      </c>
      <c r="J5">
        <f t="shared" si="6"/>
        <v>210.79377886696855</v>
      </c>
    </row>
    <row r="6" spans="1:10">
      <c r="A6">
        <v>4</v>
      </c>
      <c r="B6" s="1">
        <v>45031</v>
      </c>
      <c r="C6">
        <v>0.13700000000000001</v>
      </c>
      <c r="D6" s="14">
        <f t="shared" si="0"/>
        <v>6.847734712457676E-2</v>
      </c>
      <c r="E6">
        <f t="shared" si="1"/>
        <v>1.8000000000000002E-2</v>
      </c>
      <c r="F6" s="14">
        <f t="shared" si="2"/>
        <v>8.6477347124576762E-2</v>
      </c>
      <c r="G6">
        <f t="shared" si="3"/>
        <v>86.477347124576767</v>
      </c>
      <c r="H6">
        <f t="shared" si="4"/>
        <v>345.90938849830707</v>
      </c>
      <c r="I6">
        <f t="shared" si="5"/>
        <v>0.75469724758077228</v>
      </c>
      <c r="J6">
        <f t="shared" si="6"/>
        <v>261.05686341202039</v>
      </c>
    </row>
    <row r="7" spans="1:10">
      <c r="A7">
        <v>5</v>
      </c>
      <c r="B7" s="1">
        <v>45214</v>
      </c>
      <c r="C7">
        <v>0.13305</v>
      </c>
      <c r="D7" s="14">
        <f t="shared" si="0"/>
        <v>6.6560839934359128E-2</v>
      </c>
      <c r="E7">
        <f t="shared" si="1"/>
        <v>1.8000000000000002E-2</v>
      </c>
      <c r="F7" s="14">
        <f t="shared" si="2"/>
        <v>8.456083993435913E-2</v>
      </c>
      <c r="G7">
        <f t="shared" si="3"/>
        <v>84.560839934359137</v>
      </c>
      <c r="H7">
        <f t="shared" si="4"/>
        <v>422.80419967179569</v>
      </c>
      <c r="I7">
        <f t="shared" si="5"/>
        <v>0.70342201713236596</v>
      </c>
      <c r="J7">
        <f t="shared" si="6"/>
        <v>297.40978298517012</v>
      </c>
    </row>
    <row r="8" spans="1:10">
      <c r="A8">
        <v>6</v>
      </c>
      <c r="B8" s="1">
        <v>45397</v>
      </c>
      <c r="C8">
        <v>0.12570000000000001</v>
      </c>
      <c r="D8" s="14">
        <f t="shared" si="0"/>
        <v>6.3485625154833025E-2</v>
      </c>
      <c r="E8">
        <f t="shared" si="1"/>
        <v>1.8000000000000002E-2</v>
      </c>
      <c r="F8" s="14">
        <f t="shared" si="2"/>
        <v>8.1485625154833027E-2</v>
      </c>
      <c r="G8">
        <f t="shared" si="3"/>
        <v>81.485625154833031</v>
      </c>
      <c r="H8">
        <f t="shared" si="4"/>
        <v>488.91375092899818</v>
      </c>
      <c r="I8">
        <f t="shared" si="5"/>
        <v>0.65563050053870742</v>
      </c>
      <c r="J8">
        <f t="shared" si="6"/>
        <v>320.54676724183599</v>
      </c>
    </row>
    <row r="9" spans="1:10">
      <c r="A9">
        <v>7</v>
      </c>
      <c r="B9" s="1">
        <v>45580</v>
      </c>
      <c r="C9">
        <v>0.11924999999999999</v>
      </c>
      <c r="D9" s="14">
        <f t="shared" si="0"/>
        <v>6.0787717527063245E-2</v>
      </c>
      <c r="E9">
        <f t="shared" si="1"/>
        <v>1.8000000000000002E-2</v>
      </c>
      <c r="F9" s="14">
        <f t="shared" si="2"/>
        <v>7.8787717527063247E-2</v>
      </c>
      <c r="G9">
        <f t="shared" si="3"/>
        <v>78.787717527063251</v>
      </c>
      <c r="H9">
        <f t="shared" si="4"/>
        <v>551.51402268944275</v>
      </c>
      <c r="I9">
        <f t="shared" si="5"/>
        <v>0.61108600920540868</v>
      </c>
      <c r="J9">
        <f t="shared" si="6"/>
        <v>337.0225031461128</v>
      </c>
    </row>
    <row r="10" spans="1:10">
      <c r="A10">
        <v>8</v>
      </c>
      <c r="B10" s="1">
        <v>45762</v>
      </c>
      <c r="C10">
        <v>0.11595</v>
      </c>
      <c r="D10" s="14">
        <f t="shared" si="0"/>
        <v>5.8687292731234741E-2</v>
      </c>
      <c r="E10">
        <f t="shared" si="1"/>
        <v>1.8000000000000002E-2</v>
      </c>
      <c r="F10" s="14">
        <f t="shared" si="2"/>
        <v>7.6687292731234744E-2</v>
      </c>
      <c r="G10">
        <f t="shared" si="3"/>
        <v>76.687292731234749</v>
      </c>
      <c r="H10">
        <f t="shared" si="4"/>
        <v>613.49834184987799</v>
      </c>
      <c r="I10">
        <f t="shared" si="5"/>
        <v>0.56956793550599349</v>
      </c>
      <c r="J10">
        <f t="shared" si="6"/>
        <v>349.42898400378527</v>
      </c>
    </row>
    <row r="11" spans="1:10">
      <c r="A11">
        <v>9</v>
      </c>
      <c r="B11" s="1">
        <v>45945</v>
      </c>
      <c r="C11">
        <v>0.11544</v>
      </c>
      <c r="D11" s="14">
        <f t="shared" si="0"/>
        <v>5.8894710677173556E-2</v>
      </c>
      <c r="E11">
        <f t="shared" si="1"/>
        <v>1.8000000000000002E-2</v>
      </c>
      <c r="F11" s="14">
        <f t="shared" si="2"/>
        <v>7.6894710677173558E-2</v>
      </c>
      <c r="G11">
        <f t="shared" si="3"/>
        <v>76.894710677173563</v>
      </c>
      <c r="H11">
        <f t="shared" si="4"/>
        <v>692.05239609456203</v>
      </c>
      <c r="I11">
        <f t="shared" si="5"/>
        <v>0.5308706602175115</v>
      </c>
      <c r="J11">
        <f t="shared" si="6"/>
        <v>367.39031241983093</v>
      </c>
    </row>
    <row r="12" spans="1:10">
      <c r="A12">
        <v>10</v>
      </c>
      <c r="B12" s="1">
        <v>46127</v>
      </c>
      <c r="C12">
        <v>0.11496000000000001</v>
      </c>
      <c r="D12" s="14">
        <f t="shared" si="0"/>
        <v>5.8198953695461908E-2</v>
      </c>
      <c r="E12">
        <f t="shared" si="1"/>
        <v>1.8000000000000002E-2</v>
      </c>
      <c r="F12" s="14">
        <f t="shared" si="2"/>
        <v>7.619895369546191E-2</v>
      </c>
      <c r="G12">
        <f t="shared" si="3"/>
        <v>76.19895369546191</v>
      </c>
      <c r="H12">
        <f t="shared" si="4"/>
        <v>761.9895369546191</v>
      </c>
      <c r="I12">
        <f t="shared" si="5"/>
        <v>0.49480253418656656</v>
      </c>
      <c r="J12">
        <f t="shared" si="6"/>
        <v>377.03435390879395</v>
      </c>
    </row>
    <row r="13" spans="1:10">
      <c r="I13" t="s">
        <v>4</v>
      </c>
      <c r="J13">
        <f>SUM(J3:J12)</f>
        <v>2696.4543109637425</v>
      </c>
    </row>
    <row r="14" spans="1:10">
      <c r="A14" t="s">
        <v>98</v>
      </c>
      <c r="B14" s="8">
        <v>1000</v>
      </c>
      <c r="I14" t="s">
        <v>5</v>
      </c>
      <c r="J14">
        <f>(B14*A12)*I12</f>
        <v>4948.0253418656657</v>
      </c>
    </row>
    <row r="15" spans="1:10">
      <c r="A15" t="s">
        <v>90</v>
      </c>
      <c r="B15">
        <v>1022.494729</v>
      </c>
      <c r="I15" t="s">
        <v>6</v>
      </c>
      <c r="J15">
        <f>SUM(J13:J14)</f>
        <v>7644.4796528294082</v>
      </c>
    </row>
    <row r="16" spans="1:10">
      <c r="A16" t="s">
        <v>101</v>
      </c>
      <c r="B16">
        <v>7.2893979999999997E-2</v>
      </c>
      <c r="I16" t="s">
        <v>89</v>
      </c>
      <c r="J16">
        <f>(J15/B15)/2</f>
        <v>3.7381511297890553</v>
      </c>
    </row>
    <row r="17" spans="1:14">
      <c r="A17" t="s">
        <v>119</v>
      </c>
      <c r="B17">
        <f>G5/B15</f>
        <v>8.4868374136206903E-2</v>
      </c>
      <c r="I17" t="s">
        <v>18</v>
      </c>
      <c r="J17">
        <f>J16/(1+B16)</f>
        <v>3.4841756962687547</v>
      </c>
      <c r="N17" s="6"/>
    </row>
    <row r="18" spans="1:14">
      <c r="A18" t="s">
        <v>19</v>
      </c>
      <c r="B18" t="s">
        <v>133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5EECD-6E1F-4729-9264-31E959400220}">
  <dimension ref="A1:K29"/>
  <sheetViews>
    <sheetView topLeftCell="A22" workbookViewId="0">
      <selection activeCell="B29" sqref="B29"/>
    </sheetView>
  </sheetViews>
  <sheetFormatPr defaultRowHeight="15"/>
  <cols>
    <col min="2" max="2" width="10.5703125" customWidth="1"/>
    <col min="11" max="11" width="10" bestFit="1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44484</v>
      </c>
      <c r="C2">
        <f>(1+$B$24)^(1/2)-1</f>
        <v>2.4268519481097872E-2</v>
      </c>
      <c r="D2">
        <v>1.0573059227845258</v>
      </c>
      <c r="E2">
        <f>$B$23*D2</f>
        <v>1057.3059227845258</v>
      </c>
      <c r="F2">
        <f>C2*E2</f>
        <v>25.659249384576427</v>
      </c>
      <c r="G2">
        <f>A2*F2</f>
        <v>25.659249384576427</v>
      </c>
      <c r="H2">
        <f>(1+$B$27)^(-A2)</f>
        <v>0.94529821994106222</v>
      </c>
      <c r="I2">
        <f>G2*H2</f>
        <v>24.255642768263893</v>
      </c>
    </row>
    <row r="3" spans="1:9">
      <c r="A3">
        <v>2</v>
      </c>
      <c r="B3" s="1">
        <v>44666</v>
      </c>
      <c r="C3">
        <f t="shared" ref="C3:C21" si="0">(1+$B$24)^(1/2)-1</f>
        <v>2.4268519481097872E-2</v>
      </c>
      <c r="D3">
        <v>1.1213148113237592</v>
      </c>
      <c r="E3">
        <f t="shared" ref="E3:E21" si="1">$B$23*D3</f>
        <v>1121.3148113237592</v>
      </c>
      <c r="F3">
        <f t="shared" ref="F3:F21" si="2">C3*E3</f>
        <v>27.212650343054236</v>
      </c>
      <c r="G3">
        <f t="shared" ref="G3:G21" si="3">A3*F3</f>
        <v>54.425300686108471</v>
      </c>
      <c r="H3">
        <f t="shared" ref="H3:H21" si="4">(1+$B$27)^(-A3)</f>
        <v>0.89358872462374095</v>
      </c>
      <c r="I3">
        <f t="shared" ref="I3:I21" si="5">G3*H3</f>
        <v>48.633835027363283</v>
      </c>
    </row>
    <row r="4" spans="1:9">
      <c r="A4">
        <v>3</v>
      </c>
      <c r="B4" s="1">
        <v>44849</v>
      </c>
      <c r="C4">
        <f t="shared" si="0"/>
        <v>2.4268519481097872E-2</v>
      </c>
      <c r="D4">
        <v>1.1228040949211664</v>
      </c>
      <c r="E4">
        <f t="shared" si="1"/>
        <v>1122.8040949211663</v>
      </c>
      <c r="F4">
        <f t="shared" si="2"/>
        <v>27.248793051050789</v>
      </c>
      <c r="G4">
        <f t="shared" si="3"/>
        <v>81.746379153152361</v>
      </c>
      <c r="H4">
        <f t="shared" si="4"/>
        <v>0.84470783074622646</v>
      </c>
      <c r="I4">
        <f t="shared" si="5"/>
        <v>69.051806605817873</v>
      </c>
    </row>
    <row r="5" spans="1:9">
      <c r="A5">
        <v>4</v>
      </c>
      <c r="B5" s="1">
        <v>45031</v>
      </c>
      <c r="C5">
        <f t="shared" si="0"/>
        <v>2.4268519481097872E-2</v>
      </c>
      <c r="D5">
        <v>1.1982557342899109</v>
      </c>
      <c r="E5">
        <f t="shared" si="1"/>
        <v>1198.2557342899108</v>
      </c>
      <c r="F5">
        <f t="shared" si="2"/>
        <v>29.079892630951935</v>
      </c>
      <c r="G5">
        <f t="shared" si="3"/>
        <v>116.31957052380774</v>
      </c>
      <c r="H5">
        <f t="shared" si="4"/>
        <v>0.79850080877468388</v>
      </c>
      <c r="I5">
        <f t="shared" si="5"/>
        <v>92.881271139584356</v>
      </c>
    </row>
    <row r="6" spans="1:9">
      <c r="A6">
        <v>5</v>
      </c>
      <c r="B6" s="1">
        <v>45214</v>
      </c>
      <c r="C6">
        <f t="shared" si="0"/>
        <v>2.4268519481097872E-2</v>
      </c>
      <c r="D6">
        <v>1.2169199549176022</v>
      </c>
      <c r="E6">
        <f t="shared" si="1"/>
        <v>1216.9199549176021</v>
      </c>
      <c r="F6">
        <f t="shared" si="2"/>
        <v>29.532845632854571</v>
      </c>
      <c r="G6">
        <f t="shared" si="3"/>
        <v>147.66422816427286</v>
      </c>
      <c r="H6">
        <f t="shared" si="4"/>
        <v>0.75482139315620722</v>
      </c>
      <c r="I6">
        <f t="shared" si="5"/>
        <v>111.4601184222925</v>
      </c>
    </row>
    <row r="7" spans="1:9">
      <c r="A7">
        <v>6</v>
      </c>
      <c r="B7" s="1">
        <v>45397</v>
      </c>
      <c r="C7">
        <f t="shared" si="0"/>
        <v>2.4268519481097872E-2</v>
      </c>
      <c r="D7">
        <v>1.274152938694755</v>
      </c>
      <c r="E7">
        <f t="shared" si="1"/>
        <v>1274.152938694755</v>
      </c>
      <c r="F7">
        <f t="shared" si="2"/>
        <v>30.921805414611764</v>
      </c>
      <c r="G7">
        <f t="shared" si="3"/>
        <v>185.53083248767058</v>
      </c>
      <c r="H7">
        <f t="shared" si="4"/>
        <v>0.71353131932399549</v>
      </c>
      <c r="I7">
        <f t="shared" si="5"/>
        <v>132.38205968020679</v>
      </c>
    </row>
    <row r="8" spans="1:9">
      <c r="A8">
        <v>7</v>
      </c>
      <c r="B8" s="1">
        <v>45580</v>
      </c>
      <c r="C8">
        <f t="shared" si="0"/>
        <v>2.4268519481097872E-2</v>
      </c>
      <c r="D8">
        <v>1.2918029614996283</v>
      </c>
      <c r="E8">
        <f t="shared" si="1"/>
        <v>1291.8029614996283</v>
      </c>
      <c r="F8">
        <f t="shared" si="2"/>
        <v>31.350145336893654</v>
      </c>
      <c r="G8">
        <f t="shared" si="3"/>
        <v>219.45101735825557</v>
      </c>
      <c r="H8">
        <f t="shared" si="4"/>
        <v>0.67449988602917055</v>
      </c>
      <c r="I8">
        <f t="shared" si="5"/>
        <v>148.01968619712892</v>
      </c>
    </row>
    <row r="9" spans="1:9">
      <c r="A9">
        <v>8</v>
      </c>
      <c r="B9" s="1">
        <v>45762</v>
      </c>
      <c r="C9">
        <f t="shared" si="0"/>
        <v>2.4268519481097872E-2</v>
      </c>
      <c r="D9">
        <v>1.3506990924437965</v>
      </c>
      <c r="E9">
        <f t="shared" si="1"/>
        <v>1350.6990924437964</v>
      </c>
      <c r="F9">
        <f t="shared" si="2"/>
        <v>32.779467238073487</v>
      </c>
      <c r="G9">
        <f t="shared" si="3"/>
        <v>262.23573790458789</v>
      </c>
      <c r="H9">
        <f t="shared" si="4"/>
        <v>0.63760354161382438</v>
      </c>
      <c r="I9">
        <f t="shared" si="5"/>
        <v>167.20243522567984</v>
      </c>
    </row>
    <row r="10" spans="1:9">
      <c r="A10">
        <v>9</v>
      </c>
      <c r="B10" s="1">
        <v>45945</v>
      </c>
      <c r="C10">
        <f t="shared" si="0"/>
        <v>2.4268519481097872E-2</v>
      </c>
      <c r="D10">
        <v>1.3688442718488516</v>
      </c>
      <c r="E10">
        <f t="shared" si="1"/>
        <v>1368.8442718488516</v>
      </c>
      <c r="F10">
        <f t="shared" si="2"/>
        <v>33.21982387795309</v>
      </c>
      <c r="G10">
        <f t="shared" si="3"/>
        <v>298.97841490157782</v>
      </c>
      <c r="H10">
        <f t="shared" si="4"/>
        <v>0.60272549291566524</v>
      </c>
      <c r="I10">
        <f t="shared" si="5"/>
        <v>180.20191249269777</v>
      </c>
    </row>
    <row r="11" spans="1:9">
      <c r="A11">
        <v>10</v>
      </c>
      <c r="B11" s="1">
        <v>46127</v>
      </c>
      <c r="C11">
        <f t="shared" si="0"/>
        <v>2.4268519481097872E-2</v>
      </c>
      <c r="D11">
        <v>1.4311873084988087</v>
      </c>
      <c r="E11">
        <f t="shared" si="1"/>
        <v>1431.1873084988088</v>
      </c>
      <c r="F11">
        <f t="shared" si="2"/>
        <v>34.732797077403369</v>
      </c>
      <c r="G11">
        <f t="shared" si="3"/>
        <v>347.3279707740337</v>
      </c>
      <c r="H11">
        <f t="shared" si="4"/>
        <v>0.56975533556627767</v>
      </c>
      <c r="I11">
        <f t="shared" si="5"/>
        <v>197.89196453991386</v>
      </c>
    </row>
    <row r="12" spans="1:9">
      <c r="A12">
        <v>11</v>
      </c>
      <c r="B12" s="1">
        <v>46310</v>
      </c>
      <c r="C12">
        <f t="shared" si="0"/>
        <v>2.4268519481097872E-2</v>
      </c>
      <c r="D12">
        <v>1.4503938121094508</v>
      </c>
      <c r="E12">
        <f t="shared" si="1"/>
        <v>1450.3938121094509</v>
      </c>
      <c r="F12">
        <f t="shared" si="2"/>
        <v>35.198910484442017</v>
      </c>
      <c r="G12">
        <f t="shared" si="3"/>
        <v>387.18801532886221</v>
      </c>
      <c r="H12">
        <f t="shared" si="4"/>
        <v>0.53858870451272489</v>
      </c>
      <c r="I12">
        <f t="shared" si="5"/>
        <v>208.53509157882496</v>
      </c>
    </row>
    <row r="13" spans="1:9">
      <c r="A13">
        <v>12</v>
      </c>
      <c r="B13" s="1">
        <v>46492</v>
      </c>
      <c r="C13">
        <f t="shared" si="0"/>
        <v>2.4268519481097872E-2</v>
      </c>
      <c r="D13">
        <v>1.5168319968105217</v>
      </c>
      <c r="E13">
        <f t="shared" si="1"/>
        <v>1516.8319968105218</v>
      </c>
      <c r="F13">
        <f t="shared" si="2"/>
        <v>36.811266864148735</v>
      </c>
      <c r="G13">
        <f t="shared" si="3"/>
        <v>441.73520236978482</v>
      </c>
      <c r="H13">
        <f t="shared" si="4"/>
        <v>0.50912694365624156</v>
      </c>
      <c r="I13">
        <f t="shared" si="5"/>
        <v>224.89929348789991</v>
      </c>
    </row>
    <row r="14" spans="1:9">
      <c r="A14">
        <v>13</v>
      </c>
      <c r="B14" s="1">
        <v>46675</v>
      </c>
      <c r="C14">
        <f t="shared" si="0"/>
        <v>2.4268519481097872E-2</v>
      </c>
      <c r="D14">
        <v>1.5373037791343707</v>
      </c>
      <c r="E14">
        <f t="shared" si="1"/>
        <v>1537.3037791343706</v>
      </c>
      <c r="F14">
        <f t="shared" si="2"/>
        <v>37.308086712287853</v>
      </c>
      <c r="G14">
        <f t="shared" si="3"/>
        <v>485.0051272597421</v>
      </c>
      <c r="H14">
        <f t="shared" si="4"/>
        <v>0.48127679356227865</v>
      </c>
      <c r="I14">
        <f t="shared" si="5"/>
        <v>233.42171250883359</v>
      </c>
    </row>
    <row r="15" spans="1:9">
      <c r="A15">
        <v>14</v>
      </c>
      <c r="B15" s="1">
        <v>46858</v>
      </c>
      <c r="C15">
        <f t="shared" si="0"/>
        <v>2.4268519481097872E-2</v>
      </c>
      <c r="D15">
        <v>1.6081626052535314</v>
      </c>
      <c r="E15">
        <f t="shared" si="1"/>
        <v>1608.1626052535314</v>
      </c>
      <c r="F15">
        <f t="shared" si="2"/>
        <v>39.027725514368434</v>
      </c>
      <c r="G15">
        <f t="shared" si="3"/>
        <v>546.38815720115804</v>
      </c>
      <c r="H15">
        <f t="shared" si="4"/>
        <v>0.45495009625336419</v>
      </c>
      <c r="I15">
        <f t="shared" si="5"/>
        <v>248.57934471036512</v>
      </c>
    </row>
    <row r="16" spans="1:9">
      <c r="A16">
        <v>15</v>
      </c>
      <c r="B16" s="1">
        <v>47041</v>
      </c>
      <c r="C16">
        <f t="shared" si="0"/>
        <v>2.4268519481097872E-2</v>
      </c>
      <c r="D16">
        <v>1.6300007739628599</v>
      </c>
      <c r="E16">
        <f t="shared" si="1"/>
        <v>1630.00077396286</v>
      </c>
      <c r="F16">
        <f t="shared" si="2"/>
        <v>39.557705537122274</v>
      </c>
      <c r="G16">
        <f t="shared" si="3"/>
        <v>593.36558305683411</v>
      </c>
      <c r="H16">
        <f t="shared" si="4"/>
        <v>0.43006351615032007</v>
      </c>
      <c r="I16">
        <f t="shared" si="5"/>
        <v>255.18488901200686</v>
      </c>
    </row>
    <row r="17" spans="1:11">
      <c r="A17">
        <v>16</v>
      </c>
      <c r="B17" s="1">
        <v>47223</v>
      </c>
      <c r="C17">
        <f t="shared" si="0"/>
        <v>2.4268519481097872E-2</v>
      </c>
      <c r="D17">
        <v>1.7055346294988756</v>
      </c>
      <c r="E17">
        <f t="shared" si="1"/>
        <v>1705.5346294988756</v>
      </c>
      <c r="F17">
        <f t="shared" si="2"/>
        <v>41.390800381680506</v>
      </c>
      <c r="G17">
        <f t="shared" si="3"/>
        <v>662.2528061068881</v>
      </c>
      <c r="H17">
        <f t="shared" si="4"/>
        <v>0.40653827627849182</v>
      </c>
      <c r="I17">
        <f t="shared" si="5"/>
        <v>269.23111425528856</v>
      </c>
    </row>
    <row r="18" spans="1:11">
      <c r="A18">
        <v>17</v>
      </c>
      <c r="B18" s="1">
        <v>47406</v>
      </c>
      <c r="C18">
        <f t="shared" si="0"/>
        <v>2.4268519481097872E-2</v>
      </c>
      <c r="D18">
        <v>1.7288175111384181</v>
      </c>
      <c r="E18">
        <f t="shared" si="1"/>
        <v>1728.817511138418</v>
      </c>
      <c r="F18">
        <f t="shared" si="2"/>
        <v>41.955841448325835</v>
      </c>
      <c r="G18">
        <f t="shared" si="3"/>
        <v>713.24930462153918</v>
      </c>
      <c r="H18">
        <f t="shared" si="4"/>
        <v>0.38429990890396609</v>
      </c>
      <c r="I18">
        <f t="shared" si="5"/>
        <v>274.10164279187467</v>
      </c>
    </row>
    <row r="19" spans="1:11">
      <c r="A19">
        <v>18</v>
      </c>
      <c r="B19" s="1">
        <v>47588</v>
      </c>
      <c r="C19">
        <f t="shared" si="0"/>
        <v>2.4268519481097872E-2</v>
      </c>
      <c r="D19">
        <v>1.8092744533356671</v>
      </c>
      <c r="E19">
        <f t="shared" si="1"/>
        <v>1809.274453335667</v>
      </c>
      <c r="F19">
        <f t="shared" si="2"/>
        <v>43.908412317429338</v>
      </c>
      <c r="G19">
        <f t="shared" si="3"/>
        <v>790.35142171372809</v>
      </c>
      <c r="H19">
        <f t="shared" si="4"/>
        <v>0.36327801981043156</v>
      </c>
      <c r="I19">
        <f t="shared" si="5"/>
        <v>287.11729943452247</v>
      </c>
    </row>
    <row r="20" spans="1:11">
      <c r="A20">
        <v>19</v>
      </c>
      <c r="B20" s="1">
        <v>47771</v>
      </c>
      <c r="C20">
        <f t="shared" si="0"/>
        <v>2.4268519481097872E-2</v>
      </c>
      <c r="D20">
        <v>1.8340781991258779</v>
      </c>
      <c r="E20">
        <f t="shared" si="1"/>
        <v>1834.078199125878</v>
      </c>
      <c r="F20">
        <f t="shared" si="2"/>
        <v>44.510362505343274</v>
      </c>
      <c r="G20">
        <f t="shared" si="3"/>
        <v>845.69688760152223</v>
      </c>
      <c r="H20">
        <f t="shared" si="4"/>
        <v>0.34340606547051494</v>
      </c>
      <c r="I20">
        <f t="shared" si="5"/>
        <v>290.41744075189905</v>
      </c>
    </row>
    <row r="21" spans="1:11">
      <c r="A21">
        <v>20</v>
      </c>
      <c r="B21" s="1">
        <v>47953</v>
      </c>
      <c r="C21">
        <f t="shared" si="0"/>
        <v>2.4268519481097872E-2</v>
      </c>
      <c r="D21">
        <v>1.9197328207513709</v>
      </c>
      <c r="E21">
        <f t="shared" si="1"/>
        <v>1919.7328207513708</v>
      </c>
      <c r="F21">
        <f t="shared" si="2"/>
        <v>46.589073358907612</v>
      </c>
      <c r="G21">
        <f t="shared" si="3"/>
        <v>931.7814671781523</v>
      </c>
      <c r="H21">
        <f t="shared" si="4"/>
        <v>0.32462114240624163</v>
      </c>
      <c r="I21">
        <f t="shared" si="5"/>
        <v>302.47596434833571</v>
      </c>
    </row>
    <row r="22" spans="1:11">
      <c r="H22" t="s">
        <v>4</v>
      </c>
      <c r="I22">
        <f>SUM(I2:I21)</f>
        <v>3765.9445249788</v>
      </c>
    </row>
    <row r="23" spans="1:11">
      <c r="A23" t="s">
        <v>98</v>
      </c>
      <c r="B23" s="8">
        <v>1000</v>
      </c>
      <c r="H23" t="s">
        <v>5</v>
      </c>
      <c r="I23">
        <f>(A21*B25)*H21</f>
        <v>12463.717227741332</v>
      </c>
    </row>
    <row r="24" spans="1:11">
      <c r="A24" t="s">
        <v>79</v>
      </c>
      <c r="B24" s="13">
        <v>4.9126000000000003E-2</v>
      </c>
      <c r="H24" t="s">
        <v>6</v>
      </c>
      <c r="I24">
        <f>SUM(I22:I23)</f>
        <v>16229.661752720132</v>
      </c>
    </row>
    <row r="25" spans="1:11">
      <c r="A25" t="s">
        <v>111</v>
      </c>
      <c r="B25">
        <f>B23*D21</f>
        <v>1919.7328207513708</v>
      </c>
      <c r="H25" t="s">
        <v>89</v>
      </c>
      <c r="I25">
        <f>(I24/B26)/2</f>
        <v>8.0082139602520179</v>
      </c>
    </row>
    <row r="26" spans="1:11">
      <c r="A26" t="s">
        <v>90</v>
      </c>
      <c r="B26">
        <v>1013.313445</v>
      </c>
      <c r="H26" t="s">
        <v>18</v>
      </c>
      <c r="I26">
        <f>I25/(1+B27)</f>
        <v>7.5701504015333976</v>
      </c>
    </row>
    <row r="27" spans="1:11">
      <c r="A27" t="s">
        <v>101</v>
      </c>
      <c r="B27">
        <v>5.7867219999999997E-2</v>
      </c>
    </row>
    <row r="28" spans="1:11">
      <c r="A28" t="s">
        <v>119</v>
      </c>
      <c r="B28">
        <f>F4/B26</f>
        <v>2.6890784076244827E-2</v>
      </c>
    </row>
    <row r="29" spans="1:11" ht="18">
      <c r="A29" t="s">
        <v>119</v>
      </c>
      <c r="B29" t="s">
        <v>133</v>
      </c>
      <c r="K29" s="16"/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2BAE-5EA4-46F9-B370-0A536A66A050}">
  <dimension ref="A1:K35"/>
  <sheetViews>
    <sheetView topLeftCell="A13" workbookViewId="0">
      <selection activeCell="B28" sqref="B28"/>
    </sheetView>
  </sheetViews>
  <sheetFormatPr defaultRowHeight="15"/>
  <cols>
    <col min="2" max="2" width="11.85546875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44484</v>
      </c>
      <c r="C2">
        <f>(1+$B$24)^(1/2)-1</f>
        <v>2.107786186950511E-2</v>
      </c>
      <c r="D2">
        <v>1.0605835711451579</v>
      </c>
      <c r="E2">
        <f>$B$23*D2</f>
        <v>1060.583571145158</v>
      </c>
      <c r="F2">
        <f>C2*E2</f>
        <v>22.354834013664085</v>
      </c>
      <c r="G2">
        <f>A2*F2</f>
        <v>22.354834013664085</v>
      </c>
      <c r="H2">
        <f>(1+$B$27)^(-A2)</f>
        <v>0.94625109274258989</v>
      </c>
      <c r="I2">
        <f>G2*H2</f>
        <v>21.153286113508859</v>
      </c>
    </row>
    <row r="3" spans="1:9">
      <c r="A3">
        <v>2</v>
      </c>
      <c r="B3" s="1">
        <v>44666</v>
      </c>
      <c r="C3">
        <f t="shared" ref="C3:C21" si="0">(1+$B$24)^(1/2)-1</f>
        <v>2.107786186950511E-2</v>
      </c>
      <c r="D3">
        <v>1.1247908872388628</v>
      </c>
      <c r="E3">
        <f t="shared" ref="E3:E21" si="1">$B$23*D3</f>
        <v>1124.7908872388628</v>
      </c>
      <c r="F3">
        <f t="shared" ref="F3:F21" si="2">C3*E3</f>
        <v>23.708186953298846</v>
      </c>
      <c r="G3">
        <f t="shared" ref="G3:G21" si="3">A3*F3</f>
        <v>47.416373906597691</v>
      </c>
      <c r="H3">
        <f t="shared" ref="H3:H21" si="4">(1+$B$27)^(-A3)</f>
        <v>0.89539113051654562</v>
      </c>
      <c r="I3">
        <f t="shared" ref="I3:I21" si="5">G3*H3</f>
        <v>42.456200637223745</v>
      </c>
    </row>
    <row r="4" spans="1:9">
      <c r="A4">
        <v>3</v>
      </c>
      <c r="B4" s="1">
        <v>44849</v>
      </c>
      <c r="C4">
        <f t="shared" si="0"/>
        <v>2.107786186950511E-2</v>
      </c>
      <c r="D4">
        <v>1.1262847876154221</v>
      </c>
      <c r="E4">
        <f t="shared" si="1"/>
        <v>1126.2847876154221</v>
      </c>
      <c r="F4">
        <f t="shared" si="2"/>
        <v>23.739675179082766</v>
      </c>
      <c r="G4">
        <f t="shared" si="3"/>
        <v>71.219025537248299</v>
      </c>
      <c r="H4">
        <f t="shared" si="4"/>
        <v>0.84726483568330424</v>
      </c>
      <c r="I4">
        <f t="shared" si="5"/>
        <v>60.341375969341726</v>
      </c>
    </row>
    <row r="5" spans="1:9">
      <c r="A5">
        <v>4</v>
      </c>
      <c r="B5" s="1">
        <v>45031</v>
      </c>
      <c r="C5">
        <f t="shared" si="0"/>
        <v>2.107786186950511E-2</v>
      </c>
      <c r="D5">
        <v>1.2019703270662097</v>
      </c>
      <c r="E5">
        <f t="shared" si="1"/>
        <v>1201.9703270662096</v>
      </c>
      <c r="F5">
        <f t="shared" si="2"/>
        <v>25.334964525145445</v>
      </c>
      <c r="G5">
        <f t="shared" si="3"/>
        <v>101.33985810058178</v>
      </c>
      <c r="H5">
        <f t="shared" si="4"/>
        <v>0.80172527660769766</v>
      </c>
      <c r="I5">
        <f t="shared" si="5"/>
        <v>81.246725767073755</v>
      </c>
    </row>
    <row r="6" spans="1:9">
      <c r="A6">
        <v>5</v>
      </c>
      <c r="B6" s="1">
        <v>45214</v>
      </c>
      <c r="C6">
        <f t="shared" si="0"/>
        <v>2.107786186950511E-2</v>
      </c>
      <c r="D6">
        <v>1.2206924067778471</v>
      </c>
      <c r="E6">
        <f t="shared" si="1"/>
        <v>1220.6924067778471</v>
      </c>
      <c r="F6">
        <f t="shared" si="2"/>
        <v>25.729585935217205</v>
      </c>
      <c r="G6">
        <f t="shared" si="3"/>
        <v>128.64792967608602</v>
      </c>
      <c r="H6">
        <f t="shared" si="4"/>
        <v>0.75863341906938897</v>
      </c>
      <c r="I6">
        <f t="shared" si="5"/>
        <v>97.596618746367454</v>
      </c>
    </row>
    <row r="7" spans="1:9">
      <c r="A7">
        <v>6</v>
      </c>
      <c r="B7" s="1">
        <v>45397</v>
      </c>
      <c r="C7">
        <f t="shared" si="0"/>
        <v>2.107786186950511E-2</v>
      </c>
      <c r="D7">
        <v>1.2781028128047094</v>
      </c>
      <c r="E7">
        <f t="shared" si="1"/>
        <v>1278.1028128047094</v>
      </c>
      <c r="F7">
        <f t="shared" si="2"/>
        <v>26.939674543323612</v>
      </c>
      <c r="G7">
        <f t="shared" si="3"/>
        <v>161.63804725994169</v>
      </c>
      <c r="H7">
        <f t="shared" si="4"/>
        <v>0.7178577017854566</v>
      </c>
      <c r="I7">
        <f t="shared" si="5"/>
        <v>116.03311712711076</v>
      </c>
    </row>
    <row r="8" spans="1:9">
      <c r="A8">
        <v>7</v>
      </c>
      <c r="B8" s="1">
        <v>45580</v>
      </c>
      <c r="C8">
        <f t="shared" si="0"/>
        <v>2.107786186950511E-2</v>
      </c>
      <c r="D8">
        <v>1.2958075506802778</v>
      </c>
      <c r="E8">
        <f t="shared" si="1"/>
        <v>1295.8075506802777</v>
      </c>
      <c r="F8">
        <f t="shared" si="2"/>
        <v>27.312852562700638</v>
      </c>
      <c r="G8">
        <f t="shared" si="3"/>
        <v>191.18996793890446</v>
      </c>
      <c r="H8">
        <f t="shared" si="4"/>
        <v>0.67927363474817248</v>
      </c>
      <c r="I8">
        <f t="shared" si="5"/>
        <v>129.87030444924619</v>
      </c>
    </row>
    <row r="9" spans="1:9">
      <c r="A9">
        <v>8</v>
      </c>
      <c r="B9" s="1">
        <v>45762</v>
      </c>
      <c r="C9">
        <f t="shared" si="0"/>
        <v>2.107786186950511E-2</v>
      </c>
      <c r="D9">
        <v>1.3548862596303726</v>
      </c>
      <c r="E9">
        <f t="shared" si="1"/>
        <v>1354.8862596303725</v>
      </c>
      <c r="F9">
        <f t="shared" si="2"/>
        <v>28.558105429379427</v>
      </c>
      <c r="G9">
        <f t="shared" si="3"/>
        <v>228.46484343503542</v>
      </c>
      <c r="H9">
        <f t="shared" si="4"/>
        <v>0.64276341915168933</v>
      </c>
      <c r="I9">
        <f t="shared" si="5"/>
        <v>146.84884392225874</v>
      </c>
    </row>
    <row r="10" spans="1:9">
      <c r="A10">
        <v>9</v>
      </c>
      <c r="B10" s="1">
        <v>45945</v>
      </c>
      <c r="C10">
        <f t="shared" si="0"/>
        <v>2.107786186950511E-2</v>
      </c>
      <c r="D10">
        <v>1.3730876890915831</v>
      </c>
      <c r="E10">
        <f t="shared" si="1"/>
        <v>1373.0876890915831</v>
      </c>
      <c r="F10">
        <f t="shared" si="2"/>
        <v>28.941752645390366</v>
      </c>
      <c r="G10">
        <f t="shared" si="3"/>
        <v>260.47577380851328</v>
      </c>
      <c r="H10">
        <f t="shared" si="4"/>
        <v>0.60821558774724938</v>
      </c>
      <c r="I10">
        <f t="shared" si="5"/>
        <v>158.42542586086449</v>
      </c>
    </row>
    <row r="11" spans="1:9">
      <c r="A11">
        <v>10</v>
      </c>
      <c r="B11" s="1">
        <v>46127</v>
      </c>
      <c r="C11">
        <f t="shared" si="0"/>
        <v>2.107786186950511E-2</v>
      </c>
      <c r="D11">
        <v>1.4356239891551554</v>
      </c>
      <c r="E11">
        <f t="shared" si="1"/>
        <v>1435.6239891551554</v>
      </c>
      <c r="F11">
        <f t="shared" si="2"/>
        <v>30.259884139960267</v>
      </c>
      <c r="G11">
        <f t="shared" si="3"/>
        <v>302.59884139960269</v>
      </c>
      <c r="H11">
        <f t="shared" si="4"/>
        <v>0.57552466452891138</v>
      </c>
      <c r="I11">
        <f t="shared" si="5"/>
        <v>174.15309668334359</v>
      </c>
    </row>
    <row r="12" spans="1:9">
      <c r="A12">
        <v>11</v>
      </c>
      <c r="B12" s="1">
        <v>46310</v>
      </c>
      <c r="C12">
        <f t="shared" si="0"/>
        <v>2.107786186950511E-2</v>
      </c>
      <c r="D12">
        <v>1.4548900329269907</v>
      </c>
      <c r="E12">
        <f t="shared" si="1"/>
        <v>1454.8900329269907</v>
      </c>
      <c r="F12">
        <f t="shared" si="2"/>
        <v>30.665971149354849</v>
      </c>
      <c r="G12">
        <f t="shared" si="3"/>
        <v>337.32568264290336</v>
      </c>
      <c r="H12">
        <f t="shared" si="4"/>
        <v>0.54459084271079483</v>
      </c>
      <c r="I12">
        <f t="shared" si="5"/>
        <v>183.70447777849287</v>
      </c>
    </row>
    <row r="13" spans="1:9">
      <c r="A13">
        <v>12</v>
      </c>
      <c r="B13" s="1">
        <v>46492</v>
      </c>
      <c r="C13">
        <f t="shared" si="0"/>
        <v>2.107786186950511E-2</v>
      </c>
      <c r="D13">
        <v>1.5215341760006351</v>
      </c>
      <c r="E13">
        <f t="shared" si="1"/>
        <v>1521.5341760006352</v>
      </c>
      <c r="F13">
        <f t="shared" si="2"/>
        <v>32.070687191472665</v>
      </c>
      <c r="G13">
        <f t="shared" si="3"/>
        <v>384.84824629767195</v>
      </c>
      <c r="H13">
        <f t="shared" si="4"/>
        <v>0.51531968001269768</v>
      </c>
      <c r="I13">
        <f t="shared" si="5"/>
        <v>198.31987513556416</v>
      </c>
    </row>
    <row r="14" spans="1:9">
      <c r="A14">
        <v>13</v>
      </c>
      <c r="B14" s="1">
        <v>46675</v>
      </c>
      <c r="C14">
        <f t="shared" si="0"/>
        <v>2.107786186950511E-2</v>
      </c>
      <c r="D14">
        <v>1.5420694208496879</v>
      </c>
      <c r="E14">
        <f t="shared" si="1"/>
        <v>1542.069420849688</v>
      </c>
      <c r="F14">
        <f t="shared" si="2"/>
        <v>32.503526245857465</v>
      </c>
      <c r="G14">
        <f t="shared" si="3"/>
        <v>422.54584119614702</v>
      </c>
      <c r="H14">
        <f t="shared" si="4"/>
        <v>0.48762181032377694</v>
      </c>
      <c r="I14">
        <f t="shared" si="5"/>
        <v>206.04256802884836</v>
      </c>
    </row>
    <row r="15" spans="1:9">
      <c r="A15">
        <v>14</v>
      </c>
      <c r="B15" s="1">
        <v>46858</v>
      </c>
      <c r="C15">
        <f t="shared" si="0"/>
        <v>2.107786186950511E-2</v>
      </c>
      <c r="D15">
        <v>1.6131479093298178</v>
      </c>
      <c r="E15">
        <f t="shared" si="1"/>
        <v>1613.1479093298178</v>
      </c>
      <c r="F15">
        <f t="shared" si="2"/>
        <v>34.001708807934854</v>
      </c>
      <c r="G15">
        <f t="shared" si="3"/>
        <v>476.02392331108797</v>
      </c>
      <c r="H15">
        <f t="shared" si="4"/>
        <v>0.46141267086399385</v>
      </c>
      <c r="I15">
        <f t="shared" si="5"/>
        <v>219.64346985012608</v>
      </c>
    </row>
    <row r="16" spans="1:9">
      <c r="A16">
        <v>15</v>
      </c>
      <c r="B16" s="1">
        <v>47041</v>
      </c>
      <c r="C16">
        <f t="shared" si="0"/>
        <v>2.107786186950511E-2</v>
      </c>
      <c r="D16">
        <v>1.6350537763621456</v>
      </c>
      <c r="E16">
        <f t="shared" si="1"/>
        <v>1635.0537763621455</v>
      </c>
      <c r="F16">
        <f t="shared" si="2"/>
        <v>34.463437647374001</v>
      </c>
      <c r="G16">
        <f t="shared" si="3"/>
        <v>516.95156471061</v>
      </c>
      <c r="H16">
        <f t="shared" si="4"/>
        <v>0.43661224401033116</v>
      </c>
      <c r="I16">
        <f t="shared" si="5"/>
        <v>225.70738271295136</v>
      </c>
    </row>
    <row r="17" spans="1:9">
      <c r="A17">
        <v>16</v>
      </c>
      <c r="B17" s="1">
        <v>47223</v>
      </c>
      <c r="C17">
        <f t="shared" si="0"/>
        <v>2.107786186950511E-2</v>
      </c>
      <c r="D17">
        <v>1.7108217868503233</v>
      </c>
      <c r="E17">
        <f t="shared" si="1"/>
        <v>1710.8217868503232</v>
      </c>
      <c r="F17">
        <f t="shared" si="2"/>
        <v>36.060465306571025</v>
      </c>
      <c r="G17">
        <f t="shared" si="3"/>
        <v>576.9674449051364</v>
      </c>
      <c r="H17">
        <f t="shared" si="4"/>
        <v>0.41314481299957023</v>
      </c>
      <c r="I17">
        <f t="shared" si="5"/>
        <v>238.37110713217243</v>
      </c>
    </row>
    <row r="18" spans="1:9">
      <c r="A18">
        <v>17</v>
      </c>
      <c r="B18" s="1">
        <v>47406</v>
      </c>
      <c r="C18">
        <f t="shared" si="0"/>
        <v>2.107786186950511E-2</v>
      </c>
      <c r="D18">
        <v>1.7341768454229485</v>
      </c>
      <c r="E18">
        <f t="shared" si="1"/>
        <v>1734.1768454229484</v>
      </c>
      <c r="F18">
        <f t="shared" si="2"/>
        <v>36.55274000511902</v>
      </c>
      <c r="G18">
        <f t="shared" si="3"/>
        <v>621.39658008702338</v>
      </c>
      <c r="H18">
        <f t="shared" si="4"/>
        <v>0.39093873076177632</v>
      </c>
      <c r="I18">
        <f t="shared" si="5"/>
        <v>242.9279903189294</v>
      </c>
    </row>
    <row r="19" spans="1:9">
      <c r="A19">
        <v>18</v>
      </c>
      <c r="B19" s="1">
        <v>47588</v>
      </c>
      <c r="C19">
        <f t="shared" si="0"/>
        <v>2.107786186950511E-2</v>
      </c>
      <c r="D19">
        <v>1.814883204141009</v>
      </c>
      <c r="E19">
        <f t="shared" si="1"/>
        <v>1814.8832041410089</v>
      </c>
      <c r="F19">
        <f t="shared" si="2"/>
        <v>38.253857486169032</v>
      </c>
      <c r="G19">
        <f t="shared" si="3"/>
        <v>688.56943475104254</v>
      </c>
      <c r="H19">
        <f t="shared" si="4"/>
        <v>0.36992620117873204</v>
      </c>
      <c r="I19">
        <f t="shared" si="5"/>
        <v>254.71987524523996</v>
      </c>
    </row>
    <row r="20" spans="1:9">
      <c r="A20">
        <v>19</v>
      </c>
      <c r="B20" s="1">
        <v>47771</v>
      </c>
      <c r="C20">
        <f t="shared" si="0"/>
        <v>2.107786186950511E-2</v>
      </c>
      <c r="D20">
        <v>1.8397638415431699</v>
      </c>
      <c r="E20">
        <f t="shared" si="1"/>
        <v>1839.7638415431697</v>
      </c>
      <c r="F20">
        <f t="shared" si="2"/>
        <v>38.778288124557022</v>
      </c>
      <c r="G20">
        <f t="shared" si="3"/>
        <v>736.78747436658341</v>
      </c>
      <c r="H20">
        <f t="shared" si="4"/>
        <v>0.35004307209949032</v>
      </c>
      <c r="I20">
        <f t="shared" si="5"/>
        <v>257.90735101170333</v>
      </c>
    </row>
    <row r="21" spans="1:9">
      <c r="A21">
        <v>20</v>
      </c>
      <c r="B21" s="1">
        <v>47953</v>
      </c>
      <c r="C21">
        <f t="shared" si="0"/>
        <v>2.107786186950511E-2</v>
      </c>
      <c r="D21">
        <v>1.9256839924957017</v>
      </c>
      <c r="E21">
        <f t="shared" si="1"/>
        <v>1925.6839924957017</v>
      </c>
      <c r="F21">
        <f t="shared" si="2"/>
        <v>40.589301198141513</v>
      </c>
      <c r="G21">
        <f t="shared" si="3"/>
        <v>811.78602396283031</v>
      </c>
      <c r="H21">
        <f t="shared" si="4"/>
        <v>0.33122863948111597</v>
      </c>
      <c r="I21">
        <f t="shared" si="5"/>
        <v>268.8867802669929</v>
      </c>
    </row>
    <row r="22" spans="1:9">
      <c r="H22" t="s">
        <v>4</v>
      </c>
      <c r="I22">
        <f>SUM(I2:I21)</f>
        <v>3324.35587275736</v>
      </c>
    </row>
    <row r="23" spans="1:9">
      <c r="A23" t="s">
        <v>98</v>
      </c>
      <c r="B23" s="8">
        <v>1000</v>
      </c>
      <c r="H23" t="s">
        <v>5</v>
      </c>
      <c r="I23">
        <f>(B25*A21)*H21</f>
        <v>12756.833778098297</v>
      </c>
    </row>
    <row r="24" spans="1:9">
      <c r="A24" t="s">
        <v>79</v>
      </c>
      <c r="B24" s="11">
        <v>4.2599999999999999E-2</v>
      </c>
      <c r="H24" t="s">
        <v>6</v>
      </c>
      <c r="I24">
        <f>SUM(I22:I23)</f>
        <v>16081.189650855657</v>
      </c>
    </row>
    <row r="25" spans="1:9">
      <c r="A25" t="s">
        <v>111</v>
      </c>
      <c r="B25">
        <f>B23*D21</f>
        <v>1925.6839924957017</v>
      </c>
      <c r="H25" t="s">
        <v>89</v>
      </c>
      <c r="I25">
        <f>(I24/B26)/2</f>
        <v>8.1916214231866373</v>
      </c>
    </row>
    <row r="26" spans="1:9">
      <c r="A26" t="s">
        <v>90</v>
      </c>
      <c r="B26">
        <v>981.56328399999995</v>
      </c>
      <c r="H26" t="s">
        <v>18</v>
      </c>
      <c r="I26">
        <f>I25/(1+B27)</f>
        <v>7.7513307230239654</v>
      </c>
    </row>
    <row r="27" spans="1:9">
      <c r="A27" t="s">
        <v>101</v>
      </c>
      <c r="B27">
        <v>5.6801949999999997E-2</v>
      </c>
    </row>
    <row r="28" spans="1:9">
      <c r="A28" t="s">
        <v>119</v>
      </c>
      <c r="B28">
        <f>F4/B26</f>
        <v>2.4185577808432744E-2</v>
      </c>
    </row>
    <row r="35" spans="11:11" ht="18">
      <c r="K35" s="7"/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35852-CDD0-4685-BD5C-28BEB29096AD}">
  <dimension ref="A1:K42"/>
  <sheetViews>
    <sheetView topLeftCell="A25" workbookViewId="0">
      <selection activeCell="B38" sqref="B38"/>
    </sheetView>
  </sheetViews>
  <sheetFormatPr defaultRowHeight="15"/>
  <cols>
    <col min="2" max="2" width="10.42578125" customWidth="1"/>
    <col min="11" max="11" width="10" bestFit="1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44454</v>
      </c>
      <c r="C2">
        <f>(1+$B$34)^(1/2)-1</f>
        <v>2.4291462426588861E-2</v>
      </c>
      <c r="D2">
        <v>1.0474899468100325</v>
      </c>
      <c r="E2">
        <f>$B$33*D2</f>
        <v>1047.4899468100325</v>
      </c>
      <c r="F2">
        <f>C2*E2</f>
        <v>25.445062685165471</v>
      </c>
      <c r="G2">
        <f>A2*F2</f>
        <v>25.445062685165471</v>
      </c>
      <c r="H2">
        <f>(1+$B$37)^(-A2)</f>
        <v>0.94229679718218595</v>
      </c>
      <c r="I2">
        <f>G2*H2</f>
        <v>23.976801072331376</v>
      </c>
    </row>
    <row r="3" spans="1:9">
      <c r="A3">
        <v>2</v>
      </c>
      <c r="B3" s="1">
        <v>44635</v>
      </c>
      <c r="C3">
        <f t="shared" ref="C3:C31" si="0">(1+$B$34)^(1/2)-1</f>
        <v>2.4291462426588861E-2</v>
      </c>
      <c r="D3">
        <v>1.11299315974556</v>
      </c>
      <c r="E3">
        <f t="shared" ref="E3:E31" si="1">$B$33*D3</f>
        <v>1112.99315974556</v>
      </c>
      <c r="F3">
        <f t="shared" ref="F3:F31" si="2">C3*E3</f>
        <v>27.036231521009686</v>
      </c>
      <c r="G3">
        <f t="shared" ref="G3:G31" si="3">A3*F3</f>
        <v>54.072463042019372</v>
      </c>
      <c r="H3">
        <f t="shared" ref="H3:H31" si="4">(1+$B$37)^(-A3)</f>
        <v>0.88792325397980554</v>
      </c>
      <c r="I3">
        <f t="shared" ref="I3:I31" si="5">G3*H3</f>
        <v>48.012197334972612</v>
      </c>
    </row>
    <row r="4" spans="1:9">
      <c r="A4">
        <v>3</v>
      </c>
      <c r="B4" s="1">
        <v>44819</v>
      </c>
      <c r="C4">
        <f t="shared" si="0"/>
        <v>2.4291462426588861E-2</v>
      </c>
      <c r="D4">
        <v>1.122580272715461</v>
      </c>
      <c r="E4">
        <f t="shared" si="1"/>
        <v>1122.580272715461</v>
      </c>
      <c r="F4">
        <f t="shared" si="2"/>
        <v>27.269116515497497</v>
      </c>
      <c r="G4">
        <f t="shared" si="3"/>
        <v>81.807349546492489</v>
      </c>
      <c r="H4">
        <f t="shared" si="4"/>
        <v>0.83668723836875536</v>
      </c>
      <c r="I4">
        <f t="shared" si="5"/>
        <v>68.447165370322253</v>
      </c>
    </row>
    <row r="5" spans="1:9">
      <c r="A5">
        <v>4</v>
      </c>
      <c r="B5" s="1">
        <v>45000</v>
      </c>
      <c r="C5">
        <f t="shared" si="0"/>
        <v>2.4291462426588861E-2</v>
      </c>
      <c r="D5">
        <v>1.1885679438719097</v>
      </c>
      <c r="E5">
        <f t="shared" si="1"/>
        <v>1188.5679438719096</v>
      </c>
      <c r="F5">
        <f t="shared" si="2"/>
        <v>28.87205355001247</v>
      </c>
      <c r="G5">
        <f t="shared" si="3"/>
        <v>115.48821420004988</v>
      </c>
      <c r="H5">
        <f t="shared" si="4"/>
        <v>0.78840770495808621</v>
      </c>
      <c r="I5">
        <f t="shared" si="5"/>
        <v>91.051797907169188</v>
      </c>
    </row>
    <row r="6" spans="1:9">
      <c r="A6">
        <v>5</v>
      </c>
      <c r="B6" s="1">
        <v>45184</v>
      </c>
      <c r="C6">
        <f t="shared" si="0"/>
        <v>2.4291462426588861E-2</v>
      </c>
      <c r="D6">
        <v>1.2191358418688449</v>
      </c>
      <c r="E6">
        <f t="shared" si="1"/>
        <v>1219.1358418688449</v>
      </c>
      <c r="F6">
        <f t="shared" si="2"/>
        <v>29.614592495664823</v>
      </c>
      <c r="G6">
        <f t="shared" si="3"/>
        <v>148.07296247832411</v>
      </c>
      <c r="H6">
        <f t="shared" si="4"/>
        <v>0.74291405525576237</v>
      </c>
      <c r="I6">
        <f t="shared" si="5"/>
        <v>110.00548502850611</v>
      </c>
    </row>
    <row r="7" spans="1:9">
      <c r="A7">
        <v>6</v>
      </c>
      <c r="B7" s="1">
        <v>45366</v>
      </c>
      <c r="C7">
        <f t="shared" si="0"/>
        <v>2.4291462426588861E-2</v>
      </c>
      <c r="D7">
        <v>1.2680173513466308</v>
      </c>
      <c r="E7">
        <f t="shared" si="1"/>
        <v>1268.0173513466309</v>
      </c>
      <c r="F7">
        <f t="shared" si="2"/>
        <v>30.801995846499413</v>
      </c>
      <c r="G7">
        <f t="shared" si="3"/>
        <v>184.81197507899648</v>
      </c>
      <c r="H7">
        <f t="shared" si="4"/>
        <v>0.70004553484913445</v>
      </c>
      <c r="I7">
        <f t="shared" si="5"/>
        <v>129.37679794070101</v>
      </c>
    </row>
    <row r="8" spans="1:9">
      <c r="A8">
        <v>7</v>
      </c>
      <c r="B8" s="1">
        <v>45550</v>
      </c>
      <c r="C8">
        <f t="shared" si="0"/>
        <v>2.4291462426588861E-2</v>
      </c>
      <c r="D8">
        <v>1.2943368650181244</v>
      </c>
      <c r="E8">
        <f t="shared" si="1"/>
        <v>1294.3368650181244</v>
      </c>
      <c r="F8">
        <f t="shared" si="2"/>
        <v>31.441335323936588</v>
      </c>
      <c r="G8">
        <f t="shared" si="3"/>
        <v>220.08934726755612</v>
      </c>
      <c r="H8">
        <f t="shared" si="4"/>
        <v>0.65965066537002959</v>
      </c>
      <c r="I8">
        <f t="shared" si="5"/>
        <v>145.1820843658989</v>
      </c>
    </row>
    <row r="9" spans="1:9">
      <c r="A9">
        <v>8</v>
      </c>
      <c r="B9" s="1">
        <v>45731</v>
      </c>
      <c r="C9">
        <f t="shared" si="0"/>
        <v>2.4291462426588861E-2</v>
      </c>
      <c r="D9">
        <v>1.3445136996474545</v>
      </c>
      <c r="E9">
        <f t="shared" si="1"/>
        <v>1344.5136996474546</v>
      </c>
      <c r="F9">
        <f t="shared" si="2"/>
        <v>32.660204017020128</v>
      </c>
      <c r="G9">
        <f t="shared" si="3"/>
        <v>261.28163213616102</v>
      </c>
      <c r="H9">
        <f t="shared" si="4"/>
        <v>0.62158670923727677</v>
      </c>
      <c r="I9">
        <f t="shared" si="5"/>
        <v>162.40918990366103</v>
      </c>
    </row>
    <row r="10" spans="1:9">
      <c r="A10">
        <v>9</v>
      </c>
      <c r="B10" s="1">
        <v>45915</v>
      </c>
      <c r="C10">
        <f t="shared" si="0"/>
        <v>2.4291462426588861E-2</v>
      </c>
      <c r="D10">
        <v>1.3715760692553323</v>
      </c>
      <c r="E10">
        <f t="shared" si="1"/>
        <v>1371.5760692553322</v>
      </c>
      <c r="F10">
        <f t="shared" si="2"/>
        <v>33.317588551524345</v>
      </c>
      <c r="G10">
        <f t="shared" si="3"/>
        <v>299.85829696371911</v>
      </c>
      <c r="H10">
        <f t="shared" si="4"/>
        <v>0.58571916528530055</v>
      </c>
      <c r="I10">
        <f t="shared" si="5"/>
        <v>175.63275140146132</v>
      </c>
    </row>
    <row r="11" spans="1:9">
      <c r="A11">
        <v>10</v>
      </c>
      <c r="B11" s="1">
        <v>46096</v>
      </c>
      <c r="C11">
        <f t="shared" si="0"/>
        <v>2.4291462426588861E-2</v>
      </c>
      <c r="D11">
        <v>1.4246445841864637</v>
      </c>
      <c r="E11">
        <f t="shared" si="1"/>
        <v>1424.6445841864636</v>
      </c>
      <c r="F11">
        <f t="shared" si="2"/>
        <v>34.60670038800879</v>
      </c>
      <c r="G11">
        <f t="shared" si="3"/>
        <v>346.0670038800879</v>
      </c>
      <c r="H11">
        <f t="shared" si="4"/>
        <v>0.55192129349656205</v>
      </c>
      <c r="I11">
        <f t="shared" si="5"/>
        <v>191.00174841797786</v>
      </c>
    </row>
    <row r="12" spans="1:9">
      <c r="A12">
        <v>11</v>
      </c>
      <c r="B12" s="1">
        <v>46280</v>
      </c>
      <c r="C12">
        <f t="shared" si="0"/>
        <v>2.4291462426588861E-2</v>
      </c>
      <c r="D12">
        <v>1.4532900088406699</v>
      </c>
      <c r="E12">
        <f t="shared" si="1"/>
        <v>1453.29000884067</v>
      </c>
      <c r="F12">
        <f t="shared" si="2"/>
        <v>35.302539644690128</v>
      </c>
      <c r="G12">
        <f t="shared" si="3"/>
        <v>388.32793609159143</v>
      </c>
      <c r="H12">
        <f t="shared" si="4"/>
        <v>0.5200736671584596</v>
      </c>
      <c r="I12">
        <f t="shared" si="5"/>
        <v>201.9591337832299</v>
      </c>
    </row>
    <row r="13" spans="1:9">
      <c r="A13">
        <v>12</v>
      </c>
      <c r="B13" s="1">
        <v>46461</v>
      </c>
      <c r="C13">
        <f t="shared" si="0"/>
        <v>2.4291462426588861E-2</v>
      </c>
      <c r="D13">
        <v>1.509832331427758</v>
      </c>
      <c r="E13">
        <f t="shared" si="1"/>
        <v>1509.8323314277579</v>
      </c>
      <c r="F13">
        <f t="shared" si="2"/>
        <v>36.67603534932644</v>
      </c>
      <c r="G13">
        <f t="shared" si="3"/>
        <v>440.11242419191728</v>
      </c>
      <c r="H13">
        <f t="shared" si="4"/>
        <v>0.49006375086221066</v>
      </c>
      <c r="I13">
        <f t="shared" si="5"/>
        <v>215.68314540055133</v>
      </c>
    </row>
    <row r="14" spans="1:9">
      <c r="A14">
        <v>13</v>
      </c>
      <c r="B14" s="1">
        <v>46645</v>
      </c>
      <c r="C14">
        <f t="shared" si="0"/>
        <v>2.4291462426588861E-2</v>
      </c>
      <c r="D14">
        <v>1.5403639240727123</v>
      </c>
      <c r="E14">
        <f t="shared" si="1"/>
        <v>1540.3639240727123</v>
      </c>
      <c r="F14">
        <f t="shared" si="2"/>
        <v>37.417692384885271</v>
      </c>
      <c r="G14">
        <f t="shared" si="3"/>
        <v>486.43000100350855</v>
      </c>
      <c r="H14">
        <f t="shared" si="4"/>
        <v>0.46178550285254977</v>
      </c>
      <c r="I14">
        <f t="shared" si="5"/>
        <v>224.62632261597147</v>
      </c>
    </row>
    <row r="15" spans="1:9">
      <c r="A15">
        <v>14</v>
      </c>
      <c r="B15" s="1">
        <v>46827</v>
      </c>
      <c r="C15">
        <f t="shared" si="0"/>
        <v>2.4291462426588861E-2</v>
      </c>
      <c r="D15">
        <v>1.6006660218963982</v>
      </c>
      <c r="E15">
        <f t="shared" si="1"/>
        <v>1600.6660218963982</v>
      </c>
      <c r="F15">
        <f t="shared" si="2"/>
        <v>38.882518528413819</v>
      </c>
      <c r="G15">
        <f t="shared" si="3"/>
        <v>544.35525939779347</v>
      </c>
      <c r="H15">
        <f t="shared" si="4"/>
        <v>0.4351390003231228</v>
      </c>
      <c r="I15">
        <f t="shared" si="5"/>
        <v>236.87020339499006</v>
      </c>
    </row>
    <row r="16" spans="1:9">
      <c r="A16">
        <v>15</v>
      </c>
      <c r="B16" s="1">
        <v>47011</v>
      </c>
      <c r="C16">
        <f t="shared" si="0"/>
        <v>2.4291462426588861E-2</v>
      </c>
      <c r="D16">
        <v>1.6332343687562454</v>
      </c>
      <c r="E16">
        <f t="shared" si="1"/>
        <v>1633.2343687562454</v>
      </c>
      <c r="F16">
        <f t="shared" si="2"/>
        <v>39.673651302455916</v>
      </c>
      <c r="G16">
        <f t="shared" si="3"/>
        <v>595.10476953683872</v>
      </c>
      <c r="H16">
        <f t="shared" si="4"/>
        <v>0.41003008633353677</v>
      </c>
      <c r="I16">
        <f t="shared" si="5"/>
        <v>244.01086003068949</v>
      </c>
    </row>
    <row r="17" spans="1:9">
      <c r="A17">
        <v>16</v>
      </c>
      <c r="B17" s="1">
        <v>47192</v>
      </c>
      <c r="C17">
        <f t="shared" si="0"/>
        <v>2.4291462426588861E-2</v>
      </c>
      <c r="D17">
        <v>1.6975150707965856</v>
      </c>
      <c r="E17">
        <f t="shared" si="1"/>
        <v>1697.5150707965856</v>
      </c>
      <c r="F17">
        <f t="shared" si="2"/>
        <v>41.235123560823588</v>
      </c>
      <c r="G17">
        <f t="shared" si="3"/>
        <v>659.76197697317741</v>
      </c>
      <c r="H17">
        <f t="shared" si="4"/>
        <v>0.38637003710042683</v>
      </c>
      <c r="I17">
        <f t="shared" si="5"/>
        <v>254.91225952057752</v>
      </c>
    </row>
    <row r="18" spans="1:9">
      <c r="A18">
        <v>17</v>
      </c>
      <c r="B18" s="1">
        <v>47376</v>
      </c>
      <c r="C18">
        <f t="shared" si="0"/>
        <v>2.4291462426588861E-2</v>
      </c>
      <c r="D18">
        <v>1.7322370026888663</v>
      </c>
      <c r="E18">
        <f t="shared" si="1"/>
        <v>1732.2370026888664</v>
      </c>
      <c r="F18">
        <f t="shared" si="2"/>
        <v>42.078570064763504</v>
      </c>
      <c r="G18">
        <f t="shared" si="3"/>
        <v>715.3356911009796</v>
      </c>
      <c r="H18">
        <f t="shared" si="4"/>
        <v>0.36407524848689454</v>
      </c>
      <c r="I18">
        <f t="shared" si="5"/>
        <v>260.43601948913357</v>
      </c>
    </row>
    <row r="19" spans="1:9">
      <c r="A19">
        <v>18</v>
      </c>
      <c r="B19" s="1">
        <v>47557</v>
      </c>
      <c r="C19">
        <f t="shared" si="0"/>
        <v>2.4291462426588861E-2</v>
      </c>
      <c r="D19">
        <v>1.8007080643947395</v>
      </c>
      <c r="E19">
        <f t="shared" si="1"/>
        <v>1800.7080643947395</v>
      </c>
      <c r="F19">
        <f t="shared" si="2"/>
        <v>43.741832287500372</v>
      </c>
      <c r="G19">
        <f t="shared" si="3"/>
        <v>787.35298117500668</v>
      </c>
      <c r="H19">
        <f t="shared" si="4"/>
        <v>0.34306694058250919</v>
      </c>
      <c r="I19">
        <f t="shared" si="5"/>
        <v>270.11477841022747</v>
      </c>
    </row>
    <row r="20" spans="1:9">
      <c r="A20">
        <v>19</v>
      </c>
      <c r="B20" s="1">
        <v>47741</v>
      </c>
      <c r="C20">
        <f t="shared" si="0"/>
        <v>2.4291462426588861E-2</v>
      </c>
      <c r="D20">
        <v>1.8376972247267147</v>
      </c>
      <c r="E20">
        <f t="shared" si="1"/>
        <v>1837.6972247267147</v>
      </c>
      <c r="F20">
        <f t="shared" si="2"/>
        <v>44.640353085895619</v>
      </c>
      <c r="G20">
        <f t="shared" si="3"/>
        <v>848.16670863201671</v>
      </c>
      <c r="H20">
        <f t="shared" si="4"/>
        <v>0.32327087932998966</v>
      </c>
      <c r="I20">
        <f t="shared" si="5"/>
        <v>274.18759771789519</v>
      </c>
    </row>
    <row r="21" spans="1:9">
      <c r="A21">
        <v>20</v>
      </c>
      <c r="B21" s="1">
        <v>47922</v>
      </c>
      <c r="C21">
        <f t="shared" si="0"/>
        <v>2.4291462426588861E-2</v>
      </c>
      <c r="D21">
        <v>1.9105921256905434</v>
      </c>
      <c r="E21">
        <f t="shared" si="1"/>
        <v>1910.5921256905433</v>
      </c>
      <c r="F21">
        <f t="shared" si="2"/>
        <v>46.411076833748375</v>
      </c>
      <c r="G21">
        <f t="shared" si="3"/>
        <v>928.22153667496752</v>
      </c>
      <c r="H21">
        <f t="shared" si="4"/>
        <v>0.30461711421491816</v>
      </c>
      <c r="I21">
        <f t="shared" si="5"/>
        <v>282.75216585406542</v>
      </c>
    </row>
    <row r="22" spans="1:9">
      <c r="A22">
        <v>21</v>
      </c>
      <c r="B22" s="1">
        <v>48106</v>
      </c>
      <c r="C22">
        <f t="shared" si="0"/>
        <v>2.4291462426588861E-2</v>
      </c>
      <c r="D22">
        <v>2.0029504432356151</v>
      </c>
      <c r="E22">
        <f t="shared" si="1"/>
        <v>2002.950443235615</v>
      </c>
      <c r="F22">
        <f t="shared" si="2"/>
        <v>48.654595434177445</v>
      </c>
      <c r="G22">
        <f t="shared" si="3"/>
        <v>1021.7465041177263</v>
      </c>
      <c r="H22">
        <f t="shared" si="4"/>
        <v>0.28703973109159747</v>
      </c>
      <c r="I22">
        <f t="shared" si="5"/>
        <v>293.28184178573196</v>
      </c>
    </row>
    <row r="23" spans="1:9">
      <c r="A23">
        <v>22</v>
      </c>
      <c r="B23" s="1">
        <v>48288</v>
      </c>
      <c r="C23">
        <f t="shared" si="0"/>
        <v>2.4291462426588861E-2</v>
      </c>
      <c r="D23">
        <v>2.0997733760719663</v>
      </c>
      <c r="E23">
        <f t="shared" si="1"/>
        <v>2099.7733760719661</v>
      </c>
      <c r="F23">
        <f t="shared" si="2"/>
        <v>51.006566069203807</v>
      </c>
      <c r="G23">
        <f t="shared" si="3"/>
        <v>1122.1444535224837</v>
      </c>
      <c r="H23">
        <f t="shared" si="4"/>
        <v>0.27047661927164823</v>
      </c>
      <c r="I23">
        <f t="shared" si="5"/>
        <v>303.51383812319256</v>
      </c>
    </row>
    <row r="24" spans="1:9">
      <c r="A24">
        <v>23</v>
      </c>
      <c r="B24" s="1">
        <v>48472</v>
      </c>
      <c r="C24">
        <f t="shared" si="0"/>
        <v>2.4291462426588861E-2</v>
      </c>
      <c r="D24">
        <v>2.2012767443902299</v>
      </c>
      <c r="E24">
        <f t="shared" si="1"/>
        <v>2201.2767443902299</v>
      </c>
      <c r="F24">
        <f t="shared" si="2"/>
        <v>53.472231326879118</v>
      </c>
      <c r="G24">
        <f t="shared" si="3"/>
        <v>1229.8613205182198</v>
      </c>
      <c r="H24">
        <f t="shared" si="4"/>
        <v>0.25486925205233962</v>
      </c>
      <c r="I24">
        <f t="shared" si="5"/>
        <v>313.45383488858141</v>
      </c>
    </row>
    <row r="25" spans="1:9">
      <c r="A25">
        <v>24</v>
      </c>
      <c r="B25" s="1">
        <v>48653</v>
      </c>
      <c r="C25">
        <f t="shared" si="0"/>
        <v>2.4291462426588861E-2</v>
      </c>
      <c r="D25">
        <v>2.3076868011622858</v>
      </c>
      <c r="E25">
        <f t="shared" si="1"/>
        <v>2307.686801162286</v>
      </c>
      <c r="F25">
        <f t="shared" si="2"/>
        <v>56.057087222768708</v>
      </c>
      <c r="G25">
        <f t="shared" si="3"/>
        <v>1345.370093346449</v>
      </c>
      <c r="H25">
        <f t="shared" si="4"/>
        <v>0.24016247990913886</v>
      </c>
      <c r="I25">
        <f t="shared" si="5"/>
        <v>323.10741801367283</v>
      </c>
    </row>
    <row r="26" spans="1:9">
      <c r="A26">
        <v>25</v>
      </c>
      <c r="B26" s="1">
        <v>48837</v>
      </c>
      <c r="C26">
        <f t="shared" si="0"/>
        <v>2.4291462426588861E-2</v>
      </c>
      <c r="D26">
        <v>2.4192407364635127</v>
      </c>
      <c r="E26">
        <f t="shared" si="1"/>
        <v>2419.2407364635128</v>
      </c>
      <c r="F26">
        <f t="shared" si="2"/>
        <v>58.766895450676586</v>
      </c>
      <c r="G26">
        <f t="shared" si="3"/>
        <v>1469.1723862669146</v>
      </c>
      <c r="H26">
        <f t="shared" si="4"/>
        <v>0.22630433562171259</v>
      </c>
      <c r="I26">
        <f t="shared" si="5"/>
        <v>332.48008078790019</v>
      </c>
    </row>
    <row r="27" spans="1:9">
      <c r="A27">
        <v>26</v>
      </c>
      <c r="B27" s="1">
        <v>49018</v>
      </c>
      <c r="C27">
        <f t="shared" si="0"/>
        <v>2.4291462426588861E-2</v>
      </c>
      <c r="D27">
        <v>2.536187206174056</v>
      </c>
      <c r="E27">
        <f t="shared" si="1"/>
        <v>2536.187206174056</v>
      </c>
      <c r="F27">
        <f t="shared" si="2"/>
        <v>61.607696225572461</v>
      </c>
      <c r="G27">
        <f t="shared" si="3"/>
        <v>1601.800101864884</v>
      </c>
      <c r="H27">
        <f t="shared" si="4"/>
        <v>0.21324585064478227</v>
      </c>
      <c r="I27">
        <f t="shared" si="5"/>
        <v>341.57722528507611</v>
      </c>
    </row>
    <row r="28" spans="1:9">
      <c r="A28">
        <v>27</v>
      </c>
      <c r="B28" s="1">
        <v>49202</v>
      </c>
      <c r="C28">
        <f t="shared" si="0"/>
        <v>2.4291462426588861E-2</v>
      </c>
      <c r="D28">
        <v>2.6587868862375923</v>
      </c>
      <c r="E28">
        <f t="shared" si="1"/>
        <v>2658.7868862375922</v>
      </c>
      <c r="F28">
        <f t="shared" si="2"/>
        <v>64.585821747347666</v>
      </c>
      <c r="G28">
        <f t="shared" si="3"/>
        <v>1743.817187178387</v>
      </c>
      <c r="H28">
        <f t="shared" si="4"/>
        <v>0.20094088207496907</v>
      </c>
      <c r="I28">
        <f t="shared" si="5"/>
        <v>350.40416376911656</v>
      </c>
    </row>
    <row r="29" spans="1:9">
      <c r="A29">
        <v>28</v>
      </c>
      <c r="B29" s="1">
        <v>49383</v>
      </c>
      <c r="C29">
        <f t="shared" si="0"/>
        <v>2.4291462426588861E-2</v>
      </c>
      <c r="D29">
        <v>2.7873130537130559</v>
      </c>
      <c r="E29">
        <f t="shared" si="1"/>
        <v>2787.313053713056</v>
      </c>
      <c r="F29">
        <f t="shared" si="2"/>
        <v>67.707910315411354</v>
      </c>
      <c r="G29">
        <f t="shared" si="3"/>
        <v>1895.8214888315179</v>
      </c>
      <c r="H29">
        <f t="shared" si="4"/>
        <v>0.18934594960220666</v>
      </c>
      <c r="I29">
        <f t="shared" si="5"/>
        <v>358.96612007907299</v>
      </c>
    </row>
    <row r="30" spans="1:9">
      <c r="A30">
        <v>29</v>
      </c>
      <c r="B30" s="1">
        <v>49567</v>
      </c>
      <c r="C30">
        <f t="shared" si="0"/>
        <v>2.4291462426588861E-2</v>
      </c>
      <c r="D30">
        <v>2.9220521959144876</v>
      </c>
      <c r="E30">
        <f t="shared" si="1"/>
        <v>2922.0521959144876</v>
      </c>
      <c r="F30">
        <f t="shared" si="2"/>
        <v>70.980921125588253</v>
      </c>
      <c r="G30">
        <f t="shared" si="3"/>
        <v>2058.4467126420595</v>
      </c>
      <c r="H30">
        <f t="shared" si="4"/>
        <v>0.17842008186957894</v>
      </c>
      <c r="I30">
        <f t="shared" si="5"/>
        <v>367.2682309937619</v>
      </c>
    </row>
    <row r="31" spans="1:9">
      <c r="A31">
        <v>30</v>
      </c>
      <c r="B31" s="1">
        <v>49749</v>
      </c>
      <c r="C31">
        <f t="shared" si="0"/>
        <v>2.4291462426588861E-2</v>
      </c>
      <c r="D31">
        <v>3.0633046489968034</v>
      </c>
      <c r="E31">
        <f t="shared" si="1"/>
        <v>3063.3046489968033</v>
      </c>
      <c r="F31">
        <f t="shared" si="2"/>
        <v>74.41214978230083</v>
      </c>
      <c r="G31">
        <f t="shared" si="3"/>
        <v>2232.3644934690251</v>
      </c>
      <c r="H31">
        <f t="shared" si="4"/>
        <v>0.16812467169868761</v>
      </c>
      <c r="I31">
        <f t="shared" si="5"/>
        <v>375.31554757628692</v>
      </c>
    </row>
    <row r="32" spans="1:9">
      <c r="H32" t="s">
        <v>4</v>
      </c>
      <c r="I32">
        <f>SUM(I2:I31)</f>
        <v>6970.0168062627263</v>
      </c>
    </row>
    <row r="33" spans="1:11">
      <c r="A33" t="s">
        <v>98</v>
      </c>
      <c r="B33" s="8">
        <v>1000</v>
      </c>
      <c r="H33" t="s">
        <v>5</v>
      </c>
      <c r="I33">
        <f>(A31*B35)*H31</f>
        <v>15450.51265276953</v>
      </c>
    </row>
    <row r="34" spans="1:11">
      <c r="A34" t="s">
        <v>79</v>
      </c>
      <c r="B34" s="13">
        <v>4.9173000000000001E-2</v>
      </c>
      <c r="H34" t="s">
        <v>6</v>
      </c>
      <c r="I34">
        <f>SUM(I32:I33)</f>
        <v>22420.529459032256</v>
      </c>
    </row>
    <row r="35" spans="1:11">
      <c r="A35" t="s">
        <v>111</v>
      </c>
      <c r="B35">
        <f>B33*D31</f>
        <v>3063.3046489968033</v>
      </c>
      <c r="H35" t="s">
        <v>89</v>
      </c>
      <c r="I35">
        <f>(I34/B36)/2</f>
        <v>10.938695234162582</v>
      </c>
    </row>
    <row r="36" spans="1:11">
      <c r="A36" t="s">
        <v>90</v>
      </c>
      <c r="B36">
        <v>1024.8264979999999</v>
      </c>
      <c r="H36" t="s">
        <v>18</v>
      </c>
      <c r="I36">
        <f>I35/(1+B37)</f>
        <v>10.307497484503441</v>
      </c>
    </row>
    <row r="37" spans="1:11">
      <c r="A37" t="s">
        <v>101</v>
      </c>
      <c r="B37">
        <v>6.1236760000000001E-2</v>
      </c>
    </row>
    <row r="38" spans="1:11">
      <c r="A38" t="s">
        <v>119</v>
      </c>
      <c r="B38">
        <f>F4/B36</f>
        <v>2.6608520143375041E-2</v>
      </c>
    </row>
    <row r="42" spans="1:11" ht="18">
      <c r="K42" s="16"/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5410-E6D5-435B-B872-4FC9C547CC8D}">
  <dimension ref="A1:I29"/>
  <sheetViews>
    <sheetView topLeftCell="A13" workbookViewId="0">
      <selection activeCell="B29" sqref="B29"/>
    </sheetView>
  </sheetViews>
  <sheetFormatPr defaultRowHeight="15"/>
  <cols>
    <col min="2" max="2" width="10.85546875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44484</v>
      </c>
      <c r="C2">
        <f>(1+$B$24)^(1/2)-1</f>
        <v>2.3495481182012945E-2</v>
      </c>
      <c r="D2">
        <v>1.048602521853145</v>
      </c>
      <c r="E2">
        <f>$B$23*D2</f>
        <v>1048.6025218531449</v>
      </c>
      <c r="F2">
        <f>C2*E2</f>
        <v>24.637420819611886</v>
      </c>
      <c r="G2">
        <f>A2*F2</f>
        <v>24.637420819611886</v>
      </c>
      <c r="H2">
        <f>(1+$B$27)^(-A2)</f>
        <v>0.94541526774751261</v>
      </c>
      <c r="I2">
        <f>G2*H2</f>
        <v>23.292593800781514</v>
      </c>
    </row>
    <row r="3" spans="1:9">
      <c r="A3">
        <v>2</v>
      </c>
      <c r="B3" s="1">
        <v>44666</v>
      </c>
      <c r="C3">
        <f t="shared" ref="C3:C21" si="0">(1+$B$24)^(1/2)-1</f>
        <v>2.3495481182012945E-2</v>
      </c>
      <c r="D3">
        <v>1.1120845098916585</v>
      </c>
      <c r="E3">
        <f t="shared" ref="E3:E21" si="1">$B$23*D3</f>
        <v>1112.0845098916586</v>
      </c>
      <c r="F3">
        <f t="shared" ref="F3:F21" si="2">C3*E3</f>
        <v>26.128960674967555</v>
      </c>
      <c r="G3">
        <f t="shared" ref="G3:G21" si="3">A3*F3</f>
        <v>52.25792134993511</v>
      </c>
      <c r="H3">
        <f t="shared" ref="H3:H21" si="4">(1+$B$27)^(-A3)</f>
        <v>0.89381002849010094</v>
      </c>
      <c r="I3">
        <f t="shared" ref="I3:I21" si="5">G3*H3</f>
        <v>46.708654170618956</v>
      </c>
    </row>
    <row r="4" spans="1:9">
      <c r="A4">
        <v>3</v>
      </c>
      <c r="B4" s="1">
        <v>44849</v>
      </c>
      <c r="C4">
        <f t="shared" si="0"/>
        <v>2.3495481182012945E-2</v>
      </c>
      <c r="D4">
        <v>1.113561534187411</v>
      </c>
      <c r="E4">
        <f t="shared" si="1"/>
        <v>1113.5615341874111</v>
      </c>
      <c r="F4">
        <f t="shared" si="2"/>
        <v>26.163664071513782</v>
      </c>
      <c r="G4">
        <f t="shared" si="3"/>
        <v>78.49099221454135</v>
      </c>
      <c r="H4">
        <f t="shared" si="4"/>
        <v>0.84502164740038066</v>
      </c>
      <c r="I4">
        <f t="shared" si="5"/>
        <v>66.326587547222189</v>
      </c>
    </row>
    <row r="5" spans="1:9">
      <c r="A5">
        <v>4</v>
      </c>
      <c r="B5" s="1">
        <v>45031</v>
      </c>
      <c r="C5">
        <f t="shared" si="0"/>
        <v>2.3495481182012945E-2</v>
      </c>
      <c r="D5">
        <v>1.188392080025698</v>
      </c>
      <c r="E5">
        <f t="shared" si="1"/>
        <v>1188.3920800256979</v>
      </c>
      <c r="F5">
        <f t="shared" si="2"/>
        <v>27.921843753097004</v>
      </c>
      <c r="G5">
        <f t="shared" si="3"/>
        <v>111.68737501238802</v>
      </c>
      <c r="H5">
        <f t="shared" si="4"/>
        <v>0.79889636702947509</v>
      </c>
      <c r="I5">
        <f t="shared" si="5"/>
        <v>89.226638140455364</v>
      </c>
    </row>
    <row r="6" spans="1:9">
      <c r="A6">
        <v>5</v>
      </c>
      <c r="B6" s="1">
        <v>45214</v>
      </c>
      <c r="C6">
        <f t="shared" si="0"/>
        <v>2.3495481182012945E-2</v>
      </c>
      <c r="D6">
        <v>1.206902662816228</v>
      </c>
      <c r="E6">
        <f t="shared" si="1"/>
        <v>1206.902662816228</v>
      </c>
      <c r="F6">
        <f t="shared" si="2"/>
        <v>28.356758802720002</v>
      </c>
      <c r="G6">
        <f t="shared" si="3"/>
        <v>141.78379401360002</v>
      </c>
      <c r="H6">
        <f t="shared" si="4"/>
        <v>0.75528882273768627</v>
      </c>
      <c r="I6">
        <f t="shared" si="5"/>
        <v>107.08771486381457</v>
      </c>
    </row>
    <row r="7" spans="1:9">
      <c r="A7">
        <v>6</v>
      </c>
      <c r="B7" s="1">
        <v>45397</v>
      </c>
      <c r="C7">
        <f t="shared" si="0"/>
        <v>2.3495481182012945E-2</v>
      </c>
      <c r="D7">
        <v>1.2636645231525894</v>
      </c>
      <c r="E7">
        <f t="shared" si="1"/>
        <v>1263.6645231525895</v>
      </c>
      <c r="F7">
        <f t="shared" si="2"/>
        <v>29.690406024109027</v>
      </c>
      <c r="G7">
        <f t="shared" si="3"/>
        <v>178.14243614465417</v>
      </c>
      <c r="H7">
        <f t="shared" si="4"/>
        <v>0.71406158457525326</v>
      </c>
      <c r="I7">
        <f t="shared" si="5"/>
        <v>127.20467023354763</v>
      </c>
    </row>
    <row r="8" spans="1:9">
      <c r="A8">
        <v>7</v>
      </c>
      <c r="B8" s="1">
        <v>45580</v>
      </c>
      <c r="C8">
        <f t="shared" si="0"/>
        <v>2.3495481182012945E-2</v>
      </c>
      <c r="D8">
        <v>1.2811692566692743</v>
      </c>
      <c r="E8">
        <f t="shared" si="1"/>
        <v>1281.1692566692743</v>
      </c>
      <c r="F8">
        <f t="shared" si="2"/>
        <v>30.101688161046447</v>
      </c>
      <c r="G8">
        <f t="shared" si="3"/>
        <v>210.71181712732513</v>
      </c>
      <c r="H8">
        <f t="shared" si="4"/>
        <v>0.67508472416942611</v>
      </c>
      <c r="I8">
        <f t="shared" si="5"/>
        <v>142.24832894463884</v>
      </c>
    </row>
    <row r="9" spans="1:9">
      <c r="A9">
        <v>8</v>
      </c>
      <c r="B9" s="1">
        <v>45762</v>
      </c>
      <c r="C9">
        <f t="shared" si="0"/>
        <v>2.3495481182012945E-2</v>
      </c>
      <c r="D9">
        <v>1.339580573682235</v>
      </c>
      <c r="E9">
        <f t="shared" si="1"/>
        <v>1339.5805736822351</v>
      </c>
      <c r="F9">
        <f t="shared" si="2"/>
        <v>31.47409016074106</v>
      </c>
      <c r="G9">
        <f t="shared" si="3"/>
        <v>251.79272128592848</v>
      </c>
      <c r="H9">
        <f t="shared" si="4"/>
        <v>0.63823540525289379</v>
      </c>
      <c r="I9">
        <f t="shared" si="5"/>
        <v>160.7030295096535</v>
      </c>
    </row>
    <row r="10" spans="1:9">
      <c r="A10">
        <v>9</v>
      </c>
      <c r="B10" s="1">
        <v>45945</v>
      </c>
      <c r="C10">
        <f t="shared" si="0"/>
        <v>2.3495481182012945E-2</v>
      </c>
      <c r="D10">
        <v>1.3575763878298648</v>
      </c>
      <c r="E10">
        <f t="shared" si="1"/>
        <v>1357.5763878298649</v>
      </c>
      <c r="F10">
        <f t="shared" si="2"/>
        <v>31.896910473401697</v>
      </c>
      <c r="G10">
        <f t="shared" si="3"/>
        <v>287.07219426061528</v>
      </c>
      <c r="H10">
        <f t="shared" si="4"/>
        <v>0.60339749654310681</v>
      </c>
      <c r="I10">
        <f t="shared" si="5"/>
        <v>173.21864334399169</v>
      </c>
    </row>
    <row r="11" spans="1:9">
      <c r="A11">
        <v>10</v>
      </c>
      <c r="B11" s="1">
        <v>46127</v>
      </c>
      <c r="C11">
        <f t="shared" si="0"/>
        <v>2.3495481182012945E-2</v>
      </c>
      <c r="D11">
        <v>1.4194062367339186</v>
      </c>
      <c r="E11">
        <f t="shared" si="1"/>
        <v>1419.4062367339186</v>
      </c>
      <c r="F11">
        <f t="shared" si="2"/>
        <v>33.349632524813593</v>
      </c>
      <c r="G11">
        <f t="shared" si="3"/>
        <v>333.49632524813592</v>
      </c>
      <c r="H11">
        <f t="shared" si="4"/>
        <v>0.57046120575248016</v>
      </c>
      <c r="I11">
        <f t="shared" si="5"/>
        <v>190.24671581507292</v>
      </c>
    </row>
    <row r="12" spans="1:9">
      <c r="A12">
        <v>11</v>
      </c>
      <c r="B12" s="1">
        <v>46310</v>
      </c>
      <c r="C12">
        <f t="shared" si="0"/>
        <v>2.3495481182012945E-2</v>
      </c>
      <c r="D12">
        <v>1.4384546386089974</v>
      </c>
      <c r="E12">
        <f t="shared" si="1"/>
        <v>1438.4546386089974</v>
      </c>
      <c r="F12">
        <f t="shared" si="2"/>
        <v>33.797183892616928</v>
      </c>
      <c r="G12">
        <f t="shared" si="3"/>
        <v>371.7690228187862</v>
      </c>
      <c r="H12">
        <f t="shared" si="4"/>
        <v>0.53932273357604987</v>
      </c>
      <c r="I12">
        <f t="shared" si="5"/>
        <v>200.50348564552465</v>
      </c>
    </row>
    <row r="13" spans="1:9">
      <c r="A13">
        <v>12</v>
      </c>
      <c r="B13" s="1">
        <v>46492</v>
      </c>
      <c r="C13">
        <f t="shared" si="0"/>
        <v>2.3495481182012945E-2</v>
      </c>
      <c r="D13">
        <v>1.5043459256278122</v>
      </c>
      <c r="E13">
        <f t="shared" si="1"/>
        <v>1504.3459256278122</v>
      </c>
      <c r="F13">
        <f t="shared" si="2"/>
        <v>35.345331386826111</v>
      </c>
      <c r="G13">
        <f t="shared" si="3"/>
        <v>424.14397664191335</v>
      </c>
      <c r="H13">
        <f t="shared" si="4"/>
        <v>0.50988394656612157</v>
      </c>
      <c r="I13">
        <f t="shared" si="5"/>
        <v>216.26420472242768</v>
      </c>
    </row>
    <row r="14" spans="1:9">
      <c r="A14">
        <v>13</v>
      </c>
      <c r="B14" s="1">
        <v>46675</v>
      </c>
      <c r="C14">
        <f t="shared" si="0"/>
        <v>2.3495481182012945E-2</v>
      </c>
      <c r="D14">
        <v>1.5246491908503141</v>
      </c>
      <c r="E14">
        <f t="shared" si="1"/>
        <v>1524.6491908503142</v>
      </c>
      <c r="F14">
        <f t="shared" si="2"/>
        <v>35.822366372794818</v>
      </c>
      <c r="G14">
        <f t="shared" si="3"/>
        <v>465.69076284633263</v>
      </c>
      <c r="H14">
        <f t="shared" si="4"/>
        <v>0.48205206786296823</v>
      </c>
      <c r="I14">
        <f t="shared" si="5"/>
        <v>224.48719521475778</v>
      </c>
    </row>
    <row r="15" spans="1:9">
      <c r="A15">
        <v>14</v>
      </c>
      <c r="B15" s="1">
        <v>46858</v>
      </c>
      <c r="C15">
        <f t="shared" si="0"/>
        <v>2.3495481182012945E-2</v>
      </c>
      <c r="D15">
        <v>1.5949247299945772</v>
      </c>
      <c r="E15">
        <f t="shared" si="1"/>
        <v>1594.9247299945773</v>
      </c>
      <c r="F15">
        <f t="shared" si="2"/>
        <v>37.473523980314667</v>
      </c>
      <c r="G15">
        <f t="shared" si="3"/>
        <v>524.62933572440534</v>
      </c>
      <c r="H15">
        <f t="shared" si="4"/>
        <v>0.45573938480691023</v>
      </c>
      <c r="I15">
        <f t="shared" si="5"/>
        <v>239.09425071469846</v>
      </c>
    </row>
    <row r="16" spans="1:9">
      <c r="A16">
        <v>15</v>
      </c>
      <c r="B16" s="1">
        <v>47041</v>
      </c>
      <c r="C16">
        <f t="shared" si="0"/>
        <v>2.3495481182012945E-2</v>
      </c>
      <c r="D16">
        <v>1.616583133951067</v>
      </c>
      <c r="E16">
        <f t="shared" si="1"/>
        <v>1616.5831339510671</v>
      </c>
      <c r="F16">
        <f t="shared" si="2"/>
        <v>37.982398602906812</v>
      </c>
      <c r="G16">
        <f t="shared" si="3"/>
        <v>569.73597904360213</v>
      </c>
      <c r="H16">
        <f t="shared" si="4"/>
        <v>0.43086297251031169</v>
      </c>
      <c r="I16">
        <f t="shared" si="5"/>
        <v>245.47813747679905</v>
      </c>
    </row>
    <row r="17" spans="1:9">
      <c r="A17">
        <v>16</v>
      </c>
      <c r="B17" s="1">
        <v>47223</v>
      </c>
      <c r="C17">
        <f t="shared" si="0"/>
        <v>2.3495481182012945E-2</v>
      </c>
      <c r="D17">
        <v>1.691495219179685</v>
      </c>
      <c r="E17">
        <f t="shared" si="1"/>
        <v>1691.4952191796851</v>
      </c>
      <c r="F17">
        <f t="shared" si="2"/>
        <v>39.742494091701154</v>
      </c>
      <c r="G17">
        <f t="shared" si="3"/>
        <v>635.87990546721846</v>
      </c>
      <c r="H17">
        <f t="shared" si="4"/>
        <v>0.40734443251832553</v>
      </c>
      <c r="I17">
        <f t="shared" si="5"/>
        <v>259.02213924235059</v>
      </c>
    </row>
    <row r="18" spans="1:9">
      <c r="A18">
        <v>17</v>
      </c>
      <c r="B18" s="1">
        <v>47406</v>
      </c>
      <c r="C18">
        <f t="shared" si="0"/>
        <v>2.3495481182012945E-2</v>
      </c>
      <c r="D18">
        <v>1.7145864436560734</v>
      </c>
      <c r="E18">
        <f t="shared" si="1"/>
        <v>1714.5864436560735</v>
      </c>
      <c r="F18">
        <f t="shared" si="2"/>
        <v>40.285033521855773</v>
      </c>
      <c r="G18">
        <f t="shared" si="3"/>
        <v>684.84556987154815</v>
      </c>
      <c r="H18">
        <f t="shared" si="4"/>
        <v>0.38510964573477136</v>
      </c>
      <c r="I18">
        <f t="shared" si="5"/>
        <v>263.74063479625949</v>
      </c>
    </row>
    <row r="19" spans="1:9">
      <c r="A19">
        <v>18</v>
      </c>
      <c r="B19" s="1">
        <v>47588</v>
      </c>
      <c r="C19">
        <f t="shared" si="0"/>
        <v>2.3495481182012945E-2</v>
      </c>
      <c r="D19">
        <v>1.7943810902862918</v>
      </c>
      <c r="E19">
        <f t="shared" si="1"/>
        <v>1794.3810902862917</v>
      </c>
      <c r="F19">
        <f t="shared" si="2"/>
        <v>42.159847140181441</v>
      </c>
      <c r="G19">
        <f t="shared" si="3"/>
        <v>758.87724852326596</v>
      </c>
      <c r="H19">
        <f t="shared" si="4"/>
        <v>0.36408853883448861</v>
      </c>
      <c r="I19">
        <f t="shared" si="5"/>
        <v>276.29850856957296</v>
      </c>
    </row>
    <row r="20" spans="1:9">
      <c r="A20">
        <v>19</v>
      </c>
      <c r="B20" s="1">
        <v>47771</v>
      </c>
      <c r="C20">
        <f t="shared" si="0"/>
        <v>2.3495481182012945E-2</v>
      </c>
      <c r="D20">
        <v>1.8189806596507776</v>
      </c>
      <c r="E20">
        <f t="shared" si="1"/>
        <v>1818.9806596507776</v>
      </c>
      <c r="F20">
        <f t="shared" si="2"/>
        <v>42.737825859270338</v>
      </c>
      <c r="G20">
        <f t="shared" si="3"/>
        <v>812.01869132613638</v>
      </c>
      <c r="H20">
        <f t="shared" si="4"/>
        <v>0.34421486342600865</v>
      </c>
      <c r="I20">
        <f t="shared" si="5"/>
        <v>279.50890293419229</v>
      </c>
    </row>
    <row r="21" spans="1:9">
      <c r="A21">
        <v>20</v>
      </c>
      <c r="B21" s="1">
        <v>47953</v>
      </c>
      <c r="C21">
        <f t="shared" si="0"/>
        <v>2.3495481182012945E-2</v>
      </c>
      <c r="D21">
        <v>1.9039302000906198</v>
      </c>
      <c r="E21">
        <f t="shared" si="1"/>
        <v>1903.9302000906198</v>
      </c>
      <c r="F21">
        <f t="shared" si="2"/>
        <v>44.733756188095299</v>
      </c>
      <c r="G21">
        <f t="shared" si="3"/>
        <v>894.67512376190598</v>
      </c>
      <c r="H21">
        <f t="shared" si="4"/>
        <v>0.32542598726857347</v>
      </c>
      <c r="I21">
        <f t="shared" si="5"/>
        <v>291.15053543485141</v>
      </c>
    </row>
    <row r="22" spans="1:9">
      <c r="H22" t="s">
        <v>4</v>
      </c>
      <c r="I22">
        <f>SUM(I2:I21)</f>
        <v>3621.8115711212326</v>
      </c>
    </row>
    <row r="23" spans="1:9">
      <c r="A23" t="s">
        <v>98</v>
      </c>
      <c r="B23" s="8">
        <v>1000</v>
      </c>
      <c r="H23" t="s">
        <v>5</v>
      </c>
      <c r="I23">
        <f>(A21*B25)*H21</f>
        <v>12391.767301098851</v>
      </c>
    </row>
    <row r="24" spans="1:9">
      <c r="A24" t="s">
        <v>79</v>
      </c>
      <c r="B24" s="13">
        <v>4.7543000000000002E-2</v>
      </c>
      <c r="H24" t="s">
        <v>6</v>
      </c>
      <c r="I24">
        <f>SUM(I22:I23)</f>
        <v>16013.578872220083</v>
      </c>
    </row>
    <row r="25" spans="1:9">
      <c r="A25" t="s">
        <v>111</v>
      </c>
      <c r="B25">
        <f>B23*D21</f>
        <v>1903.9302000906198</v>
      </c>
      <c r="H25" t="s">
        <v>89</v>
      </c>
      <c r="I25">
        <f>(I24/B26)/2</f>
        <v>8.0474696041934486</v>
      </c>
    </row>
    <row r="26" spans="1:9">
      <c r="A26" t="s">
        <v>90</v>
      </c>
      <c r="B26">
        <v>994.944974</v>
      </c>
      <c r="H26" t="s">
        <v>18</v>
      </c>
      <c r="I26">
        <f>I25/(1+B27)</f>
        <v>7.6082006305385184</v>
      </c>
    </row>
    <row r="27" spans="1:9">
      <c r="A27" t="s">
        <v>101</v>
      </c>
      <c r="B27">
        <v>5.7736250000000003E-2</v>
      </c>
    </row>
    <row r="28" spans="1:9">
      <c r="A28" t="s">
        <v>119</v>
      </c>
      <c r="B28">
        <f>F4/B26</f>
        <v>2.6296594038087762E-2</v>
      </c>
    </row>
    <row r="29" spans="1:9">
      <c r="A29" t="s">
        <v>19</v>
      </c>
      <c r="B29" t="s">
        <v>133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08DB9-FEAD-43D4-94F9-49E9E9F6C163}">
  <dimension ref="A1:M27"/>
  <sheetViews>
    <sheetView topLeftCell="A16" workbookViewId="0">
      <selection activeCell="B26" sqref="B26"/>
    </sheetView>
  </sheetViews>
  <sheetFormatPr defaultRowHeight="15"/>
  <cols>
    <col min="2" max="2" width="11" customWidth="1"/>
    <col min="4" max="4" width="10.7109375" bestFit="1" customWidth="1"/>
    <col min="6" max="6" width="9.5703125" bestFit="1" customWidth="1"/>
    <col min="13" max="13" width="10" bestFit="1" customWidth="1"/>
  </cols>
  <sheetData>
    <row r="1" spans="1:10">
      <c r="A1" t="s">
        <v>96</v>
      </c>
      <c r="B1" t="s">
        <v>0</v>
      </c>
      <c r="C1" t="s">
        <v>121</v>
      </c>
      <c r="D1" t="s">
        <v>141</v>
      </c>
      <c r="E1" t="s">
        <v>116</v>
      </c>
      <c r="F1" t="s">
        <v>142</v>
      </c>
      <c r="G1" t="s">
        <v>107</v>
      </c>
      <c r="H1" t="s">
        <v>12</v>
      </c>
      <c r="I1" t="s">
        <v>3</v>
      </c>
      <c r="J1" t="s">
        <v>102</v>
      </c>
    </row>
    <row r="2" spans="1:10">
      <c r="A2">
        <v>0</v>
      </c>
      <c r="B2" s="1">
        <v>44314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</v>
      </c>
      <c r="B3" s="1">
        <v>44484</v>
      </c>
      <c r="C3">
        <v>6.1499999999999999E-2</v>
      </c>
      <c r="D3" s="14">
        <f>(1+C3)^(NETWORKDAYS.INTL(B2,B3)/252)-1</f>
        <v>2.9559446759749974E-2</v>
      </c>
      <c r="E3">
        <v>2.75E-2</v>
      </c>
      <c r="F3" s="14">
        <f>D3+E3</f>
        <v>5.7059446759749971E-2</v>
      </c>
      <c r="G3">
        <f>$B$24*F3</f>
        <v>570.59446759749972</v>
      </c>
      <c r="H3">
        <f>A3*G3</f>
        <v>570.59446759749972</v>
      </c>
      <c r="I3">
        <f>(1+$B$26)^(-A3)</f>
        <v>0.91609403994805783</v>
      </c>
      <c r="J3">
        <f>H3*I3</f>
        <v>522.71819099340473</v>
      </c>
    </row>
    <row r="4" spans="1:10">
      <c r="A4">
        <v>2</v>
      </c>
      <c r="B4" s="1">
        <v>44666</v>
      </c>
      <c r="C4">
        <v>0.11650000000000001</v>
      </c>
      <c r="D4" s="14">
        <f t="shared" ref="D4:D22" si="0">(1+C4)^(NETWORKDAYS.INTL(B3,B4)/252)-1</f>
        <v>5.8958502313748662E-2</v>
      </c>
      <c r="E4">
        <v>2.75E-2</v>
      </c>
      <c r="F4" s="14">
        <f t="shared" ref="F4:F22" si="1">D4+E4</f>
        <v>8.6458502313748659E-2</v>
      </c>
      <c r="G4">
        <f t="shared" ref="G4:G22" si="2">$B$24*F4</f>
        <v>864.58502313748659</v>
      </c>
      <c r="H4">
        <f t="shared" ref="H4:H22" si="3">A4*G4</f>
        <v>1729.1700462749732</v>
      </c>
      <c r="I4">
        <f t="shared" ref="I4:I22" si="4">(1+$B$26)^(-A4)</f>
        <v>0.83922829002835375</v>
      </c>
      <c r="J4">
        <f t="shared" ref="J4:J22" si="5">H4*I4</f>
        <v>1451.1684211035952</v>
      </c>
    </row>
    <row r="5" spans="1:10">
      <c r="A5">
        <v>3</v>
      </c>
      <c r="B5" s="1">
        <v>44849</v>
      </c>
      <c r="C5">
        <v>0.13650000000000001</v>
      </c>
      <c r="D5" s="14">
        <f t="shared" si="0"/>
        <v>6.8777465213071487E-2</v>
      </c>
      <c r="E5">
        <v>2.75E-2</v>
      </c>
      <c r="F5" s="14">
        <f t="shared" si="1"/>
        <v>9.6277465213071484E-2</v>
      </c>
      <c r="G5">
        <f t="shared" si="2"/>
        <v>962.7746521307148</v>
      </c>
      <c r="H5">
        <f t="shared" si="3"/>
        <v>2888.3239563921443</v>
      </c>
      <c r="I5">
        <f t="shared" si="4"/>
        <v>0.76881203465077497</v>
      </c>
      <c r="J5">
        <f t="shared" si="5"/>
        <v>2220.5782176444209</v>
      </c>
    </row>
    <row r="6" spans="1:10">
      <c r="A6">
        <v>4</v>
      </c>
      <c r="B6" s="1">
        <v>45031</v>
      </c>
      <c r="C6">
        <v>0.13700000000000001</v>
      </c>
      <c r="D6" s="14">
        <f t="shared" si="0"/>
        <v>6.847734712457676E-2</v>
      </c>
      <c r="E6">
        <v>2.75E-2</v>
      </c>
      <c r="F6" s="14">
        <f t="shared" si="1"/>
        <v>9.5977347124576756E-2</v>
      </c>
      <c r="G6">
        <f t="shared" si="2"/>
        <v>959.77347124576761</v>
      </c>
      <c r="H6">
        <f t="shared" si="3"/>
        <v>3839.0938849830704</v>
      </c>
      <c r="I6">
        <f t="shared" si="4"/>
        <v>0.70430412278391474</v>
      </c>
      <c r="J6">
        <f t="shared" si="5"/>
        <v>2703.8896509480928</v>
      </c>
    </row>
    <row r="7" spans="1:10">
      <c r="A7">
        <v>5</v>
      </c>
      <c r="B7" s="1">
        <v>45214</v>
      </c>
      <c r="C7">
        <v>0.13305</v>
      </c>
      <c r="D7" s="14">
        <f t="shared" si="0"/>
        <v>6.6560839934359128E-2</v>
      </c>
      <c r="E7">
        <v>2.75E-2</v>
      </c>
      <c r="F7" s="14">
        <f t="shared" si="1"/>
        <v>9.4060839934359125E-2</v>
      </c>
      <c r="G7">
        <f t="shared" si="2"/>
        <v>940.60839934359126</v>
      </c>
      <c r="H7">
        <f t="shared" si="3"/>
        <v>4703.041996717956</v>
      </c>
      <c r="I7">
        <f t="shared" si="4"/>
        <v>0.64520880919318935</v>
      </c>
      <c r="J7">
        <f t="shared" si="5"/>
        <v>3034.4441262879518</v>
      </c>
    </row>
    <row r="8" spans="1:10">
      <c r="A8">
        <v>6</v>
      </c>
      <c r="B8" s="1">
        <v>45397</v>
      </c>
      <c r="C8">
        <v>0.12570000000000001</v>
      </c>
      <c r="D8" s="14">
        <f t="shared" si="0"/>
        <v>6.3485625154833025E-2</v>
      </c>
      <c r="E8">
        <v>2.75E-2</v>
      </c>
      <c r="F8" s="14">
        <f t="shared" si="1"/>
        <v>9.0985625154833022E-2</v>
      </c>
      <c r="G8">
        <f t="shared" si="2"/>
        <v>909.85625154833019</v>
      </c>
      <c r="H8">
        <f t="shared" si="3"/>
        <v>5459.1375092899816</v>
      </c>
      <c r="I8">
        <f t="shared" si="4"/>
        <v>0.59107194462386448</v>
      </c>
      <c r="J8">
        <f t="shared" si="5"/>
        <v>3226.7430235851093</v>
      </c>
    </row>
    <row r="9" spans="1:10">
      <c r="A9">
        <v>7</v>
      </c>
      <c r="B9" s="1">
        <v>45580</v>
      </c>
      <c r="C9">
        <v>0.11924999999999999</v>
      </c>
      <c r="D9" s="14">
        <f t="shared" si="0"/>
        <v>6.0787717527063245E-2</v>
      </c>
      <c r="E9">
        <v>2.75E-2</v>
      </c>
      <c r="F9" s="14">
        <f t="shared" si="1"/>
        <v>8.8287717527063242E-2</v>
      </c>
      <c r="G9">
        <f t="shared" si="2"/>
        <v>882.87717527063239</v>
      </c>
      <c r="H9">
        <f t="shared" si="3"/>
        <v>6180.1402268944266</v>
      </c>
      <c r="I9">
        <f t="shared" si="4"/>
        <v>0.54147748565043075</v>
      </c>
      <c r="J9">
        <f t="shared" si="5"/>
        <v>3346.4067910258768</v>
      </c>
    </row>
    <row r="10" spans="1:10">
      <c r="A10">
        <v>8</v>
      </c>
      <c r="B10" s="1">
        <v>45762</v>
      </c>
      <c r="C10">
        <v>0.11595</v>
      </c>
      <c r="D10" s="14">
        <f t="shared" si="0"/>
        <v>5.8687292731234741E-2</v>
      </c>
      <c r="E10">
        <v>2.75E-2</v>
      </c>
      <c r="F10" s="14">
        <f t="shared" si="1"/>
        <v>8.6187292731234738E-2</v>
      </c>
      <c r="G10">
        <f t="shared" si="2"/>
        <v>861.87292731234743</v>
      </c>
      <c r="H10">
        <f t="shared" si="3"/>
        <v>6894.9834184987794</v>
      </c>
      <c r="I10">
        <f t="shared" si="4"/>
        <v>0.49604429737041955</v>
      </c>
      <c r="J10">
        <f t="shared" si="5"/>
        <v>3420.2172052099204</v>
      </c>
    </row>
    <row r="11" spans="1:10">
      <c r="A11">
        <v>9</v>
      </c>
      <c r="B11" s="1">
        <v>45945</v>
      </c>
      <c r="C11">
        <v>0.11544</v>
      </c>
      <c r="D11" s="14">
        <f t="shared" si="0"/>
        <v>5.8894710677173556E-2</v>
      </c>
      <c r="E11">
        <v>2.75E-2</v>
      </c>
      <c r="F11" s="14">
        <f t="shared" si="1"/>
        <v>8.6394710677173553E-2</v>
      </c>
      <c r="G11">
        <f t="shared" si="2"/>
        <v>863.94710677173555</v>
      </c>
      <c r="H11">
        <f t="shared" si="3"/>
        <v>7775.5239609456203</v>
      </c>
      <c r="I11">
        <f t="shared" si="4"/>
        <v>0.45442322437126337</v>
      </c>
      <c r="J11">
        <f t="shared" si="5"/>
        <v>3533.3786695089261</v>
      </c>
    </row>
    <row r="12" spans="1:10">
      <c r="A12">
        <v>10</v>
      </c>
      <c r="B12" s="1">
        <v>46127</v>
      </c>
      <c r="C12">
        <v>0.11496000000000001</v>
      </c>
      <c r="D12" s="14">
        <f t="shared" si="0"/>
        <v>5.8198953695461908E-2</v>
      </c>
      <c r="E12">
        <v>2.75E-2</v>
      </c>
      <c r="F12" s="14">
        <f t="shared" si="1"/>
        <v>8.5698953695461905E-2</v>
      </c>
      <c r="G12">
        <f t="shared" si="2"/>
        <v>856.9895369546191</v>
      </c>
      <c r="H12">
        <f t="shared" si="3"/>
        <v>8569.8953695461914</v>
      </c>
      <c r="I12">
        <f t="shared" si="4"/>
        <v>0.4162944074604934</v>
      </c>
      <c r="J12">
        <f t="shared" si="5"/>
        <v>3567.599514863658</v>
      </c>
    </row>
    <row r="13" spans="1:10">
      <c r="A13">
        <v>11</v>
      </c>
      <c r="B13" s="1">
        <v>46310</v>
      </c>
      <c r="C13">
        <v>0.11491999999999999</v>
      </c>
      <c r="D13" s="14">
        <f t="shared" si="0"/>
        <v>5.8636108895885108E-2</v>
      </c>
      <c r="E13">
        <v>2.75E-2</v>
      </c>
      <c r="F13" s="14">
        <f t="shared" si="1"/>
        <v>8.6136108895885105E-2</v>
      </c>
      <c r="G13">
        <f t="shared" si="2"/>
        <v>861.36108895885104</v>
      </c>
      <c r="H13">
        <f t="shared" si="3"/>
        <v>9474.9719785473608</v>
      </c>
      <c r="I13">
        <f t="shared" si="4"/>
        <v>0.38136482553826628</v>
      </c>
      <c r="J13">
        <f t="shared" si="5"/>
        <v>3613.4210355786759</v>
      </c>
    </row>
    <row r="14" spans="1:10">
      <c r="A14">
        <v>12</v>
      </c>
      <c r="B14" s="1">
        <v>46492</v>
      </c>
      <c r="C14">
        <v>0.11484</v>
      </c>
      <c r="D14" s="14">
        <f t="shared" si="0"/>
        <v>5.8139746939789294E-2</v>
      </c>
      <c r="E14">
        <v>2.75E-2</v>
      </c>
      <c r="F14" s="14">
        <f t="shared" si="1"/>
        <v>8.5639746939789291E-2</v>
      </c>
      <c r="G14">
        <f t="shared" si="2"/>
        <v>856.39746939789291</v>
      </c>
      <c r="H14">
        <f t="shared" si="3"/>
        <v>10276.769632774714</v>
      </c>
      <c r="I14">
        <f t="shared" si="4"/>
        <v>0.3493660437214367</v>
      </c>
      <c r="J14">
        <f t="shared" si="5"/>
        <v>3590.3543488391037</v>
      </c>
    </row>
    <row r="15" spans="1:10">
      <c r="A15">
        <v>13</v>
      </c>
      <c r="B15" s="1">
        <v>46675</v>
      </c>
      <c r="C15">
        <v>0.11473</v>
      </c>
      <c r="D15" s="14">
        <f t="shared" si="0"/>
        <v>5.8541605457255175E-2</v>
      </c>
      <c r="E15">
        <v>2.75E-2</v>
      </c>
      <c r="F15" s="14">
        <f t="shared" si="1"/>
        <v>8.6041605457255171E-2</v>
      </c>
      <c r="G15">
        <f t="shared" si="2"/>
        <v>860.41605457255173</v>
      </c>
      <c r="H15">
        <f t="shared" si="3"/>
        <v>11185.408709443172</v>
      </c>
      <c r="I15">
        <f t="shared" si="4"/>
        <v>0.32005215041344076</v>
      </c>
      <c r="J15">
        <f t="shared" si="5"/>
        <v>3579.9141107105165</v>
      </c>
    </row>
    <row r="16" spans="1:10">
      <c r="A16">
        <v>14</v>
      </c>
      <c r="B16" s="1">
        <v>46858</v>
      </c>
      <c r="C16">
        <v>0.115</v>
      </c>
      <c r="D16" s="14">
        <f t="shared" si="0"/>
        <v>5.8218688600747637E-2</v>
      </c>
      <c r="E16">
        <v>2.75E-2</v>
      </c>
      <c r="F16" s="14">
        <f t="shared" si="1"/>
        <v>8.5718688600747633E-2</v>
      </c>
      <c r="G16">
        <f t="shared" si="2"/>
        <v>857.18688600747635</v>
      </c>
      <c r="H16">
        <f t="shared" si="3"/>
        <v>12000.616404104669</v>
      </c>
      <c r="I16">
        <f t="shared" si="4"/>
        <v>0.29319786746631238</v>
      </c>
      <c r="J16">
        <f t="shared" si="5"/>
        <v>3518.555137964735</v>
      </c>
    </row>
    <row r="17" spans="1:13">
      <c r="A17">
        <v>15</v>
      </c>
      <c r="B17" s="1">
        <v>47041</v>
      </c>
      <c r="C17">
        <v>0.115</v>
      </c>
      <c r="D17" s="14">
        <f t="shared" si="0"/>
        <v>5.7761677132620592E-2</v>
      </c>
      <c r="E17">
        <v>2.75E-2</v>
      </c>
      <c r="F17" s="14">
        <f t="shared" si="1"/>
        <v>8.5261677132620589E-2</v>
      </c>
      <c r="G17">
        <f t="shared" si="2"/>
        <v>852.61677132620594</v>
      </c>
      <c r="H17">
        <f t="shared" si="3"/>
        <v>12789.251569893089</v>
      </c>
      <c r="I17">
        <f t="shared" si="4"/>
        <v>0.26859681891136933</v>
      </c>
      <c r="J17">
        <f t="shared" si="5"/>
        <v>3435.1522879305198</v>
      </c>
    </row>
    <row r="18" spans="1:13">
      <c r="A18">
        <v>16</v>
      </c>
      <c r="B18" s="1">
        <v>47223</v>
      </c>
      <c r="C18">
        <v>0.1159</v>
      </c>
      <c r="D18" s="14">
        <f t="shared" si="0"/>
        <v>5.820204279949226E-2</v>
      </c>
      <c r="E18">
        <v>2.75E-2</v>
      </c>
      <c r="F18" s="14">
        <f t="shared" si="1"/>
        <v>8.5702042799492256E-2</v>
      </c>
      <c r="G18">
        <f t="shared" si="2"/>
        <v>857.02042799492256</v>
      </c>
      <c r="H18">
        <f t="shared" si="3"/>
        <v>13712.326847918761</v>
      </c>
      <c r="I18">
        <f t="shared" si="4"/>
        <v>0.24605994495371322</v>
      </c>
      <c r="J18">
        <f t="shared" si="5"/>
        <v>3374.0543893862141</v>
      </c>
    </row>
    <row r="19" spans="1:13">
      <c r="A19">
        <v>17</v>
      </c>
      <c r="B19" s="1">
        <v>47406</v>
      </c>
      <c r="C19">
        <v>0.1159</v>
      </c>
      <c r="D19" s="14">
        <f t="shared" si="0"/>
        <v>5.8662634132430558E-2</v>
      </c>
      <c r="E19">
        <v>2.75E-2</v>
      </c>
      <c r="F19" s="14">
        <f t="shared" si="1"/>
        <v>8.6162634132430554E-2</v>
      </c>
      <c r="G19">
        <f t="shared" si="2"/>
        <v>861.6263413243056</v>
      </c>
      <c r="H19">
        <f t="shared" si="3"/>
        <v>14647.647802513195</v>
      </c>
      <c r="I19">
        <f t="shared" si="4"/>
        <v>0.22541404904204385</v>
      </c>
      <c r="J19">
        <f t="shared" si="5"/>
        <v>3301.7856001062951</v>
      </c>
    </row>
    <row r="20" spans="1:13">
      <c r="A20">
        <v>18</v>
      </c>
      <c r="B20" s="1">
        <v>47588</v>
      </c>
      <c r="C20">
        <v>0.1162</v>
      </c>
      <c r="D20" s="14">
        <f t="shared" si="0"/>
        <v>5.8810577768670047E-2</v>
      </c>
      <c r="E20">
        <v>2.75E-2</v>
      </c>
      <c r="F20" s="14">
        <f t="shared" si="1"/>
        <v>8.6310577768670044E-2</v>
      </c>
      <c r="G20">
        <f t="shared" si="2"/>
        <v>863.10577768670043</v>
      </c>
      <c r="H20">
        <f t="shared" si="3"/>
        <v>15535.903998360607</v>
      </c>
      <c r="I20">
        <f t="shared" si="4"/>
        <v>0.2065004668479756</v>
      </c>
      <c r="J20">
        <f t="shared" si="5"/>
        <v>3208.1714285667963</v>
      </c>
    </row>
    <row r="21" spans="1:13">
      <c r="A21">
        <v>19</v>
      </c>
      <c r="B21" s="1">
        <v>47771</v>
      </c>
      <c r="C21">
        <v>0.1162</v>
      </c>
      <c r="D21" s="14">
        <f t="shared" si="0"/>
        <v>5.9272563883401519E-2</v>
      </c>
      <c r="E21">
        <v>2.75E-2</v>
      </c>
      <c r="F21" s="14">
        <f t="shared" si="1"/>
        <v>8.6772563883401516E-2</v>
      </c>
      <c r="G21">
        <f t="shared" si="2"/>
        <v>867.72563883401517</v>
      </c>
      <c r="H21">
        <f t="shared" si="3"/>
        <v>16486.787137846288</v>
      </c>
      <c r="I21">
        <f t="shared" si="4"/>
        <v>0.18917384692592196</v>
      </c>
      <c r="J21">
        <f t="shared" si="5"/>
        <v>3118.8689463151927</v>
      </c>
    </row>
    <row r="22" spans="1:13">
      <c r="A22">
        <v>20</v>
      </c>
      <c r="B22" s="1">
        <v>47953</v>
      </c>
      <c r="C22">
        <v>0.1166</v>
      </c>
      <c r="D22" s="14">
        <f t="shared" si="0"/>
        <v>5.9007806254273598E-2</v>
      </c>
      <c r="E22">
        <v>2.75E-2</v>
      </c>
      <c r="F22" s="14">
        <f t="shared" si="1"/>
        <v>8.6507806254273595E-2</v>
      </c>
      <c r="G22">
        <f t="shared" si="2"/>
        <v>865.07806254273589</v>
      </c>
      <c r="H22">
        <f t="shared" si="3"/>
        <v>17301.561250854716</v>
      </c>
      <c r="I22">
        <f t="shared" si="4"/>
        <v>0.17330103368288333</v>
      </c>
      <c r="J22">
        <f t="shared" si="5"/>
        <v>2998.3784491008423</v>
      </c>
    </row>
    <row r="23" spans="1:13">
      <c r="I23" t="s">
        <v>4</v>
      </c>
      <c r="J23">
        <f>SUM(J3:J22)</f>
        <v>60765.799545669841</v>
      </c>
    </row>
    <row r="24" spans="1:13">
      <c r="A24" t="s">
        <v>98</v>
      </c>
      <c r="B24" s="8">
        <v>10000</v>
      </c>
      <c r="I24" t="s">
        <v>5</v>
      </c>
      <c r="J24">
        <f>(A22*B24)*I22</f>
        <v>34660.206736576663</v>
      </c>
    </row>
    <row r="25" spans="1:13">
      <c r="A25" t="s">
        <v>90</v>
      </c>
      <c r="B25">
        <v>9477.5546140000006</v>
      </c>
      <c r="I25" t="s">
        <v>6</v>
      </c>
      <c r="J25">
        <f>SUM(J23:J24)</f>
        <v>95426.006282246497</v>
      </c>
    </row>
    <row r="26" spans="1:13">
      <c r="A26" t="s">
        <v>101</v>
      </c>
      <c r="B26">
        <v>9.1590989999999997E-2</v>
      </c>
      <c r="I26" t="s">
        <v>89</v>
      </c>
      <c r="J26">
        <f>(J25/B25)/2</f>
        <v>5.0343158213662864</v>
      </c>
    </row>
    <row r="27" spans="1:13" ht="18">
      <c r="I27" t="s">
        <v>18</v>
      </c>
      <c r="J27">
        <f>J26/(1+B26)</f>
        <v>4.6119067191698662</v>
      </c>
      <c r="M27" s="16"/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9D852-C655-45C6-92BF-F3EB7BBF44C2}">
  <dimension ref="A1:O29"/>
  <sheetViews>
    <sheetView topLeftCell="A16" workbookViewId="0">
      <selection activeCell="B28" sqref="B28"/>
    </sheetView>
  </sheetViews>
  <sheetFormatPr defaultRowHeight="15"/>
  <cols>
    <col min="2" max="2" width="10.5703125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44545</v>
      </c>
      <c r="C2">
        <f>(1+$B$24)^(1/2)-1</f>
        <v>2.2877803063493962E-2</v>
      </c>
      <c r="D2">
        <v>1.0662917648051684</v>
      </c>
      <c r="E2">
        <f>$B$23*D2</f>
        <v>1066.2917648051684</v>
      </c>
      <c r="F2">
        <f>C2*E2</f>
        <v>24.394413003438068</v>
      </c>
      <c r="G2">
        <f>A2*F2</f>
        <v>24.394413003438068</v>
      </c>
      <c r="H2">
        <f>(1+$B$27)^(-A2)</f>
        <v>0.94522056452485337</v>
      </c>
      <c r="I2">
        <f>G2*H2</f>
        <v>23.058100830362154</v>
      </c>
    </row>
    <row r="3" spans="1:9">
      <c r="A3">
        <v>2</v>
      </c>
      <c r="B3" s="1">
        <v>44727</v>
      </c>
      <c r="C3">
        <f t="shared" ref="C3:C21" si="0">(1+$B$24)^(1/2)-1</f>
        <v>2.2877803063493962E-2</v>
      </c>
      <c r="D3">
        <v>1.1247972928456398</v>
      </c>
      <c r="E3">
        <f t="shared" ref="E3:E21" si="1">$B$23*D3</f>
        <v>1124.7972928456397</v>
      </c>
      <c r="F3">
        <f t="shared" ref="F3:F21" si="2">C3*E3</f>
        <v>25.732890952073692</v>
      </c>
      <c r="G3">
        <f t="shared" ref="G3:G21" si="3">A3*F3</f>
        <v>51.465781904147384</v>
      </c>
      <c r="H3">
        <f t="shared" ref="H3:H21" si="4">(1+$B$27)^(-A3)</f>
        <v>0.89344191560068242</v>
      </c>
      <c r="I3">
        <f t="shared" ref="I3:I21" si="5">G3*H3</f>
        <v>45.981686772328374</v>
      </c>
    </row>
    <row r="4" spans="1:9">
      <c r="A4">
        <v>3</v>
      </c>
      <c r="B4" s="1">
        <v>44910</v>
      </c>
      <c r="C4">
        <f t="shared" si="0"/>
        <v>2.2877803063493962E-2</v>
      </c>
      <c r="D4">
        <v>1.1460557846539452</v>
      </c>
      <c r="E4">
        <f t="shared" si="1"/>
        <v>1146.0557846539452</v>
      </c>
      <c r="F4">
        <f t="shared" si="2"/>
        <v>26.219238541091006</v>
      </c>
      <c r="G4">
        <f t="shared" si="3"/>
        <v>78.65771562327302</v>
      </c>
      <c r="H4">
        <f t="shared" si="4"/>
        <v>0.84449967183424346</v>
      </c>
      <c r="I4">
        <f t="shared" si="5"/>
        <v>66.426415031085313</v>
      </c>
    </row>
    <row r="5" spans="1:9">
      <c r="A5">
        <v>4</v>
      </c>
      <c r="B5" s="1">
        <v>45092</v>
      </c>
      <c r="C5">
        <f t="shared" si="0"/>
        <v>2.2877803063493962E-2</v>
      </c>
      <c r="D5">
        <v>1.1978941350471015</v>
      </c>
      <c r="E5">
        <f t="shared" si="1"/>
        <v>1197.8941350471016</v>
      </c>
      <c r="F5">
        <f t="shared" si="2"/>
        <v>27.405186112522031</v>
      </c>
      <c r="G5">
        <f t="shared" si="3"/>
        <v>109.62074445008813</v>
      </c>
      <c r="H5">
        <f t="shared" si="4"/>
        <v>0.79823845655221681</v>
      </c>
      <c r="I5">
        <f t="shared" si="5"/>
        <v>87.503493855943333</v>
      </c>
    </row>
    <row r="6" spans="1:9">
      <c r="A6">
        <v>5</v>
      </c>
      <c r="B6" s="1">
        <v>45275</v>
      </c>
      <c r="C6">
        <f t="shared" si="0"/>
        <v>2.2877803063493962E-2</v>
      </c>
      <c r="D6">
        <v>1.2316977582090953</v>
      </c>
      <c r="E6">
        <f t="shared" si="1"/>
        <v>1231.6977582090954</v>
      </c>
      <c r="F6">
        <f t="shared" si="2"/>
        <v>28.178538746054688</v>
      </c>
      <c r="G6">
        <f t="shared" si="3"/>
        <v>140.89269373027344</v>
      </c>
      <c r="H6">
        <f t="shared" si="4"/>
        <v>0.75451140452773402</v>
      </c>
      <c r="I6">
        <f t="shared" si="5"/>
        <v>106.30514423412447</v>
      </c>
    </row>
    <row r="7" spans="1:9">
      <c r="A7">
        <v>6</v>
      </c>
      <c r="B7" s="1">
        <v>45458</v>
      </c>
      <c r="C7">
        <f t="shared" si="0"/>
        <v>2.2877803063493962E-2</v>
      </c>
      <c r="D7">
        <v>1.2726543944207185</v>
      </c>
      <c r="E7">
        <f t="shared" si="1"/>
        <v>1272.6543944207185</v>
      </c>
      <c r="F7">
        <f t="shared" si="2"/>
        <v>29.115536603447367</v>
      </c>
      <c r="G7">
        <f t="shared" si="3"/>
        <v>174.6932196206842</v>
      </c>
      <c r="H7">
        <f t="shared" si="4"/>
        <v>0.71317969572814466</v>
      </c>
      <c r="I7">
        <f t="shared" si="5"/>
        <v>124.58765721484951</v>
      </c>
    </row>
    <row r="8" spans="1:9">
      <c r="A8">
        <v>7</v>
      </c>
      <c r="B8" s="1">
        <v>45641</v>
      </c>
      <c r="C8">
        <f t="shared" si="0"/>
        <v>2.2877803063493962E-2</v>
      </c>
      <c r="D8">
        <v>1.306695785993234</v>
      </c>
      <c r="E8">
        <f t="shared" si="1"/>
        <v>1306.695785993234</v>
      </c>
      <c r="F8">
        <f t="shared" si="2"/>
        <v>29.894328855850659</v>
      </c>
      <c r="G8">
        <f t="shared" si="3"/>
        <v>209.26030199095462</v>
      </c>
      <c r="H8">
        <f t="shared" si="4"/>
        <v>0.67411211460382015</v>
      </c>
      <c r="I8">
        <f t="shared" si="5"/>
        <v>141.0649046777564</v>
      </c>
    </row>
    <row r="9" spans="1:9">
      <c r="A9">
        <v>8</v>
      </c>
      <c r="B9" s="1">
        <v>45823</v>
      </c>
      <c r="C9">
        <f t="shared" si="0"/>
        <v>2.2877803063493962E-2</v>
      </c>
      <c r="D9">
        <v>1.3488236720565172</v>
      </c>
      <c r="E9">
        <f t="shared" si="1"/>
        <v>1348.8236720565171</v>
      </c>
      <c r="F9">
        <f t="shared" si="2"/>
        <v>30.858122336687764</v>
      </c>
      <c r="G9">
        <f t="shared" si="3"/>
        <v>246.86497869350211</v>
      </c>
      <c r="H9">
        <f t="shared" si="4"/>
        <v>0.63718463351886534</v>
      </c>
      <c r="I9">
        <f t="shared" si="5"/>
        <v>157.29857097746165</v>
      </c>
    </row>
    <row r="10" spans="1:9">
      <c r="A10">
        <v>9</v>
      </c>
      <c r="B10" s="1">
        <v>46006</v>
      </c>
      <c r="C10">
        <f t="shared" si="0"/>
        <v>2.2877803063493962E-2</v>
      </c>
      <c r="D10">
        <v>1.3845972461717659</v>
      </c>
      <c r="E10">
        <f t="shared" si="1"/>
        <v>1384.5972461717658</v>
      </c>
      <c r="F10">
        <f t="shared" si="2"/>
        <v>31.676543120173729</v>
      </c>
      <c r="G10">
        <f t="shared" si="3"/>
        <v>285.08888808156354</v>
      </c>
      <c r="H10">
        <f t="shared" si="4"/>
        <v>0.60228001900126371</v>
      </c>
      <c r="I10">
        <f t="shared" si="5"/>
        <v>171.70334093081323</v>
      </c>
    </row>
    <row r="11" spans="1:9">
      <c r="A11">
        <v>10</v>
      </c>
      <c r="B11" s="1">
        <v>46188</v>
      </c>
      <c r="C11">
        <f t="shared" si="0"/>
        <v>2.2877803063493962E-2</v>
      </c>
      <c r="D11">
        <v>1.4291900064864909</v>
      </c>
      <c r="E11">
        <f t="shared" si="1"/>
        <v>1429.1900064864908</v>
      </c>
      <c r="F11">
        <f t="shared" si="2"/>
        <v>32.696727508711596</v>
      </c>
      <c r="G11">
        <f t="shared" si="3"/>
        <v>326.96727508711598</v>
      </c>
      <c r="H11">
        <f t="shared" si="4"/>
        <v>0.56928745956241378</v>
      </c>
      <c r="I11">
        <f t="shared" si="5"/>
        <v>186.13836939438917</v>
      </c>
    </row>
    <row r="12" spans="1:9">
      <c r="A12">
        <v>11</v>
      </c>
      <c r="B12" s="1">
        <v>46371</v>
      </c>
      <c r="C12">
        <f t="shared" si="0"/>
        <v>2.2877803063493962E-2</v>
      </c>
      <c r="D12">
        <v>1.4672481771748824</v>
      </c>
      <c r="E12">
        <f t="shared" si="1"/>
        <v>1467.2481771748824</v>
      </c>
      <c r="F12">
        <f t="shared" si="2"/>
        <v>33.567414842677458</v>
      </c>
      <c r="G12">
        <f t="shared" si="3"/>
        <v>369.24156326945206</v>
      </c>
      <c r="H12">
        <f t="shared" si="4"/>
        <v>0.53810221390450441</v>
      </c>
      <c r="I12">
        <f t="shared" si="5"/>
        <v>198.6897026608523</v>
      </c>
    </row>
    <row r="13" spans="1:9">
      <c r="A13">
        <v>12</v>
      </c>
      <c r="B13" s="1">
        <v>46553</v>
      </c>
      <c r="C13">
        <f t="shared" si="0"/>
        <v>2.2877803063493962E-2</v>
      </c>
      <c r="D13">
        <v>1.5147740158169085</v>
      </c>
      <c r="E13">
        <f t="shared" si="1"/>
        <v>1514.7740158169086</v>
      </c>
      <c r="F13">
        <f t="shared" si="2"/>
        <v>34.654701619557123</v>
      </c>
      <c r="G13">
        <f t="shared" si="3"/>
        <v>415.85641943468545</v>
      </c>
      <c r="H13">
        <f t="shared" si="4"/>
        <v>0.50862527839888894</v>
      </c>
      <c r="I13">
        <f t="shared" si="5"/>
        <v>211.51508710893202</v>
      </c>
    </row>
    <row r="14" spans="1:9">
      <c r="A14">
        <v>13</v>
      </c>
      <c r="B14" s="1">
        <v>46736</v>
      </c>
      <c r="C14">
        <f t="shared" si="0"/>
        <v>2.2877803063493962E-2</v>
      </c>
      <c r="D14">
        <v>1.5553559753908464</v>
      </c>
      <c r="E14">
        <f t="shared" si="1"/>
        <v>1555.3559753908464</v>
      </c>
      <c r="F14">
        <f t="shared" si="2"/>
        <v>35.583127698620345</v>
      </c>
      <c r="G14">
        <f t="shared" si="3"/>
        <v>462.58066008206447</v>
      </c>
      <c r="H14">
        <f t="shared" si="4"/>
        <v>0.48076307277980851</v>
      </c>
      <c r="I14">
        <f t="shared" si="5"/>
        <v>222.39169954956543</v>
      </c>
    </row>
    <row r="15" spans="1:9">
      <c r="A15">
        <v>14</v>
      </c>
      <c r="B15" s="1">
        <v>46919</v>
      </c>
      <c r="C15">
        <f t="shared" si="0"/>
        <v>2.2877803063493962E-2</v>
      </c>
      <c r="D15">
        <v>1.6060485967409999</v>
      </c>
      <c r="E15">
        <f t="shared" si="1"/>
        <v>1606.0485967409998</v>
      </c>
      <c r="F15">
        <f t="shared" si="2"/>
        <v>36.74286350664142</v>
      </c>
      <c r="G15">
        <f t="shared" si="3"/>
        <v>514.4000890929799</v>
      </c>
      <c r="H15">
        <f t="shared" si="4"/>
        <v>0.45442714305563375</v>
      </c>
      <c r="I15">
        <f t="shared" si="5"/>
        <v>233.75736287408631</v>
      </c>
    </row>
    <row r="16" spans="1:9">
      <c r="A16">
        <v>15</v>
      </c>
      <c r="B16" s="1">
        <v>47102</v>
      </c>
      <c r="C16">
        <f t="shared" si="0"/>
        <v>2.2877803063493962E-2</v>
      </c>
      <c r="D16">
        <v>1.6493134498208175</v>
      </c>
      <c r="E16">
        <f t="shared" si="1"/>
        <v>1649.3134498208176</v>
      </c>
      <c r="F16">
        <f t="shared" si="2"/>
        <v>37.732668294972498</v>
      </c>
      <c r="G16">
        <f t="shared" si="3"/>
        <v>565.99002442458743</v>
      </c>
      <c r="H16">
        <f t="shared" si="4"/>
        <v>0.42953388069446247</v>
      </c>
      <c r="I16">
        <f t="shared" si="5"/>
        <v>243.11189162544665</v>
      </c>
    </row>
    <row r="17" spans="1:15">
      <c r="A17">
        <v>16</v>
      </c>
      <c r="B17" s="1">
        <v>47284</v>
      </c>
      <c r="C17">
        <f t="shared" si="0"/>
        <v>2.2877803063493962E-2</v>
      </c>
      <c r="D17">
        <v>1.7033547644618299</v>
      </c>
      <c r="E17">
        <f t="shared" si="1"/>
        <v>1703.35476446183</v>
      </c>
      <c r="F17">
        <f t="shared" si="2"/>
        <v>38.969014848621889</v>
      </c>
      <c r="G17">
        <f t="shared" si="3"/>
        <v>623.50423757795022</v>
      </c>
      <c r="H17">
        <f t="shared" si="4"/>
        <v>0.40600425719257077</v>
      </c>
      <c r="I17">
        <f t="shared" si="5"/>
        <v>253.14537483425585</v>
      </c>
    </row>
    <row r="18" spans="1:15">
      <c r="A18">
        <v>17</v>
      </c>
      <c r="B18" s="1">
        <v>47467</v>
      </c>
      <c r="C18">
        <f t="shared" si="0"/>
        <v>2.2877803063493962E-2</v>
      </c>
      <c r="D18">
        <v>1.7494479705171664</v>
      </c>
      <c r="E18">
        <f t="shared" si="1"/>
        <v>1749.4479705171664</v>
      </c>
      <c r="F18">
        <f t="shared" si="2"/>
        <v>40.023526139320921</v>
      </c>
      <c r="G18">
        <f t="shared" si="3"/>
        <v>680.39994436845564</v>
      </c>
      <c r="H18">
        <f t="shared" si="4"/>
        <v>0.38376357318305548</v>
      </c>
      <c r="I18">
        <f t="shared" si="5"/>
        <v>261.11271384439073</v>
      </c>
    </row>
    <row r="19" spans="1:15">
      <c r="A19">
        <v>18</v>
      </c>
      <c r="B19" s="1">
        <v>47649</v>
      </c>
      <c r="C19">
        <f t="shared" si="0"/>
        <v>2.2877803063493962E-2</v>
      </c>
      <c r="D19">
        <v>1.8070151209859342</v>
      </c>
      <c r="E19">
        <f t="shared" si="1"/>
        <v>1807.0151209859341</v>
      </c>
      <c r="F19">
        <f t="shared" si="2"/>
        <v>41.340536070671916</v>
      </c>
      <c r="G19">
        <f t="shared" si="3"/>
        <v>744.12964927209453</v>
      </c>
      <c r="H19">
        <f t="shared" si="4"/>
        <v>0.36274122128816255</v>
      </c>
      <c r="I19">
        <f t="shared" si="5"/>
        <v>269.92649777369161</v>
      </c>
    </row>
    <row r="20" spans="1:15">
      <c r="A20">
        <v>19</v>
      </c>
      <c r="B20" s="1">
        <v>47832</v>
      </c>
      <c r="C20">
        <f t="shared" si="0"/>
        <v>2.2877803063493962E-2</v>
      </c>
      <c r="D20">
        <v>1.8560925142477656</v>
      </c>
      <c r="E20">
        <f t="shared" si="1"/>
        <v>1856.0925142477656</v>
      </c>
      <c r="F20">
        <f t="shared" si="2"/>
        <v>42.463319008585742</v>
      </c>
      <c r="G20">
        <f t="shared" si="3"/>
        <v>806.80306116312909</v>
      </c>
      <c r="H20">
        <f t="shared" si="4"/>
        <v>0.34287046196243182</v>
      </c>
      <c r="I20">
        <f t="shared" si="5"/>
        <v>276.6289382937062</v>
      </c>
    </row>
    <row r="21" spans="1:15">
      <c r="A21">
        <v>20</v>
      </c>
      <c r="B21" s="1">
        <v>48014</v>
      </c>
      <c r="C21">
        <f t="shared" si="0"/>
        <v>2.2877803063493962E-2</v>
      </c>
      <c r="D21">
        <v>1.9341274836773625</v>
      </c>
      <c r="E21">
        <f t="shared" si="1"/>
        <v>1934.1274836773625</v>
      </c>
      <c r="F21">
        <f t="shared" si="2"/>
        <v>44.248587671261831</v>
      </c>
      <c r="G21">
        <f t="shared" si="3"/>
        <v>884.97175342523656</v>
      </c>
      <c r="H21">
        <f t="shared" si="4"/>
        <v>0.32408821161502699</v>
      </c>
      <c r="I21">
        <f t="shared" si="5"/>
        <v>286.80891289739952</v>
      </c>
    </row>
    <row r="22" spans="1:15">
      <c r="H22" t="s">
        <v>4</v>
      </c>
      <c r="I22">
        <f>SUM(I2:I21)</f>
        <v>3567.15586538144</v>
      </c>
    </row>
    <row r="23" spans="1:15">
      <c r="A23" t="s">
        <v>98</v>
      </c>
      <c r="B23" s="8">
        <v>1000</v>
      </c>
      <c r="H23" t="s">
        <v>5</v>
      </c>
      <c r="I23">
        <f>(A21*B25)*H21</f>
        <v>12536.558344409374</v>
      </c>
    </row>
    <row r="24" spans="1:15">
      <c r="A24" t="s">
        <v>79</v>
      </c>
      <c r="B24" s="13">
        <v>4.6279000000000001E-2</v>
      </c>
      <c r="H24" t="s">
        <v>6</v>
      </c>
      <c r="I24">
        <f>SUM(I22:I23)</f>
        <v>16103.714209790814</v>
      </c>
    </row>
    <row r="25" spans="1:15">
      <c r="A25" t="s">
        <v>111</v>
      </c>
      <c r="B25">
        <f>B23*D21</f>
        <v>1934.1274836773625</v>
      </c>
      <c r="H25" t="s">
        <v>89</v>
      </c>
      <c r="I25">
        <f>(I24/B26)/2</f>
        <v>8.0811022178477891</v>
      </c>
    </row>
    <row r="26" spans="1:15">
      <c r="A26" t="s">
        <v>90</v>
      </c>
      <c r="B26">
        <v>996.38104899999996</v>
      </c>
      <c r="H26" t="s">
        <v>18</v>
      </c>
      <c r="I26">
        <f>I25/(1+B27)</f>
        <v>7.6384240003371318</v>
      </c>
    </row>
    <row r="27" spans="1:15">
      <c r="A27" t="s">
        <v>101</v>
      </c>
      <c r="B27">
        <v>5.795413E-2</v>
      </c>
    </row>
    <row r="28" spans="1:15">
      <c r="A28" t="s">
        <v>119</v>
      </c>
      <c r="B28">
        <f>F3/B26</f>
        <v>2.5826355266290991E-2</v>
      </c>
    </row>
    <row r="29" spans="1:15" ht="18">
      <c r="O29" s="7"/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8438D-6A80-4489-8C72-1C2FE71DE25D}">
  <dimension ref="A1:L23"/>
  <sheetViews>
    <sheetView topLeftCell="A12" workbookViewId="0">
      <selection activeCell="B22" sqref="B22"/>
    </sheetView>
  </sheetViews>
  <sheetFormatPr defaultRowHeight="15"/>
  <cols>
    <col min="2" max="2" width="10.85546875" customWidth="1"/>
    <col min="4" max="4" width="10.7109375" bestFit="1" customWidth="1"/>
    <col min="6" max="6" width="10.5703125" bestFit="1" customWidth="1"/>
  </cols>
  <sheetData>
    <row r="1" spans="1:10">
      <c r="A1" t="s">
        <v>96</v>
      </c>
      <c r="B1" t="s">
        <v>0</v>
      </c>
      <c r="C1" t="s">
        <v>121</v>
      </c>
      <c r="D1" t="s">
        <v>141</v>
      </c>
      <c r="E1" t="s">
        <v>116</v>
      </c>
      <c r="F1" t="s">
        <v>142</v>
      </c>
      <c r="G1" t="s">
        <v>107</v>
      </c>
      <c r="H1" t="s">
        <v>12</v>
      </c>
      <c r="I1" t="s">
        <v>3</v>
      </c>
      <c r="J1" t="s">
        <v>102</v>
      </c>
    </row>
    <row r="2" spans="1:10">
      <c r="A2">
        <v>0</v>
      </c>
      <c r="B2" s="1">
        <v>44336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</v>
      </c>
      <c r="B3" s="1">
        <v>44515</v>
      </c>
      <c r="C3">
        <v>7.6499999999999999E-2</v>
      </c>
      <c r="D3" s="15">
        <f>(1+C3)^(NETWORKDAYS.INTL(B2,B3)/252)-1</f>
        <v>3.8152362749048985E-2</v>
      </c>
      <c r="E3">
        <f>1.7/100</f>
        <v>1.7000000000000001E-2</v>
      </c>
      <c r="F3" s="15">
        <f>D3+E3</f>
        <v>5.5152362749048986E-2</v>
      </c>
      <c r="G3">
        <f>$B$18*F3</f>
        <v>55.152362749048983</v>
      </c>
      <c r="H3">
        <f>A3*G3</f>
        <v>55.152362749048983</v>
      </c>
      <c r="I3">
        <f>(1+$B$20)^(-A3)</f>
        <v>0.93690419627116062</v>
      </c>
      <c r="J3">
        <f>H3*I3</f>
        <v>51.672480093853238</v>
      </c>
    </row>
    <row r="4" spans="1:10">
      <c r="A4">
        <v>2</v>
      </c>
      <c r="B4" s="1">
        <v>44696</v>
      </c>
      <c r="C4">
        <v>0.1265</v>
      </c>
      <c r="D4" s="15">
        <f t="shared" ref="D4:D16" si="0">(1+C4)^(NETWORKDAYS.INTL(B3,B4)/252)-1</f>
        <v>6.3375691247208543E-2</v>
      </c>
      <c r="E4">
        <f t="shared" ref="E4:E16" si="1">1.7/100</f>
        <v>1.7000000000000001E-2</v>
      </c>
      <c r="F4" s="15">
        <f t="shared" ref="F4:F16" si="2">D4+E4</f>
        <v>8.0375691247208544E-2</v>
      </c>
      <c r="G4">
        <f t="shared" ref="G4:G16" si="3">$B$18*F4</f>
        <v>80.37569124720855</v>
      </c>
      <c r="H4">
        <f t="shared" ref="H4:H16" si="4">A4*G4</f>
        <v>160.7513824944171</v>
      </c>
      <c r="I4">
        <f t="shared" ref="I4:I16" si="5">(1+$B$20)^(-A4)</f>
        <v>0.87778947299050947</v>
      </c>
      <c r="J4">
        <f t="shared" ref="J4:J16" si="6">H4*I4</f>
        <v>141.10587132227019</v>
      </c>
    </row>
    <row r="5" spans="1:10">
      <c r="A5">
        <v>3</v>
      </c>
      <c r="B5" s="1">
        <v>44880</v>
      </c>
      <c r="C5">
        <v>0.13650000000000001</v>
      </c>
      <c r="D5" s="15">
        <f t="shared" si="0"/>
        <v>6.9320276311037654E-2</v>
      </c>
      <c r="E5">
        <f t="shared" si="1"/>
        <v>1.7000000000000001E-2</v>
      </c>
      <c r="F5" s="15">
        <f t="shared" si="2"/>
        <v>8.6320276311037655E-2</v>
      </c>
      <c r="G5">
        <f t="shared" si="3"/>
        <v>86.320276311037659</v>
      </c>
      <c r="H5">
        <f t="shared" si="4"/>
        <v>258.96082893311296</v>
      </c>
      <c r="I5">
        <f t="shared" si="5"/>
        <v>0.82240464068745889</v>
      </c>
      <c r="J5">
        <f t="shared" si="6"/>
        <v>212.97058747086328</v>
      </c>
    </row>
    <row r="6" spans="1:10">
      <c r="A6">
        <v>4</v>
      </c>
      <c r="B6" s="1">
        <v>45061</v>
      </c>
      <c r="C6">
        <v>0.13694999999999999</v>
      </c>
      <c r="D6" s="15">
        <f t="shared" si="0"/>
        <v>6.8453107700698235E-2</v>
      </c>
      <c r="E6">
        <f t="shared" si="1"/>
        <v>1.7000000000000001E-2</v>
      </c>
      <c r="F6" s="15">
        <f t="shared" si="2"/>
        <v>8.5453107700698236E-2</v>
      </c>
      <c r="G6">
        <f t="shared" si="3"/>
        <v>85.45310770069824</v>
      </c>
      <c r="H6">
        <f t="shared" si="4"/>
        <v>341.81243080279296</v>
      </c>
      <c r="I6">
        <f t="shared" si="5"/>
        <v>0.77051435889295627</v>
      </c>
      <c r="J6">
        <f t="shared" si="6"/>
        <v>263.371385981657</v>
      </c>
    </row>
    <row r="7" spans="1:10">
      <c r="A7">
        <v>5</v>
      </c>
      <c r="B7" s="1">
        <v>45245</v>
      </c>
      <c r="C7">
        <v>0.13150999999999999</v>
      </c>
      <c r="D7" s="15">
        <f t="shared" si="0"/>
        <v>6.7381593339385093E-2</v>
      </c>
      <c r="E7">
        <f t="shared" si="1"/>
        <v>1.7000000000000001E-2</v>
      </c>
      <c r="F7" s="15">
        <f t="shared" si="2"/>
        <v>8.4381593339385094E-2</v>
      </c>
      <c r="G7">
        <f t="shared" si="3"/>
        <v>84.381593339385091</v>
      </c>
      <c r="H7">
        <f t="shared" si="4"/>
        <v>421.90796669692543</v>
      </c>
      <c r="I7">
        <f t="shared" si="5"/>
        <v>0.72189813613399378</v>
      </c>
      <c r="J7">
        <f t="shared" si="6"/>
        <v>304.57457477859361</v>
      </c>
    </row>
    <row r="8" spans="1:10">
      <c r="A8">
        <v>6</v>
      </c>
      <c r="B8" s="1">
        <v>45427</v>
      </c>
      <c r="C8">
        <v>0.12570000000000001</v>
      </c>
      <c r="D8" s="15">
        <f t="shared" si="0"/>
        <v>6.3485625154833025E-2</v>
      </c>
      <c r="E8">
        <f t="shared" si="1"/>
        <v>1.7000000000000001E-2</v>
      </c>
      <c r="F8" s="15">
        <f t="shared" si="2"/>
        <v>8.0485625154833026E-2</v>
      </c>
      <c r="G8">
        <f t="shared" si="3"/>
        <v>80.485625154833031</v>
      </c>
      <c r="H8">
        <f t="shared" si="4"/>
        <v>482.91375092899818</v>
      </c>
      <c r="I8">
        <f t="shared" si="5"/>
        <v>0.67634939302426833</v>
      </c>
      <c r="J8">
        <f t="shared" si="6"/>
        <v>326.61842232390063</v>
      </c>
    </row>
    <row r="9" spans="1:10">
      <c r="A9">
        <v>7</v>
      </c>
      <c r="B9" s="1">
        <v>45611</v>
      </c>
      <c r="C9">
        <v>0.11924999999999999</v>
      </c>
      <c r="D9" s="15">
        <f t="shared" si="0"/>
        <v>6.1262058034533773E-2</v>
      </c>
      <c r="E9">
        <f t="shared" si="1"/>
        <v>1.7000000000000001E-2</v>
      </c>
      <c r="F9" s="15">
        <f t="shared" si="2"/>
        <v>7.8262058034533774E-2</v>
      </c>
      <c r="G9">
        <f t="shared" si="3"/>
        <v>78.26205803453378</v>
      </c>
      <c r="H9">
        <f t="shared" si="4"/>
        <v>547.83440624173647</v>
      </c>
      <c r="I9">
        <f t="shared" si="5"/>
        <v>0.63367458446988945</v>
      </c>
      <c r="J9">
        <f t="shared" si="6"/>
        <v>347.14873973354099</v>
      </c>
    </row>
    <row r="10" spans="1:10">
      <c r="A10">
        <v>8</v>
      </c>
      <c r="B10" s="1">
        <v>45792</v>
      </c>
      <c r="C10">
        <v>0.11595</v>
      </c>
      <c r="D10" s="15">
        <f t="shared" si="0"/>
        <v>5.8226502516244949E-2</v>
      </c>
      <c r="E10">
        <f t="shared" si="1"/>
        <v>1.7000000000000001E-2</v>
      </c>
      <c r="F10" s="15">
        <f t="shared" si="2"/>
        <v>7.522650251624495E-2</v>
      </c>
      <c r="G10">
        <f t="shared" si="3"/>
        <v>75.226502516244949</v>
      </c>
      <c r="H10">
        <f t="shared" si="4"/>
        <v>601.81202012995959</v>
      </c>
      <c r="I10">
        <f t="shared" si="5"/>
        <v>0.5936923772602235</v>
      </c>
      <c r="J10">
        <f t="shared" si="6"/>
        <v>357.29120889473319</v>
      </c>
    </row>
    <row r="11" spans="1:10">
      <c r="A11">
        <v>9</v>
      </c>
      <c r="B11" s="1">
        <v>45976</v>
      </c>
      <c r="C11">
        <v>0.11544</v>
      </c>
      <c r="D11" s="15">
        <f t="shared" si="0"/>
        <v>5.8894710677173556E-2</v>
      </c>
      <c r="E11">
        <f t="shared" si="1"/>
        <v>1.7000000000000001E-2</v>
      </c>
      <c r="F11" s="15">
        <f t="shared" si="2"/>
        <v>7.5894710677173557E-2</v>
      </c>
      <c r="G11">
        <f t="shared" si="3"/>
        <v>75.894710677173563</v>
      </c>
      <c r="H11">
        <f t="shared" si="4"/>
        <v>683.05239609456203</v>
      </c>
      <c r="I11">
        <f t="shared" si="5"/>
        <v>0.55623287954930434</v>
      </c>
      <c r="J11">
        <f t="shared" si="6"/>
        <v>379.93620116273024</v>
      </c>
    </row>
    <row r="12" spans="1:10">
      <c r="A12">
        <v>10</v>
      </c>
      <c r="B12" s="1">
        <v>46157</v>
      </c>
      <c r="C12">
        <v>0.11496000000000001</v>
      </c>
      <c r="D12" s="15">
        <f t="shared" si="0"/>
        <v>5.7742101331899942E-2</v>
      </c>
      <c r="E12">
        <f t="shared" si="1"/>
        <v>1.7000000000000001E-2</v>
      </c>
      <c r="F12" s="15">
        <f t="shared" si="2"/>
        <v>7.4742101331899943E-2</v>
      </c>
      <c r="G12">
        <f t="shared" si="3"/>
        <v>74.742101331899946</v>
      </c>
      <c r="H12">
        <f t="shared" si="4"/>
        <v>747.42101331899948</v>
      </c>
      <c r="I12">
        <f t="shared" si="5"/>
        <v>0.52113691895373426</v>
      </c>
      <c r="J12">
        <f t="shared" si="6"/>
        <v>389.50868404234137</v>
      </c>
    </row>
    <row r="13" spans="1:10">
      <c r="A13">
        <v>11</v>
      </c>
      <c r="B13" s="1">
        <v>46341</v>
      </c>
      <c r="C13">
        <v>0.11491999999999999</v>
      </c>
      <c r="D13" s="15">
        <f t="shared" si="0"/>
        <v>5.8179218450219006E-2</v>
      </c>
      <c r="E13">
        <f t="shared" si="1"/>
        <v>1.7000000000000001E-2</v>
      </c>
      <c r="F13" s="15">
        <f t="shared" si="2"/>
        <v>7.5179218450219007E-2</v>
      </c>
      <c r="G13">
        <f t="shared" si="3"/>
        <v>75.179218450219011</v>
      </c>
      <c r="H13">
        <f t="shared" si="4"/>
        <v>826.97140295240911</v>
      </c>
      <c r="I13">
        <f t="shared" si="5"/>
        <v>0.48825536619957743</v>
      </c>
      <c r="J13">
        <f t="shared" si="6"/>
        <v>403.77322518510681</v>
      </c>
    </row>
    <row r="14" spans="1:10">
      <c r="A14">
        <v>12</v>
      </c>
      <c r="B14" s="1">
        <v>46522</v>
      </c>
      <c r="C14">
        <v>0.11484</v>
      </c>
      <c r="D14" s="15">
        <f t="shared" si="0"/>
        <v>5.768337188964523E-2</v>
      </c>
      <c r="E14">
        <f t="shared" si="1"/>
        <v>1.7000000000000001E-2</v>
      </c>
      <c r="F14" s="15">
        <f t="shared" si="2"/>
        <v>7.4683371889645231E-2</v>
      </c>
      <c r="G14">
        <f t="shared" si="3"/>
        <v>74.68337188964523</v>
      </c>
      <c r="H14">
        <f t="shared" si="4"/>
        <v>896.20046267574276</v>
      </c>
      <c r="I14">
        <f t="shared" si="5"/>
        <v>0.45744850144429627</v>
      </c>
      <c r="J14">
        <f t="shared" si="6"/>
        <v>409.96555864470349</v>
      </c>
    </row>
    <row r="15" spans="1:10">
      <c r="A15">
        <v>13</v>
      </c>
      <c r="B15" s="1">
        <v>46706</v>
      </c>
      <c r="C15">
        <v>0.11473</v>
      </c>
      <c r="D15" s="15">
        <f t="shared" si="0"/>
        <v>5.8085471392218979E-2</v>
      </c>
      <c r="E15">
        <f t="shared" si="1"/>
        <v>1.7000000000000001E-2</v>
      </c>
      <c r="F15" s="15">
        <f t="shared" si="2"/>
        <v>7.508547139221898E-2</v>
      </c>
      <c r="G15">
        <f t="shared" si="3"/>
        <v>75.085471392218977</v>
      </c>
      <c r="H15">
        <f t="shared" si="4"/>
        <v>976.11112809884673</v>
      </c>
      <c r="I15">
        <f t="shared" si="5"/>
        <v>0.42858542058111526</v>
      </c>
      <c r="J15">
        <f t="shared" si="6"/>
        <v>418.34699837015108</v>
      </c>
    </row>
    <row r="16" spans="1:10">
      <c r="A16">
        <v>14</v>
      </c>
      <c r="B16" s="1">
        <v>46888</v>
      </c>
      <c r="C16">
        <v>0.115</v>
      </c>
      <c r="D16" s="15">
        <f t="shared" si="0"/>
        <v>5.8218688600747637E-2</v>
      </c>
      <c r="E16">
        <f t="shared" si="1"/>
        <v>1.7000000000000001E-2</v>
      </c>
      <c r="F16" s="15">
        <f t="shared" si="2"/>
        <v>7.5218688600747638E-2</v>
      </c>
      <c r="G16">
        <f t="shared" si="3"/>
        <v>75.21868860074764</v>
      </c>
      <c r="H16">
        <f t="shared" si="4"/>
        <v>1053.0616404104669</v>
      </c>
      <c r="I16">
        <f t="shared" si="5"/>
        <v>0.40154347900308712</v>
      </c>
      <c r="J16">
        <f t="shared" si="6"/>
        <v>422.85003469511679</v>
      </c>
    </row>
    <row r="17" spans="1:12">
      <c r="I17" t="s">
        <v>4</v>
      </c>
      <c r="J17">
        <f>SUM(J3:J16)</f>
        <v>4429.133972699562</v>
      </c>
    </row>
    <row r="18" spans="1:12">
      <c r="A18" t="s">
        <v>98</v>
      </c>
      <c r="B18" s="8">
        <v>1000</v>
      </c>
      <c r="I18" t="s">
        <v>5</v>
      </c>
      <c r="J18">
        <f>(A16*B18)*I16</f>
        <v>5621.6087060432201</v>
      </c>
    </row>
    <row r="19" spans="1:12">
      <c r="A19" t="s">
        <v>90</v>
      </c>
      <c r="B19">
        <v>1084.853574</v>
      </c>
      <c r="I19" t="s">
        <v>6</v>
      </c>
      <c r="J19">
        <f>SUM(J17:J18)</f>
        <v>10050.742678742783</v>
      </c>
    </row>
    <row r="20" spans="1:12">
      <c r="A20" t="s">
        <v>101</v>
      </c>
      <c r="B20">
        <v>6.7344989999999993E-2</v>
      </c>
      <c r="I20" t="s">
        <v>89</v>
      </c>
      <c r="J20">
        <f>(J19/B19)/2</f>
        <v>4.6323038056114578</v>
      </c>
    </row>
    <row r="21" spans="1:12">
      <c r="A21" t="s">
        <v>119</v>
      </c>
      <c r="B21">
        <f>G4/B19</f>
        <v>7.4088976773937013E-2</v>
      </c>
      <c r="I21" t="s">
        <v>18</v>
      </c>
      <c r="J21">
        <f>J20/(1+B20)</f>
        <v>4.3400248738802416</v>
      </c>
    </row>
    <row r="22" spans="1:12">
      <c r="A22" t="s">
        <v>19</v>
      </c>
      <c r="B22" t="s">
        <v>109</v>
      </c>
    </row>
    <row r="23" spans="1:12">
      <c r="L23" s="6"/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75437-693A-4B84-B220-E6A283C3FCF8}">
  <dimension ref="A1:K35"/>
  <sheetViews>
    <sheetView topLeftCell="A19" workbookViewId="0">
      <selection activeCell="B35" sqref="B35"/>
    </sheetView>
  </sheetViews>
  <sheetFormatPr defaultRowHeight="15"/>
  <cols>
    <col min="2" max="2" width="10.7109375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44545</v>
      </c>
      <c r="C2">
        <f>(1+$B$31)^(1/2)-1</f>
        <v>2.386717888601142E-2</v>
      </c>
      <c r="D2">
        <v>1.0606702126779748</v>
      </c>
      <c r="E2">
        <f>$B$30*D2</f>
        <v>1060.6702126779749</v>
      </c>
      <c r="F2">
        <f>C2*E2</f>
        <v>25.315205705049003</v>
      </c>
      <c r="G2">
        <f>A2*F2</f>
        <v>25.315205705049003</v>
      </c>
      <c r="H2">
        <f>(1+$B$34)^(-A2)</f>
        <v>0.94641867695931048</v>
      </c>
      <c r="I2">
        <f>G2*H2</f>
        <v>23.958783490325267</v>
      </c>
    </row>
    <row r="3" spans="1:9">
      <c r="A3">
        <v>2</v>
      </c>
      <c r="B3" s="1">
        <v>44727</v>
      </c>
      <c r="C3">
        <f t="shared" ref="C3:C28" si="0">(1+$B$31)^(1/2)-1</f>
        <v>2.386717888601142E-2</v>
      </c>
      <c r="D3">
        <v>1.1188672961759074</v>
      </c>
      <c r="E3">
        <f t="shared" ref="E3:E28" si="1">$B$30*D3</f>
        <v>1118.8672961759073</v>
      </c>
      <c r="F3">
        <f t="shared" ref="F3:F28" si="2">C3*E3</f>
        <v>26.704205907538302</v>
      </c>
      <c r="G3">
        <f t="shared" ref="G3:G28" si="3">A3*F3</f>
        <v>53.408411815076605</v>
      </c>
      <c r="H3">
        <f t="shared" ref="H3:H28" si="4">(1+$B$34)^(-A3)</f>
        <v>0.89570831209741153</v>
      </c>
      <c r="I3">
        <f t="shared" ref="I3:I28" si="5">G3*H3</f>
        <v>47.838358398685713</v>
      </c>
    </row>
    <row r="4" spans="1:9">
      <c r="A4">
        <v>3</v>
      </c>
      <c r="B4" s="1">
        <v>44910</v>
      </c>
      <c r="C4">
        <f t="shared" si="0"/>
        <v>2.386717888601142E-2</v>
      </c>
      <c r="D4">
        <v>1.1400137119804488</v>
      </c>
      <c r="E4">
        <f t="shared" si="1"/>
        <v>1140.0137119804488</v>
      </c>
      <c r="F4">
        <f t="shared" si="2"/>
        <v>27.208911196343269</v>
      </c>
      <c r="G4">
        <f t="shared" si="3"/>
        <v>81.626733589029811</v>
      </c>
      <c r="H4">
        <f t="shared" si="4"/>
        <v>0.84771507567668947</v>
      </c>
      <c r="I4">
        <f t="shared" si="5"/>
        <v>69.196212641665383</v>
      </c>
    </row>
    <row r="5" spans="1:9">
      <c r="A5">
        <v>4</v>
      </c>
      <c r="B5" s="1">
        <v>45092</v>
      </c>
      <c r="C5">
        <f t="shared" si="0"/>
        <v>2.386717888601142E-2</v>
      </c>
      <c r="D5">
        <v>1.1915787675789329</v>
      </c>
      <c r="E5">
        <f t="shared" si="1"/>
        <v>1191.5787675789329</v>
      </c>
      <c r="F5">
        <f t="shared" si="2"/>
        <v>28.439623602579417</v>
      </c>
      <c r="G5">
        <f t="shared" si="3"/>
        <v>113.75849441031767</v>
      </c>
      <c r="H5">
        <f t="shared" si="4"/>
        <v>0.80229338036039399</v>
      </c>
      <c r="I5">
        <f t="shared" si="5"/>
        <v>91.267687025162743</v>
      </c>
    </row>
    <row r="6" spans="1:9">
      <c r="A6">
        <v>5</v>
      </c>
      <c r="B6" s="1">
        <v>45275</v>
      </c>
      <c r="C6">
        <f t="shared" si="0"/>
        <v>2.386717888601142E-2</v>
      </c>
      <c r="D6">
        <v>1.2252041760758927</v>
      </c>
      <c r="E6">
        <f t="shared" si="1"/>
        <v>1225.2041760758927</v>
      </c>
      <c r="F6">
        <f t="shared" si="2"/>
        <v>29.242167242291565</v>
      </c>
      <c r="G6">
        <f t="shared" si="3"/>
        <v>146.21083621145783</v>
      </c>
      <c r="H6">
        <f t="shared" si="4"/>
        <v>0.75930543957389685</v>
      </c>
      <c r="I6">
        <f t="shared" si="5"/>
        <v>111.01868326000802</v>
      </c>
    </row>
    <row r="7" spans="1:9">
      <c r="A7">
        <v>6</v>
      </c>
      <c r="B7" s="1">
        <v>45458</v>
      </c>
      <c r="C7">
        <f t="shared" si="0"/>
        <v>2.386717888601142E-2</v>
      </c>
      <c r="D7">
        <v>1.2659448865221505</v>
      </c>
      <c r="E7">
        <f t="shared" si="1"/>
        <v>1265.9448865221505</v>
      </c>
      <c r="F7">
        <f t="shared" si="2"/>
        <v>30.214533066455591</v>
      </c>
      <c r="G7">
        <f t="shared" si="3"/>
        <v>181.28719839873355</v>
      </c>
      <c r="H7">
        <f t="shared" si="4"/>
        <v>0.71862084952953498</v>
      </c>
      <c r="I7">
        <f t="shared" si="5"/>
        <v>130.27676052212726</v>
      </c>
    </row>
    <row r="8" spans="1:9">
      <c r="A8">
        <v>7</v>
      </c>
      <c r="B8" s="1">
        <v>45641</v>
      </c>
      <c r="C8">
        <f t="shared" si="0"/>
        <v>2.386717888601142E-2</v>
      </c>
      <c r="D8">
        <v>1.2998068099007596</v>
      </c>
      <c r="E8">
        <f t="shared" si="1"/>
        <v>1299.8068099007596</v>
      </c>
      <c r="F8">
        <f t="shared" si="2"/>
        <v>31.022721649157269</v>
      </c>
      <c r="G8">
        <f t="shared" si="3"/>
        <v>217.15905154410089</v>
      </c>
      <c r="H8">
        <f t="shared" si="4"/>
        <v>0.68011619364711839</v>
      </c>
      <c r="I8">
        <f t="shared" si="5"/>
        <v>147.69338755219229</v>
      </c>
    </row>
    <row r="9" spans="1:9">
      <c r="A9">
        <v>8</v>
      </c>
      <c r="B9" s="1">
        <v>45823</v>
      </c>
      <c r="C9">
        <f t="shared" si="0"/>
        <v>2.386717888601142E-2</v>
      </c>
      <c r="D9">
        <v>1.3417125953014191</v>
      </c>
      <c r="E9">
        <f t="shared" si="1"/>
        <v>1341.712595301419</v>
      </c>
      <c r="F9">
        <f t="shared" si="2"/>
        <v>32.022894525673614</v>
      </c>
      <c r="G9">
        <f t="shared" si="3"/>
        <v>256.18315620538891</v>
      </c>
      <c r="H9">
        <f t="shared" si="4"/>
        <v>0.64367466817010777</v>
      </c>
      <c r="I9">
        <f t="shared" si="5"/>
        <v>164.89860806127459</v>
      </c>
    </row>
    <row r="10" spans="1:9">
      <c r="A10">
        <v>9</v>
      </c>
      <c r="B10" s="1">
        <v>46006</v>
      </c>
      <c r="C10">
        <f t="shared" si="0"/>
        <v>2.386717888601142E-2</v>
      </c>
      <c r="D10">
        <v>1.3772975690557696</v>
      </c>
      <c r="E10">
        <f t="shared" si="1"/>
        <v>1377.2975690557696</v>
      </c>
      <c r="F10">
        <f t="shared" si="2"/>
        <v>32.87220745992272</v>
      </c>
      <c r="G10">
        <f t="shared" si="3"/>
        <v>295.84986713930448</v>
      </c>
      <c r="H10">
        <f t="shared" si="4"/>
        <v>0.6091857278417766</v>
      </c>
      <c r="I10">
        <f t="shared" si="5"/>
        <v>180.2275166451501</v>
      </c>
    </row>
    <row r="11" spans="1:9">
      <c r="A11">
        <v>10</v>
      </c>
      <c r="B11" s="1">
        <v>46188</v>
      </c>
      <c r="C11">
        <f t="shared" si="0"/>
        <v>2.386717888601142E-2</v>
      </c>
      <c r="D11">
        <v>1.4216552337476274</v>
      </c>
      <c r="E11">
        <f t="shared" si="1"/>
        <v>1421.6552337476273</v>
      </c>
      <c r="F11">
        <f t="shared" si="2"/>
        <v>33.930899778089</v>
      </c>
      <c r="G11">
        <f t="shared" si="3"/>
        <v>339.30899778088997</v>
      </c>
      <c r="H11">
        <f t="shared" si="4"/>
        <v>0.57654475056650867</v>
      </c>
      <c r="I11">
        <f t="shared" si="5"/>
        <v>195.62682149055524</v>
      </c>
    </row>
    <row r="12" spans="1:9">
      <c r="A12">
        <v>11</v>
      </c>
      <c r="B12" s="1">
        <v>46371</v>
      </c>
      <c r="C12">
        <f t="shared" si="0"/>
        <v>2.386717888601142E-2</v>
      </c>
      <c r="D12">
        <v>1.4595127595492701</v>
      </c>
      <c r="E12">
        <f t="shared" si="1"/>
        <v>1459.51275954927</v>
      </c>
      <c r="F12">
        <f t="shared" si="2"/>
        <v>34.834452118578596</v>
      </c>
      <c r="G12">
        <f t="shared" si="3"/>
        <v>383.17897330436455</v>
      </c>
      <c r="H12">
        <f t="shared" si="4"/>
        <v>0.54565272003899079</v>
      </c>
      <c r="I12">
        <f t="shared" si="5"/>
        <v>209.08264904527437</v>
      </c>
    </row>
    <row r="13" spans="1:9">
      <c r="A13">
        <v>12</v>
      </c>
      <c r="B13" s="1">
        <v>46553</v>
      </c>
      <c r="C13">
        <f t="shared" si="0"/>
        <v>2.386717888601142E-2</v>
      </c>
      <c r="D13">
        <v>1.5067880392090989</v>
      </c>
      <c r="E13">
        <f t="shared" si="1"/>
        <v>1506.7880392090988</v>
      </c>
      <c r="F13">
        <f t="shared" si="2"/>
        <v>35.962779675105949</v>
      </c>
      <c r="G13">
        <f t="shared" si="3"/>
        <v>431.55335610127139</v>
      </c>
      <c r="H13">
        <f t="shared" si="4"/>
        <v>0.51641592537855063</v>
      </c>
      <c r="I13">
        <f t="shared" si="5"/>
        <v>222.86102574125727</v>
      </c>
    </row>
    <row r="14" spans="1:9">
      <c r="A14">
        <v>13</v>
      </c>
      <c r="B14" s="1">
        <v>46736</v>
      </c>
      <c r="C14">
        <f t="shared" si="0"/>
        <v>2.386717888601142E-2</v>
      </c>
      <c r="D14">
        <v>1.5471560483346711</v>
      </c>
      <c r="E14">
        <f t="shared" si="1"/>
        <v>1547.1560483346711</v>
      </c>
      <c r="F14">
        <f t="shared" si="2"/>
        <v>36.926250170178129</v>
      </c>
      <c r="G14">
        <f t="shared" si="3"/>
        <v>480.04125221231567</v>
      </c>
      <c r="H14">
        <f t="shared" si="4"/>
        <v>0.48874567685748588</v>
      </c>
      <c r="I14">
        <f t="shared" si="5"/>
        <v>234.6180867320233</v>
      </c>
    </row>
    <row r="15" spans="1:9">
      <c r="A15">
        <v>14</v>
      </c>
      <c r="B15" s="1">
        <v>46919</v>
      </c>
      <c r="C15">
        <f t="shared" si="0"/>
        <v>2.386717888601142E-2</v>
      </c>
      <c r="D15">
        <v>1.597581415240225</v>
      </c>
      <c r="E15">
        <f t="shared" si="1"/>
        <v>1597.5814152402249</v>
      </c>
      <c r="F15">
        <f t="shared" si="2"/>
        <v>38.129761422505737</v>
      </c>
      <c r="G15">
        <f t="shared" si="3"/>
        <v>533.81665991508032</v>
      </c>
      <c r="H15">
        <f t="shared" si="4"/>
        <v>0.46255803686104441</v>
      </c>
      <c r="I15">
        <f t="shared" si="5"/>
        <v>246.92118625403933</v>
      </c>
    </row>
    <row r="16" spans="1:9">
      <c r="A16">
        <v>15</v>
      </c>
      <c r="B16" s="1">
        <v>47102</v>
      </c>
      <c r="C16">
        <f t="shared" si="0"/>
        <v>2.386717888601142E-2</v>
      </c>
      <c r="D16">
        <v>1.6406181735012595</v>
      </c>
      <c r="E16">
        <f t="shared" si="1"/>
        <v>1640.6181735012594</v>
      </c>
      <c r="F16">
        <f t="shared" si="2"/>
        <v>39.156927430595879</v>
      </c>
      <c r="G16">
        <f t="shared" si="3"/>
        <v>587.35391145893823</v>
      </c>
      <c r="H16">
        <f t="shared" si="4"/>
        <v>0.43777356526292566</v>
      </c>
      <c r="I16">
        <f t="shared" si="5"/>
        <v>257.12801589050417</v>
      </c>
    </row>
    <row r="17" spans="1:9">
      <c r="A17">
        <v>16</v>
      </c>
      <c r="B17" s="1">
        <v>47284</v>
      </c>
      <c r="C17">
        <f t="shared" si="0"/>
        <v>2.386717888601142E-2</v>
      </c>
      <c r="D17">
        <v>1.6943745791921105</v>
      </c>
      <c r="E17">
        <f t="shared" si="1"/>
        <v>1694.3745791921106</v>
      </c>
      <c r="F17">
        <f t="shared" si="2"/>
        <v>40.439941181488429</v>
      </c>
      <c r="G17">
        <f t="shared" si="3"/>
        <v>647.03905890381486</v>
      </c>
      <c r="H17">
        <f t="shared" si="4"/>
        <v>0.41431707844389826</v>
      </c>
      <c r="I17">
        <f t="shared" si="5"/>
        <v>268.07933252411794</v>
      </c>
    </row>
    <row r="18" spans="1:9">
      <c r="A18">
        <v>17</v>
      </c>
      <c r="B18" s="1">
        <v>47467</v>
      </c>
      <c r="C18">
        <f t="shared" si="0"/>
        <v>2.386717888601142E-2</v>
      </c>
      <c r="D18">
        <v>1.7402247791874716</v>
      </c>
      <c r="E18">
        <f t="shared" si="1"/>
        <v>1740.2247791874715</v>
      </c>
      <c r="F18">
        <f t="shared" si="2"/>
        <v>41.534256106737104</v>
      </c>
      <c r="G18">
        <f t="shared" si="3"/>
        <v>706.08235381453073</v>
      </c>
      <c r="H18">
        <f t="shared" si="4"/>
        <v>0.39211742122252108</v>
      </c>
      <c r="I18">
        <f t="shared" si="5"/>
        <v>276.8671917484815</v>
      </c>
    </row>
    <row r="19" spans="1:9">
      <c r="A19">
        <v>18</v>
      </c>
      <c r="B19" s="1">
        <v>47649</v>
      </c>
      <c r="C19">
        <f t="shared" si="0"/>
        <v>2.386717888601142E-2</v>
      </c>
      <c r="D19">
        <v>1.7974884322947706</v>
      </c>
      <c r="E19">
        <f t="shared" si="1"/>
        <v>1797.4884322947705</v>
      </c>
      <c r="F19">
        <f t="shared" si="2"/>
        <v>42.900977959115515</v>
      </c>
      <c r="G19">
        <f t="shared" si="3"/>
        <v>772.21760326407923</v>
      </c>
      <c r="H19">
        <f t="shared" si="4"/>
        <v>0.37110725100611497</v>
      </c>
      <c r="I19">
        <f t="shared" si="5"/>
        <v>286.57555192586318</v>
      </c>
    </row>
    <row r="20" spans="1:9">
      <c r="A20">
        <v>19</v>
      </c>
      <c r="B20" s="1">
        <v>47832</v>
      </c>
      <c r="C20">
        <f t="shared" si="0"/>
        <v>2.386717888601142E-2</v>
      </c>
      <c r="D20">
        <v>1.8463070866883162</v>
      </c>
      <c r="E20">
        <f t="shared" si="1"/>
        <v>1846.3070866883163</v>
      </c>
      <c r="F20">
        <f t="shared" si="2"/>
        <v>44.066141516500636</v>
      </c>
      <c r="G20">
        <f t="shared" si="3"/>
        <v>837.25668881351203</v>
      </c>
      <c r="H20">
        <f t="shared" si="4"/>
        <v>0.35122283350721406</v>
      </c>
      <c r="I20">
        <f t="shared" si="5"/>
        <v>294.06366661794948</v>
      </c>
    </row>
    <row r="21" spans="1:9">
      <c r="A21">
        <v>20</v>
      </c>
      <c r="B21" s="1">
        <v>48014</v>
      </c>
      <c r="C21">
        <f t="shared" si="0"/>
        <v>2.386717888601142E-2</v>
      </c>
      <c r="D21">
        <v>1.9072731864824375</v>
      </c>
      <c r="E21">
        <f t="shared" si="1"/>
        <v>1907.2731864824375</v>
      </c>
      <c r="F21">
        <f t="shared" si="2"/>
        <v>45.521230326269354</v>
      </c>
      <c r="G21">
        <f t="shared" si="3"/>
        <v>910.42460652538705</v>
      </c>
      <c r="H21">
        <f t="shared" si="4"/>
        <v>0.33240384940579765</v>
      </c>
      <c r="I21">
        <f t="shared" si="5"/>
        <v>302.62864380279734</v>
      </c>
    </row>
    <row r="22" spans="1:9">
      <c r="A22">
        <v>21</v>
      </c>
      <c r="B22" s="1">
        <v>48197</v>
      </c>
      <c r="C22">
        <f t="shared" si="0"/>
        <v>2.386717888601142E-2</v>
      </c>
      <c r="D22">
        <v>1.9592331309585733</v>
      </c>
      <c r="E22">
        <f t="shared" si="1"/>
        <v>1959.2331309585734</v>
      </c>
      <c r="F22">
        <f t="shared" si="2"/>
        <v>46.761367615988512</v>
      </c>
      <c r="G22">
        <f t="shared" si="3"/>
        <v>981.9887199357587</v>
      </c>
      <c r="H22">
        <f t="shared" si="4"/>
        <v>0.31459321137081692</v>
      </c>
      <c r="I22">
        <f t="shared" si="5"/>
        <v>308.92698493450808</v>
      </c>
    </row>
    <row r="23" spans="1:9">
      <c r="A23">
        <v>22</v>
      </c>
      <c r="B23" s="1">
        <v>48380</v>
      </c>
      <c r="C23">
        <f t="shared" si="0"/>
        <v>2.386717888601142E-2</v>
      </c>
      <c r="D23">
        <v>2.0241098395909396</v>
      </c>
      <c r="E23">
        <f t="shared" si="1"/>
        <v>2024.1098395909396</v>
      </c>
      <c r="F23">
        <f t="shared" si="2"/>
        <v>48.309791626452835</v>
      </c>
      <c r="G23">
        <f t="shared" si="3"/>
        <v>1062.8154157819624</v>
      </c>
      <c r="H23">
        <f t="shared" si="4"/>
        <v>0.29773689088594918</v>
      </c>
      <c r="I23">
        <f t="shared" si="5"/>
        <v>316.43935748057885</v>
      </c>
    </row>
    <row r="24" spans="1:9">
      <c r="A24">
        <v>23</v>
      </c>
      <c r="B24" s="1">
        <v>48563</v>
      </c>
      <c r="C24">
        <f t="shared" si="0"/>
        <v>2.386717888601142E-2</v>
      </c>
      <c r="D24">
        <v>2.0793843297293892</v>
      </c>
      <c r="E24">
        <f t="shared" si="1"/>
        <v>2079.3843297293893</v>
      </c>
      <c r="F24">
        <f t="shared" si="2"/>
        <v>49.62903777042029</v>
      </c>
      <c r="G24">
        <f t="shared" si="3"/>
        <v>1141.4678687196667</v>
      </c>
      <c r="H24">
        <f t="shared" si="4"/>
        <v>0.28178375435425868</v>
      </c>
      <c r="I24">
        <f t="shared" si="5"/>
        <v>321.64710152258175</v>
      </c>
    </row>
    <row r="25" spans="1:9">
      <c r="A25">
        <v>24</v>
      </c>
      <c r="B25" s="1">
        <v>48745</v>
      </c>
      <c r="C25">
        <f t="shared" si="0"/>
        <v>2.386717888601142E-2</v>
      </c>
      <c r="D25">
        <v>2.1483973059043104</v>
      </c>
      <c r="E25">
        <f t="shared" si="1"/>
        <v>2148.3973059043105</v>
      </c>
      <c r="F25">
        <f t="shared" si="2"/>
        <v>51.276182818243178</v>
      </c>
      <c r="G25">
        <f t="shared" si="3"/>
        <v>1230.6283876378363</v>
      </c>
      <c r="H25">
        <f t="shared" si="4"/>
        <v>0.26668540798458473</v>
      </c>
      <c r="I25">
        <f t="shared" si="5"/>
        <v>328.19063363460805</v>
      </c>
    </row>
    <row r="26" spans="1:9">
      <c r="A26">
        <v>25</v>
      </c>
      <c r="B26" s="1">
        <v>48928</v>
      </c>
      <c r="C26">
        <f t="shared" si="0"/>
        <v>2.386717888601142E-2</v>
      </c>
      <c r="D26">
        <v>2.2071828244131577</v>
      </c>
      <c r="E26">
        <f t="shared" si="1"/>
        <v>2207.1828244131575</v>
      </c>
      <c r="F26">
        <f t="shared" si="2"/>
        <v>52.679227304400762</v>
      </c>
      <c r="G26">
        <f t="shared" si="3"/>
        <v>1316.9806826100191</v>
      </c>
      <c r="H26">
        <f t="shared" si="4"/>
        <v>0.2523960509891246</v>
      </c>
      <c r="I26">
        <f t="shared" si="5"/>
        <v>332.40072351973049</v>
      </c>
    </row>
    <row r="27" spans="1:9">
      <c r="A27">
        <v>26</v>
      </c>
      <c r="B27" s="1">
        <v>49110</v>
      </c>
      <c r="C27">
        <f t="shared" si="0"/>
        <v>2.386717888601142E-2</v>
      </c>
      <c r="D27">
        <v>2.2805786005718911</v>
      </c>
      <c r="E27">
        <f t="shared" si="1"/>
        <v>2280.578600571891</v>
      </c>
      <c r="F27">
        <f t="shared" si="2"/>
        <v>54.430977423458906</v>
      </c>
      <c r="G27">
        <f t="shared" si="3"/>
        <v>1415.2054130099316</v>
      </c>
      <c r="H27">
        <f t="shared" si="4"/>
        <v>0.23887233664688193</v>
      </c>
      <c r="I27">
        <f t="shared" si="5"/>
        <v>338.05342384099794</v>
      </c>
    </row>
    <row r="28" spans="1:9">
      <c r="A28">
        <v>27</v>
      </c>
      <c r="B28" s="1">
        <v>49293</v>
      </c>
      <c r="C28">
        <f t="shared" si="0"/>
        <v>2.386717888601142E-2</v>
      </c>
      <c r="D28">
        <v>2.3430860441487886</v>
      </c>
      <c r="E28">
        <f t="shared" si="1"/>
        <v>2343.0860441487885</v>
      </c>
      <c r="F28">
        <f t="shared" si="2"/>
        <v>55.922853761015986</v>
      </c>
      <c r="G28">
        <f t="shared" si="3"/>
        <v>1509.9170515474316</v>
      </c>
      <c r="H28">
        <f t="shared" si="4"/>
        <v>0.22607324081152105</v>
      </c>
      <c r="I28">
        <f t="shared" si="5"/>
        <v>341.35184119990436</v>
      </c>
    </row>
    <row r="29" spans="1:9">
      <c r="H29" t="s">
        <v>4</v>
      </c>
      <c r="I29">
        <f>SUM(I2:I28)</f>
        <v>6047.8382355023641</v>
      </c>
    </row>
    <row r="30" spans="1:9">
      <c r="A30" t="s">
        <v>98</v>
      </c>
      <c r="B30" s="8">
        <v>1000</v>
      </c>
      <c r="H30" t="s">
        <v>5</v>
      </c>
      <c r="I30">
        <f>(A28*B32)*H28</f>
        <v>14302.14449852601</v>
      </c>
    </row>
    <row r="31" spans="1:9">
      <c r="A31" t="s">
        <v>79</v>
      </c>
      <c r="B31" s="13">
        <v>4.8304E-2</v>
      </c>
      <c r="H31" t="s">
        <v>6</v>
      </c>
      <c r="I31">
        <f>SUM(I29:I30)</f>
        <v>20349.982734028374</v>
      </c>
    </row>
    <row r="32" spans="1:9">
      <c r="A32" t="s">
        <v>111</v>
      </c>
      <c r="B32">
        <f>B30*D28</f>
        <v>2343.0860441487885</v>
      </c>
      <c r="H32" t="s">
        <v>89</v>
      </c>
      <c r="I32">
        <f>(I31/B33)/2</f>
        <v>10.032129024254738</v>
      </c>
    </row>
    <row r="33" spans="1:11">
      <c r="A33" t="s">
        <v>90</v>
      </c>
      <c r="B33">
        <v>1014.240481</v>
      </c>
      <c r="H33" t="s">
        <v>18</v>
      </c>
      <c r="I33">
        <f>I32/(1+B34)</f>
        <v>9.4945942782202675</v>
      </c>
    </row>
    <row r="34" spans="1:11">
      <c r="A34" t="s">
        <v>101</v>
      </c>
      <c r="B34">
        <v>5.6614820000000003E-2</v>
      </c>
    </row>
    <row r="35" spans="1:11">
      <c r="A35" t="s">
        <v>119</v>
      </c>
      <c r="B35">
        <f>F3/B33</f>
        <v>2.6329264516447851E-2</v>
      </c>
      <c r="K35" s="6"/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8EEC-AD04-4D9E-989D-EFAF7C41E3A2}">
  <dimension ref="A1:L26"/>
  <sheetViews>
    <sheetView topLeftCell="A3" workbookViewId="0">
      <selection activeCell="B22" sqref="B22"/>
    </sheetView>
  </sheetViews>
  <sheetFormatPr defaultRowHeight="15"/>
  <cols>
    <col min="2" max="2" width="10.85546875" customWidth="1"/>
    <col min="12" max="12" width="10" bestFit="1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44423</v>
      </c>
      <c r="C2">
        <f>(1+$B$18)^(1/2)-1</f>
        <v>2.1691734330859802E-2</v>
      </c>
      <c r="D2">
        <v>1.0451083464960123</v>
      </c>
      <c r="E2">
        <f>$B$17*D2</f>
        <v>1045.1083464960122</v>
      </c>
      <c r="F2">
        <f>C2*E2</f>
        <v>22.670212599155672</v>
      </c>
      <c r="G2">
        <f>A2*F2</f>
        <v>22.670212599155672</v>
      </c>
      <c r="H2">
        <f>(1+$B$21)^(-A2)</f>
        <v>0.9505288695103512</v>
      </c>
      <c r="I2">
        <f>G2*H2</f>
        <v>21.548691553434761</v>
      </c>
    </row>
    <row r="3" spans="1:9">
      <c r="A3">
        <v>2</v>
      </c>
      <c r="B3" s="1">
        <v>44607</v>
      </c>
      <c r="C3">
        <f t="shared" ref="C3:C15" si="0">(1+$B$18)^(1/2)-1</f>
        <v>2.1691734330859802E-2</v>
      </c>
      <c r="D3">
        <v>1.1054359340003879</v>
      </c>
      <c r="E3">
        <f t="shared" ref="E3:E15" si="1">$B$17*D3</f>
        <v>1105.4359340003878</v>
      </c>
      <c r="F3">
        <f t="shared" ref="F3:F15" si="2">C3*E3</f>
        <v>23.978822600122282</v>
      </c>
      <c r="G3">
        <f t="shared" ref="G3:G15" si="3">A3*F3</f>
        <v>47.957645200244563</v>
      </c>
      <c r="H3">
        <f t="shared" ref="H3:H15" si="4">(1+$B$21)^(-A3)</f>
        <v>0.90350513177262626</v>
      </c>
      <c r="I3">
        <f t="shared" ref="I3:I15" si="5">G3*H3</f>
        <v>43.329978546151821</v>
      </c>
    </row>
    <row r="4" spans="1:9">
      <c r="A4">
        <v>3</v>
      </c>
      <c r="B4" s="1">
        <v>44788</v>
      </c>
      <c r="C4">
        <f t="shared" si="0"/>
        <v>2.1691734330859802E-2</v>
      </c>
      <c r="D4">
        <v>1.1363155844466106</v>
      </c>
      <c r="E4">
        <f t="shared" si="1"/>
        <v>1136.3155844466107</v>
      </c>
      <c r="F4">
        <f t="shared" si="2"/>
        <v>24.648655773831567</v>
      </c>
      <c r="G4">
        <f t="shared" si="3"/>
        <v>73.945967321494706</v>
      </c>
      <c r="H4">
        <f t="shared" si="4"/>
        <v>0.8588077115006354</v>
      </c>
      <c r="I4">
        <f t="shared" si="5"/>
        <v>63.505366970073638</v>
      </c>
    </row>
    <row r="5" spans="1:9">
      <c r="A5">
        <v>4</v>
      </c>
      <c r="B5" s="1">
        <v>44972</v>
      </c>
      <c r="C5">
        <f t="shared" si="0"/>
        <v>2.1691734330859802E-2</v>
      </c>
      <c r="D5">
        <v>1.1876643099030999</v>
      </c>
      <c r="E5">
        <f t="shared" si="1"/>
        <v>1187.6643099030998</v>
      </c>
      <c r="F5">
        <f t="shared" si="2"/>
        <v>25.762498684661985</v>
      </c>
      <c r="G5">
        <f t="shared" si="3"/>
        <v>103.04999473864794</v>
      </c>
      <c r="H5">
        <f t="shared" si="4"/>
        <v>0.81632152313947071</v>
      </c>
      <c r="I5">
        <f t="shared" si="5"/>
        <v>84.121928664567534</v>
      </c>
    </row>
    <row r="6" spans="1:9">
      <c r="A6">
        <v>5</v>
      </c>
      <c r="B6" s="1">
        <v>45153</v>
      </c>
      <c r="C6">
        <f t="shared" si="0"/>
        <v>2.1691734330859802E-2</v>
      </c>
      <c r="D6">
        <v>1.2292966516983419</v>
      </c>
      <c r="E6">
        <f t="shared" si="1"/>
        <v>1229.296651698342</v>
      </c>
      <c r="F6">
        <f t="shared" si="2"/>
        <v>26.665576382455928</v>
      </c>
      <c r="G6">
        <f t="shared" si="3"/>
        <v>133.32788191227965</v>
      </c>
      <c r="H6">
        <f t="shared" si="4"/>
        <v>0.77593717454672917</v>
      </c>
      <c r="I6">
        <f t="shared" si="5"/>
        <v>103.45405997931422</v>
      </c>
    </row>
    <row r="7" spans="1:9">
      <c r="A7">
        <v>6</v>
      </c>
      <c r="B7" s="1">
        <v>45337</v>
      </c>
      <c r="C7">
        <f t="shared" si="0"/>
        <v>2.1691734330859802E-2</v>
      </c>
      <c r="D7">
        <v>1.2707853791513366</v>
      </c>
      <c r="E7">
        <f t="shared" si="1"/>
        <v>1270.7853791513367</v>
      </c>
      <c r="F7">
        <f t="shared" si="2"/>
        <v>27.56553883609174</v>
      </c>
      <c r="G7">
        <f t="shared" si="3"/>
        <v>165.39323301655043</v>
      </c>
      <c r="H7">
        <f t="shared" si="4"/>
        <v>0.73755068533295842</v>
      </c>
      <c r="I7">
        <f t="shared" si="5"/>
        <v>121.98589236079046</v>
      </c>
    </row>
    <row r="8" spans="1:9">
      <c r="A8">
        <v>7</v>
      </c>
      <c r="B8" s="1">
        <v>45519</v>
      </c>
      <c r="C8">
        <f t="shared" si="0"/>
        <v>2.1691734330859802E-2</v>
      </c>
      <c r="D8">
        <v>1.3052618734896475</v>
      </c>
      <c r="E8">
        <f t="shared" si="1"/>
        <v>1305.2618734896475</v>
      </c>
      <c r="F8">
        <f t="shared" si="2"/>
        <v>28.31339379193777</v>
      </c>
      <c r="G8">
        <f t="shared" si="3"/>
        <v>198.1937565435644</v>
      </c>
      <c r="H8">
        <f t="shared" si="4"/>
        <v>0.7010632191361218</v>
      </c>
      <c r="I8">
        <f t="shared" si="5"/>
        <v>138.94635297511206</v>
      </c>
    </row>
    <row r="9" spans="1:9">
      <c r="A9">
        <v>8</v>
      </c>
      <c r="B9" s="1">
        <v>45703</v>
      </c>
      <c r="C9">
        <f t="shared" si="0"/>
        <v>2.1691734330859802E-2</v>
      </c>
      <c r="D9">
        <v>1.3477342789450837</v>
      </c>
      <c r="E9">
        <f t="shared" si="1"/>
        <v>1347.7342789450836</v>
      </c>
      <c r="F9">
        <f t="shared" si="2"/>
        <v>29.23469392746965</v>
      </c>
      <c r="G9">
        <f t="shared" si="3"/>
        <v>233.8775514197572</v>
      </c>
      <c r="H9">
        <f t="shared" si="4"/>
        <v>0.66638082914074537</v>
      </c>
      <c r="I9">
        <f t="shared" si="5"/>
        <v>155.85151663250511</v>
      </c>
    </row>
    <row r="10" spans="1:9">
      <c r="A10">
        <v>9</v>
      </c>
      <c r="B10" s="1">
        <v>45884</v>
      </c>
      <c r="C10">
        <f t="shared" si="0"/>
        <v>2.1691734330859802E-2</v>
      </c>
      <c r="D10">
        <v>1.383188413311784</v>
      </c>
      <c r="E10">
        <f t="shared" si="1"/>
        <v>1383.188413311784</v>
      </c>
      <c r="F10">
        <f t="shared" si="2"/>
        <v>30.003755591082722</v>
      </c>
      <c r="G10">
        <f t="shared" si="3"/>
        <v>270.0338003197445</v>
      </c>
      <c r="H10">
        <f t="shared" si="4"/>
        <v>0.63341421618652316</v>
      </c>
      <c r="I10">
        <f t="shared" si="5"/>
        <v>171.04324797339908</v>
      </c>
    </row>
    <row r="11" spans="1:9">
      <c r="A11">
        <v>10</v>
      </c>
      <c r="B11" s="1">
        <v>46068</v>
      </c>
      <c r="C11">
        <f t="shared" si="0"/>
        <v>2.1691734330859802E-2</v>
      </c>
      <c r="D11">
        <v>1.4280671875887831</v>
      </c>
      <c r="E11">
        <f t="shared" si="1"/>
        <v>1428.0671875887831</v>
      </c>
      <c r="F11">
        <f t="shared" si="2"/>
        <v>30.977254039794012</v>
      </c>
      <c r="G11">
        <f t="shared" si="3"/>
        <v>309.77254039794013</v>
      </c>
      <c r="H11">
        <f t="shared" si="4"/>
        <v>0.60207849884356113</v>
      </c>
      <c r="I11">
        <f t="shared" si="5"/>
        <v>186.5073861057482</v>
      </c>
    </row>
    <row r="12" spans="1:9">
      <c r="A12">
        <v>11</v>
      </c>
      <c r="B12" s="1">
        <v>46249</v>
      </c>
      <c r="C12">
        <f t="shared" si="0"/>
        <v>2.1691734330859802E-2</v>
      </c>
      <c r="D12">
        <v>1.4655954269653104</v>
      </c>
      <c r="E12">
        <f t="shared" si="1"/>
        <v>1465.5954269653105</v>
      </c>
      <c r="F12">
        <f t="shared" si="2"/>
        <v>31.791306638254554</v>
      </c>
      <c r="G12">
        <f t="shared" si="3"/>
        <v>349.70437302080006</v>
      </c>
      <c r="H12">
        <f t="shared" si="4"/>
        <v>0.57229299486225949</v>
      </c>
      <c r="I12">
        <f t="shared" si="5"/>
        <v>200.13336295250241</v>
      </c>
    </row>
    <row r="13" spans="1:9">
      <c r="A13">
        <v>12</v>
      </c>
      <c r="B13" s="1">
        <v>46433</v>
      </c>
      <c r="C13">
        <f t="shared" si="0"/>
        <v>2.1691734330859802E-2</v>
      </c>
      <c r="D13">
        <v>1.5134010013183323</v>
      </c>
      <c r="E13">
        <f t="shared" si="1"/>
        <v>1513.4010013183324</v>
      </c>
      <c r="F13">
        <f t="shared" si="2"/>
        <v>32.828292456654474</v>
      </c>
      <c r="G13">
        <f t="shared" si="3"/>
        <v>393.93950947985365</v>
      </c>
      <c r="H13">
        <f t="shared" si="4"/>
        <v>0.54398101343511662</v>
      </c>
      <c r="I13">
        <f t="shared" si="5"/>
        <v>214.29561359898352</v>
      </c>
    </row>
    <row r="14" spans="1:9">
      <c r="A14">
        <v>13</v>
      </c>
      <c r="B14" s="1">
        <v>46614</v>
      </c>
      <c r="C14">
        <f t="shared" si="0"/>
        <v>2.1691734330859802E-2</v>
      </c>
      <c r="D14">
        <v>1.5533993613197012</v>
      </c>
      <c r="E14">
        <f t="shared" si="1"/>
        <v>1553.3993613197013</v>
      </c>
      <c r="F14">
        <f t="shared" si="2"/>
        <v>33.695926255474255</v>
      </c>
      <c r="G14">
        <f t="shared" si="3"/>
        <v>438.0470413211653</v>
      </c>
      <c r="H14">
        <f t="shared" si="4"/>
        <v>0.51706965773557656</v>
      </c>
      <c r="I14">
        <f t="shared" si="5"/>
        <v>226.50083372801691</v>
      </c>
    </row>
    <row r="15" spans="1:9">
      <c r="A15">
        <v>14</v>
      </c>
      <c r="B15" s="1">
        <v>46798</v>
      </c>
      <c r="C15">
        <f t="shared" si="0"/>
        <v>2.1691734330859802E-2</v>
      </c>
      <c r="D15">
        <v>1.6043818026454337</v>
      </c>
      <c r="E15">
        <f t="shared" si="1"/>
        <v>1604.3818026454337</v>
      </c>
      <c r="F15">
        <f t="shared" si="2"/>
        <v>34.80182382825069</v>
      </c>
      <c r="G15">
        <f t="shared" si="3"/>
        <v>487.22553359550966</v>
      </c>
      <c r="H15">
        <f t="shared" si="4"/>
        <v>0.49148963722550182</v>
      </c>
      <c r="I15">
        <f t="shared" si="5"/>
        <v>239.4663007538586</v>
      </c>
    </row>
    <row r="16" spans="1:9">
      <c r="H16" t="s">
        <v>4</v>
      </c>
      <c r="I16">
        <f>SUM(I2:I15)</f>
        <v>1970.6905327944582</v>
      </c>
    </row>
    <row r="17" spans="1:12">
      <c r="A17" t="s">
        <v>98</v>
      </c>
      <c r="B17" s="8">
        <v>1000</v>
      </c>
      <c r="H17" t="s">
        <v>5</v>
      </c>
      <c r="I17">
        <f>(A15*B19)*H15</f>
        <v>11039.518422147612</v>
      </c>
    </row>
    <row r="18" spans="1:12">
      <c r="A18" t="s">
        <v>79</v>
      </c>
      <c r="B18" s="13">
        <v>4.3853999999999997E-2</v>
      </c>
      <c r="H18" t="s">
        <v>6</v>
      </c>
      <c r="I18">
        <f>SUM(I16:I17)</f>
        <v>13010.208954942071</v>
      </c>
    </row>
    <row r="19" spans="1:12">
      <c r="A19" t="s">
        <v>111</v>
      </c>
      <c r="B19">
        <f>B17*D15</f>
        <v>1604.3818026454337</v>
      </c>
      <c r="H19" t="s">
        <v>89</v>
      </c>
      <c r="I19">
        <f>(I18/B20)/2</f>
        <v>6.1224903531299857</v>
      </c>
    </row>
    <row r="20" spans="1:12">
      <c r="A20" t="s">
        <v>90</v>
      </c>
      <c r="B20">
        <v>1062.4932180000001</v>
      </c>
      <c r="H20" t="s">
        <v>18</v>
      </c>
      <c r="I20">
        <f>I19/(1+B21)</f>
        <v>5.8196038339486762</v>
      </c>
    </row>
    <row r="21" spans="1:12">
      <c r="A21" t="s">
        <v>101</v>
      </c>
      <c r="B21">
        <v>5.2045899999999999E-2</v>
      </c>
    </row>
    <row r="22" spans="1:12">
      <c r="A22" t="s">
        <v>119</v>
      </c>
      <c r="B22">
        <f>F4/B20</f>
        <v>2.3198882925793477E-2</v>
      </c>
    </row>
    <row r="26" spans="1:12" ht="18">
      <c r="L26" s="16"/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A954D-1E48-4BCA-A632-EB9D803CDDEB}">
  <dimension ref="A1:M18"/>
  <sheetViews>
    <sheetView workbookViewId="0">
      <selection activeCell="B17" sqref="B17"/>
    </sheetView>
  </sheetViews>
  <sheetFormatPr defaultRowHeight="15"/>
  <cols>
    <col min="2" max="2" width="11.42578125" customWidth="1"/>
    <col min="4" max="4" width="11.5703125" bestFit="1" customWidth="1"/>
    <col min="6" max="6" width="11.5703125" bestFit="1" customWidth="1"/>
  </cols>
  <sheetData>
    <row r="1" spans="1:10">
      <c r="A1" t="s">
        <v>96</v>
      </c>
      <c r="B1" t="s">
        <v>0</v>
      </c>
      <c r="C1" t="s">
        <v>121</v>
      </c>
      <c r="D1" t="s">
        <v>141</v>
      </c>
      <c r="E1" t="s">
        <v>116</v>
      </c>
      <c r="F1" t="s">
        <v>142</v>
      </c>
      <c r="G1" t="s">
        <v>107</v>
      </c>
      <c r="H1" t="s">
        <v>12</v>
      </c>
      <c r="I1" t="s">
        <v>3</v>
      </c>
      <c r="J1" t="s">
        <v>102</v>
      </c>
    </row>
    <row r="2" spans="1:10">
      <c r="A2">
        <v>0</v>
      </c>
      <c r="B2" s="1">
        <v>44273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</v>
      </c>
      <c r="B3" s="1">
        <v>44423</v>
      </c>
      <c r="C3">
        <v>5.1499999999999997E-2</v>
      </c>
      <c r="D3" s="22">
        <f>(1+C3)^(NETWORKDAYS.INTL(B2,B3)/252)-1</f>
        <v>2.1551552756603476E-2</v>
      </c>
      <c r="E3">
        <f>2.25/100</f>
        <v>2.2499999999999999E-2</v>
      </c>
      <c r="F3" s="22">
        <f>D3+E3</f>
        <v>4.4051552756603475E-2</v>
      </c>
      <c r="G3">
        <f>F3*$B$14</f>
        <v>44.051552756603478</v>
      </c>
      <c r="H3">
        <f>A3*G3</f>
        <v>44.051552756603478</v>
      </c>
      <c r="I3">
        <f>(1+$B$16)^(-A3)</f>
        <v>0.93136161099927639</v>
      </c>
      <c r="J3">
        <f>H3*I3</f>
        <v>41.027925142409828</v>
      </c>
    </row>
    <row r="4" spans="1:10">
      <c r="A4">
        <v>2</v>
      </c>
      <c r="B4" s="1">
        <v>44607</v>
      </c>
      <c r="C4">
        <v>0.1065</v>
      </c>
      <c r="D4" s="22">
        <f t="shared" ref="D4:D12" si="0">(1+C4)^(NETWORKDAYS.INTL(B3,B4)/252)-1</f>
        <v>5.4440726007934481E-2</v>
      </c>
      <c r="E4">
        <f t="shared" ref="E4:E12" si="1">2.25/100</f>
        <v>2.2499999999999999E-2</v>
      </c>
      <c r="F4" s="22">
        <f t="shared" ref="F4:F12" si="2">D4+E4</f>
        <v>7.6940726007934473E-2</v>
      </c>
      <c r="G4">
        <f t="shared" ref="G4:G12" si="3">F4*$B$14</f>
        <v>76.940726007934472</v>
      </c>
      <c r="H4">
        <f t="shared" ref="H4:H12" si="4">A4*G4</f>
        <v>153.88145201586894</v>
      </c>
      <c r="I4">
        <f t="shared" ref="I4:I12" si="5">(1+$B$16)^(-A4)</f>
        <v>0.86743445044316747</v>
      </c>
      <c r="J4">
        <f t="shared" ref="J4:J12" si="6">H4*I4</f>
        <v>133.48207276278191</v>
      </c>
    </row>
    <row r="5" spans="1:10">
      <c r="A5">
        <v>3</v>
      </c>
      <c r="B5" s="1">
        <v>44788</v>
      </c>
      <c r="C5">
        <v>0.13650000000000001</v>
      </c>
      <c r="D5" s="22">
        <f t="shared" si="0"/>
        <v>6.8234929658265164E-2</v>
      </c>
      <c r="E5">
        <f t="shared" si="1"/>
        <v>2.2499999999999999E-2</v>
      </c>
      <c r="F5" s="22">
        <f t="shared" si="2"/>
        <v>9.0734929658265157E-2</v>
      </c>
      <c r="G5">
        <f t="shared" si="3"/>
        <v>90.734929658265159</v>
      </c>
      <c r="H5">
        <f t="shared" si="4"/>
        <v>272.20478897479546</v>
      </c>
      <c r="I5">
        <f t="shared" si="5"/>
        <v>0.80789514720102029</v>
      </c>
      <c r="J5">
        <f t="shared" si="6"/>
        <v>219.91292805761503</v>
      </c>
    </row>
    <row r="6" spans="1:10">
      <c r="A6">
        <v>4</v>
      </c>
      <c r="B6" s="1">
        <v>44972</v>
      </c>
      <c r="C6">
        <v>0.13683999999999999</v>
      </c>
      <c r="D6" s="22">
        <f t="shared" si="0"/>
        <v>7.0032274203453815E-2</v>
      </c>
      <c r="E6">
        <f t="shared" si="1"/>
        <v>2.2499999999999999E-2</v>
      </c>
      <c r="F6" s="22">
        <f t="shared" si="2"/>
        <v>9.2532274203453807E-2</v>
      </c>
      <c r="G6">
        <f t="shared" si="3"/>
        <v>92.532274203453809</v>
      </c>
      <c r="H6">
        <f t="shared" si="4"/>
        <v>370.12909681381524</v>
      </c>
      <c r="I6">
        <f t="shared" si="5"/>
        <v>0.75244252581563986</v>
      </c>
      <c r="J6">
        <f t="shared" si="6"/>
        <v>278.50087248444862</v>
      </c>
    </row>
    <row r="7" spans="1:10">
      <c r="A7">
        <v>5</v>
      </c>
      <c r="B7" s="1">
        <v>45153</v>
      </c>
      <c r="C7">
        <v>0.13525000000000001</v>
      </c>
      <c r="D7" s="22">
        <f t="shared" si="0"/>
        <v>6.7628660002110097E-2</v>
      </c>
      <c r="E7">
        <f t="shared" si="1"/>
        <v>2.2499999999999999E-2</v>
      </c>
      <c r="F7" s="22">
        <f t="shared" si="2"/>
        <v>9.0128660002110089E-2</v>
      </c>
      <c r="G7">
        <f t="shared" si="3"/>
        <v>90.128660002110095</v>
      </c>
      <c r="H7">
        <f t="shared" si="4"/>
        <v>450.64330001055049</v>
      </c>
      <c r="I7">
        <f t="shared" si="5"/>
        <v>0.70079608302801899</v>
      </c>
      <c r="J7">
        <f t="shared" si="6"/>
        <v>315.80905949021422</v>
      </c>
    </row>
    <row r="8" spans="1:10">
      <c r="A8">
        <v>6</v>
      </c>
      <c r="B8" s="1">
        <v>45337</v>
      </c>
      <c r="C8">
        <v>0.12934999999999999</v>
      </c>
      <c r="D8" s="22">
        <f t="shared" si="0"/>
        <v>6.6305717757271898E-2</v>
      </c>
      <c r="E8">
        <f t="shared" si="1"/>
        <v>2.2499999999999999E-2</v>
      </c>
      <c r="F8" s="22">
        <f t="shared" si="2"/>
        <v>8.880571775727189E-2</v>
      </c>
      <c r="G8">
        <f t="shared" si="3"/>
        <v>88.805717757271893</v>
      </c>
      <c r="H8">
        <f t="shared" si="4"/>
        <v>532.83430654363133</v>
      </c>
      <c r="I8">
        <f t="shared" si="5"/>
        <v>0.65269456887095834</v>
      </c>
      <c r="J8">
        <f t="shared" si="6"/>
        <v>347.77805798915148</v>
      </c>
    </row>
    <row r="9" spans="1:10">
      <c r="A9">
        <v>7</v>
      </c>
      <c r="B9" s="1">
        <v>45519</v>
      </c>
      <c r="C9">
        <v>0.1205</v>
      </c>
      <c r="D9" s="22">
        <f t="shared" si="0"/>
        <v>6.0929009015429525E-2</v>
      </c>
      <c r="E9">
        <f t="shared" si="1"/>
        <v>2.2499999999999999E-2</v>
      </c>
      <c r="F9" s="22">
        <f t="shared" si="2"/>
        <v>8.3429009015429517E-2</v>
      </c>
      <c r="G9">
        <f t="shared" si="3"/>
        <v>83.429009015429514</v>
      </c>
      <c r="H9">
        <f t="shared" si="4"/>
        <v>584.00306310800659</v>
      </c>
      <c r="I9">
        <f t="shared" si="5"/>
        <v>0.60789466515413393</v>
      </c>
      <c r="J9">
        <f t="shared" si="6"/>
        <v>355.01234649703019</v>
      </c>
    </row>
    <row r="10" spans="1:10">
      <c r="A10">
        <v>8</v>
      </c>
      <c r="B10" s="1">
        <v>45703</v>
      </c>
      <c r="C10">
        <v>0.1171</v>
      </c>
      <c r="D10" s="22">
        <f t="shared" si="0"/>
        <v>5.9719863221608493E-2</v>
      </c>
      <c r="E10">
        <f t="shared" si="1"/>
        <v>2.2499999999999999E-2</v>
      </c>
      <c r="F10" s="22">
        <f t="shared" si="2"/>
        <v>8.2219863221608486E-2</v>
      </c>
      <c r="G10">
        <f t="shared" si="3"/>
        <v>82.219863221608492</v>
      </c>
      <c r="H10">
        <f t="shared" si="4"/>
        <v>657.75890577286793</v>
      </c>
      <c r="I10">
        <f t="shared" si="5"/>
        <v>0.56616975465581976</v>
      </c>
      <c r="J10">
        <f t="shared" si="6"/>
        <v>372.4031983041051</v>
      </c>
    </row>
    <row r="11" spans="1:10">
      <c r="A11">
        <v>9</v>
      </c>
      <c r="B11" s="1">
        <v>45884</v>
      </c>
      <c r="C11">
        <v>0.11559999999999999</v>
      </c>
      <c r="D11" s="22">
        <f t="shared" si="0"/>
        <v>5.8055273355323678E-2</v>
      </c>
      <c r="E11">
        <f t="shared" si="1"/>
        <v>2.2499999999999999E-2</v>
      </c>
      <c r="F11" s="22">
        <f t="shared" si="2"/>
        <v>8.055527335532367E-2</v>
      </c>
      <c r="G11">
        <f t="shared" si="3"/>
        <v>80.555273355323664</v>
      </c>
      <c r="H11">
        <f t="shared" si="4"/>
        <v>724.99746019791291</v>
      </c>
      <c r="I11">
        <f t="shared" si="5"/>
        <v>0.52730877479530947</v>
      </c>
      <c r="J11">
        <f t="shared" si="6"/>
        <v>382.2975224666726</v>
      </c>
    </row>
    <row r="12" spans="1:10">
      <c r="A12">
        <v>10</v>
      </c>
      <c r="B12" s="1">
        <v>46068</v>
      </c>
      <c r="C12">
        <v>0.1152</v>
      </c>
      <c r="D12" s="22">
        <f t="shared" si="0"/>
        <v>5.8317358028449062E-2</v>
      </c>
      <c r="E12">
        <f t="shared" si="1"/>
        <v>2.2499999999999999E-2</v>
      </c>
      <c r="F12" s="22">
        <f t="shared" si="2"/>
        <v>8.0817358028449054E-2</v>
      </c>
      <c r="G12">
        <f t="shared" si="3"/>
        <v>80.81735802844905</v>
      </c>
      <c r="H12">
        <f t="shared" si="4"/>
        <v>808.17358028449053</v>
      </c>
      <c r="I12">
        <f t="shared" si="5"/>
        <v>0.49111514998741401</v>
      </c>
      <c r="J12">
        <f t="shared" si="6"/>
        <v>396.90628909728292</v>
      </c>
    </row>
    <row r="13" spans="1:10">
      <c r="I13" t="s">
        <v>4</v>
      </c>
      <c r="J13">
        <f>SUM(J3:J12)</f>
        <v>2843.1302722917117</v>
      </c>
    </row>
    <row r="14" spans="1:10">
      <c r="A14" t="s">
        <v>98</v>
      </c>
      <c r="B14" s="8">
        <v>1000</v>
      </c>
      <c r="I14" t="s">
        <v>5</v>
      </c>
      <c r="J14">
        <f>(A12*B14)*I12</f>
        <v>4911.1514998741404</v>
      </c>
    </row>
    <row r="15" spans="1:10">
      <c r="A15" t="s">
        <v>90</v>
      </c>
      <c r="B15">
        <v>1042.3669729999999</v>
      </c>
      <c r="I15" t="s">
        <v>6</v>
      </c>
      <c r="J15">
        <f>SUM(J13:J14)</f>
        <v>7754.2817721658521</v>
      </c>
    </row>
    <row r="16" spans="1:10">
      <c r="A16" t="s">
        <v>101</v>
      </c>
      <c r="B16">
        <v>7.3696819999999996E-2</v>
      </c>
      <c r="I16" t="s">
        <v>89</v>
      </c>
      <c r="J16">
        <f>(J15/B15)/2</f>
        <v>3.7195546160909747</v>
      </c>
    </row>
    <row r="17" spans="1:13">
      <c r="A17" t="s">
        <v>119</v>
      </c>
      <c r="B17">
        <f>G5/B15</f>
        <v>8.7047011281568262E-2</v>
      </c>
      <c r="I17" t="s">
        <v>18</v>
      </c>
      <c r="J17">
        <f>J16/(1+B16)</f>
        <v>3.4642503794422854</v>
      </c>
    </row>
    <row r="18" spans="1:13">
      <c r="M18" s="6"/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C51D9-E719-40CA-87AC-54C584A6F649}">
  <dimension ref="A1:M17"/>
  <sheetViews>
    <sheetView workbookViewId="0">
      <selection activeCell="B17" sqref="B17"/>
    </sheetView>
  </sheetViews>
  <sheetFormatPr defaultRowHeight="15"/>
  <cols>
    <col min="2" max="2" width="11.140625" customWidth="1"/>
    <col min="4" max="4" width="10.7109375" bestFit="1" customWidth="1"/>
    <col min="6" max="6" width="9.5703125" bestFit="1" customWidth="1"/>
    <col min="13" max="13" width="10" bestFit="1" customWidth="1"/>
  </cols>
  <sheetData>
    <row r="1" spans="1:10">
      <c r="A1" t="s">
        <v>96</v>
      </c>
      <c r="B1" t="s">
        <v>0</v>
      </c>
      <c r="C1" t="s">
        <v>121</v>
      </c>
      <c r="D1" t="s">
        <v>141</v>
      </c>
      <c r="E1" t="s">
        <v>116</v>
      </c>
      <c r="F1" t="s">
        <v>142</v>
      </c>
      <c r="G1" t="s">
        <v>107</v>
      </c>
      <c r="H1" t="s">
        <v>12</v>
      </c>
      <c r="I1" t="s">
        <v>3</v>
      </c>
      <c r="J1" t="s">
        <v>102</v>
      </c>
    </row>
    <row r="2" spans="1:10">
      <c r="A2">
        <v>0</v>
      </c>
      <c r="B2" s="1">
        <v>44278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</v>
      </c>
      <c r="B3" s="1">
        <v>44454</v>
      </c>
      <c r="C3">
        <v>5.1499999999999997E-2</v>
      </c>
      <c r="D3" s="14">
        <f>(1+C3)^(NETWORKDAYS.INTL(B2,B3)/252)-1</f>
        <v>2.563110440434424E-2</v>
      </c>
      <c r="E3">
        <f>1.65/100</f>
        <v>1.6500000000000001E-2</v>
      </c>
      <c r="F3" s="14">
        <f>D3+E3</f>
        <v>4.2131104404344241E-2</v>
      </c>
      <c r="G3">
        <f>$B$14*F3</f>
        <v>42.131104404344242</v>
      </c>
      <c r="H3">
        <f>A3*G3</f>
        <v>42.131104404344242</v>
      </c>
      <c r="I3">
        <f>(1+$B$16)^(-A3)</f>
        <v>0.93407023130222355</v>
      </c>
      <c r="J3">
        <f>H3*I3</f>
        <v>39.353410435983953</v>
      </c>
    </row>
    <row r="4" spans="1:10">
      <c r="A4">
        <v>2</v>
      </c>
      <c r="B4" s="1">
        <v>44635</v>
      </c>
      <c r="C4">
        <v>0.1065</v>
      </c>
      <c r="D4" s="14">
        <f t="shared" ref="D4:D12" si="0">(1+C4)^(NETWORKDAYS.INTL(B3,B4)/252)-1</f>
        <v>5.3594150284956621E-2</v>
      </c>
      <c r="E4">
        <f t="shared" ref="E4:E12" si="1">1.65/100</f>
        <v>1.6500000000000001E-2</v>
      </c>
      <c r="F4" s="14">
        <f t="shared" ref="F4:F12" si="2">D4+E4</f>
        <v>7.0094150284956622E-2</v>
      </c>
      <c r="G4">
        <f t="shared" ref="G4:G12" si="3">$B$14*F4</f>
        <v>70.094150284956626</v>
      </c>
      <c r="H4">
        <f t="shared" ref="H4:H12" si="4">A4*G4</f>
        <v>140.18830056991325</v>
      </c>
      <c r="I4">
        <f t="shared" ref="I4:I12" si="5">(1+$B$16)^(-A4)</f>
        <v>0.87248719700498933</v>
      </c>
      <c r="J4">
        <f t="shared" ref="J4:J12" si="6">H4*I4</f>
        <v>122.31249741713657</v>
      </c>
    </row>
    <row r="5" spans="1:10">
      <c r="A5">
        <v>3</v>
      </c>
      <c r="B5" s="1">
        <v>44819</v>
      </c>
      <c r="C5">
        <v>0.13650000000000001</v>
      </c>
      <c r="D5" s="14">
        <f t="shared" si="0"/>
        <v>6.9863363092107056E-2</v>
      </c>
      <c r="E5">
        <f t="shared" si="1"/>
        <v>1.6500000000000001E-2</v>
      </c>
      <c r="F5" s="14">
        <f t="shared" si="2"/>
        <v>8.6363363092107057E-2</v>
      </c>
      <c r="G5">
        <f t="shared" si="3"/>
        <v>86.363363092107051</v>
      </c>
      <c r="H5">
        <f t="shared" si="4"/>
        <v>259.09008927632112</v>
      </c>
      <c r="I5">
        <f t="shared" si="5"/>
        <v>0.81496431791467894</v>
      </c>
      <c r="J5">
        <f t="shared" si="6"/>
        <v>211.14917788553032</v>
      </c>
    </row>
    <row r="6" spans="1:10">
      <c r="A6">
        <v>4</v>
      </c>
      <c r="B6" s="1">
        <v>45000</v>
      </c>
      <c r="C6">
        <v>0.13705000000000001</v>
      </c>
      <c r="D6" s="14">
        <f t="shared" si="0"/>
        <v>6.850158603241141E-2</v>
      </c>
      <c r="E6">
        <f t="shared" si="1"/>
        <v>1.6500000000000001E-2</v>
      </c>
      <c r="F6" s="14">
        <f t="shared" si="2"/>
        <v>8.5001586032411411E-2</v>
      </c>
      <c r="G6">
        <f t="shared" si="3"/>
        <v>85.00158603241141</v>
      </c>
      <c r="H6">
        <f t="shared" si="4"/>
        <v>340.00634412964564</v>
      </c>
      <c r="I6">
        <f t="shared" si="5"/>
        <v>0.76123390893762299</v>
      </c>
      <c r="J6">
        <f t="shared" si="6"/>
        <v>258.8243584054008</v>
      </c>
    </row>
    <row r="7" spans="1:10">
      <c r="A7">
        <v>5</v>
      </c>
      <c r="B7" s="1">
        <v>45184</v>
      </c>
      <c r="C7">
        <v>0.13413</v>
      </c>
      <c r="D7" s="14">
        <f t="shared" si="0"/>
        <v>6.8685289764101043E-2</v>
      </c>
      <c r="E7">
        <f t="shared" si="1"/>
        <v>1.6500000000000001E-2</v>
      </c>
      <c r="F7" s="14">
        <f t="shared" si="2"/>
        <v>8.5185289764101044E-2</v>
      </c>
      <c r="G7">
        <f t="shared" si="3"/>
        <v>85.185289764101043</v>
      </c>
      <c r="H7">
        <f t="shared" si="4"/>
        <v>425.92644882050524</v>
      </c>
      <c r="I7">
        <f t="shared" si="5"/>
        <v>0.71104593339646127</v>
      </c>
      <c r="J7">
        <f t="shared" si="6"/>
        <v>302.85326935981624</v>
      </c>
    </row>
    <row r="8" spans="1:10">
      <c r="A8">
        <v>6</v>
      </c>
      <c r="B8" s="1">
        <v>45366</v>
      </c>
      <c r="C8">
        <v>0.12934999999999999</v>
      </c>
      <c r="D8" s="14">
        <f t="shared" si="0"/>
        <v>6.5276787347437359E-2</v>
      </c>
      <c r="E8">
        <f t="shared" si="1"/>
        <v>1.6500000000000001E-2</v>
      </c>
      <c r="F8" s="14">
        <f t="shared" si="2"/>
        <v>8.177678734743736E-2</v>
      </c>
      <c r="G8">
        <f t="shared" si="3"/>
        <v>81.776787347437363</v>
      </c>
      <c r="H8">
        <f t="shared" si="4"/>
        <v>490.66072408462418</v>
      </c>
      <c r="I8">
        <f t="shared" si="5"/>
        <v>0.66416683947413802</v>
      </c>
      <c r="J8">
        <f t="shared" si="6"/>
        <v>325.8805823693769</v>
      </c>
    </row>
    <row r="9" spans="1:10">
      <c r="A9">
        <v>7</v>
      </c>
      <c r="B9" s="1">
        <v>45550</v>
      </c>
      <c r="C9">
        <v>0.1205</v>
      </c>
      <c r="D9" s="14">
        <f t="shared" si="0"/>
        <v>6.0929009015429525E-2</v>
      </c>
      <c r="E9">
        <f t="shared" si="1"/>
        <v>1.6500000000000001E-2</v>
      </c>
      <c r="F9" s="14">
        <f t="shared" si="2"/>
        <v>7.7429009015429526E-2</v>
      </c>
      <c r="G9">
        <f t="shared" si="3"/>
        <v>77.429009015429529</v>
      </c>
      <c r="H9">
        <f t="shared" si="4"/>
        <v>542.0030631080067</v>
      </c>
      <c r="I9">
        <f t="shared" si="5"/>
        <v>0.62037847337087471</v>
      </c>
      <c r="J9">
        <f t="shared" si="6"/>
        <v>336.24703285328303</v>
      </c>
    </row>
    <row r="10" spans="1:10">
      <c r="A10">
        <v>8</v>
      </c>
      <c r="B10" s="1">
        <v>45731</v>
      </c>
      <c r="C10">
        <v>0.1171</v>
      </c>
      <c r="D10" s="14">
        <f t="shared" si="0"/>
        <v>5.878892963944593E-2</v>
      </c>
      <c r="E10">
        <f t="shared" si="1"/>
        <v>1.6500000000000001E-2</v>
      </c>
      <c r="F10" s="14">
        <f t="shared" si="2"/>
        <v>7.5288929639445931E-2</v>
      </c>
      <c r="G10">
        <f t="shared" si="3"/>
        <v>75.288929639445925</v>
      </c>
      <c r="H10">
        <f t="shared" si="4"/>
        <v>602.3114371155674</v>
      </c>
      <c r="I10">
        <f t="shared" si="5"/>
        <v>0.57947706411645328</v>
      </c>
      <c r="J10">
        <f t="shared" si="6"/>
        <v>349.02566326349074</v>
      </c>
    </row>
    <row r="11" spans="1:10">
      <c r="A11">
        <v>9</v>
      </c>
      <c r="B11" s="1">
        <v>45915</v>
      </c>
      <c r="C11">
        <v>0.11559999999999999</v>
      </c>
      <c r="D11" s="14">
        <f t="shared" si="0"/>
        <v>5.8514671397432938E-2</v>
      </c>
      <c r="E11">
        <f t="shared" si="1"/>
        <v>1.6500000000000001E-2</v>
      </c>
      <c r="F11" s="14">
        <f t="shared" si="2"/>
        <v>7.5014671397432939E-2</v>
      </c>
      <c r="G11">
        <f t="shared" si="3"/>
        <v>75.014671397432934</v>
      </c>
      <c r="H11">
        <f t="shared" si="4"/>
        <v>675.13204257689642</v>
      </c>
      <c r="I11">
        <f t="shared" si="5"/>
        <v>0.5412722753135889</v>
      </c>
      <c r="J11">
        <f t="shared" si="6"/>
        <v>365.43025682270752</v>
      </c>
    </row>
    <row r="12" spans="1:10">
      <c r="A12">
        <v>10</v>
      </c>
      <c r="B12" s="1">
        <v>46096</v>
      </c>
      <c r="C12">
        <v>0.1152</v>
      </c>
      <c r="D12" s="14">
        <f t="shared" si="0"/>
        <v>5.7859551036805845E-2</v>
      </c>
      <c r="E12">
        <f t="shared" si="1"/>
        <v>1.6500000000000001E-2</v>
      </c>
      <c r="F12" s="14">
        <f t="shared" si="2"/>
        <v>7.4359551036805846E-2</v>
      </c>
      <c r="G12">
        <f t="shared" si="3"/>
        <v>74.35955103680584</v>
      </c>
      <c r="H12">
        <f t="shared" si="4"/>
        <v>743.5955103680584</v>
      </c>
      <c r="I12">
        <f t="shared" si="5"/>
        <v>0.50558631939964482</v>
      </c>
      <c r="J12">
        <f t="shared" si="6"/>
        <v>375.95171720908706</v>
      </c>
    </row>
    <row r="13" spans="1:10">
      <c r="I13" t="s">
        <v>4</v>
      </c>
      <c r="J13">
        <f>SUM(J3:J12)</f>
        <v>2687.027966021813</v>
      </c>
    </row>
    <row r="14" spans="1:10">
      <c r="A14" t="s">
        <v>98</v>
      </c>
      <c r="B14" s="8">
        <v>1000</v>
      </c>
      <c r="I14" t="s">
        <v>5</v>
      </c>
      <c r="J14">
        <f>(A12*B14)*I12</f>
        <v>5055.863193996448</v>
      </c>
    </row>
    <row r="15" spans="1:10">
      <c r="A15" t="s">
        <v>90</v>
      </c>
      <c r="B15">
        <v>1025.92281</v>
      </c>
      <c r="I15" t="s">
        <v>6</v>
      </c>
      <c r="J15">
        <f>SUM(J13:J14)</f>
        <v>7742.891160018261</v>
      </c>
    </row>
    <row r="16" spans="1:10">
      <c r="A16" t="s">
        <v>101</v>
      </c>
      <c r="B16">
        <v>7.0583309999999996E-2</v>
      </c>
      <c r="I16" t="s">
        <v>89</v>
      </c>
      <c r="J16">
        <f>(J15/B15)/2</f>
        <v>3.773622676358205</v>
      </c>
    </row>
    <row r="17" spans="1:13" ht="18">
      <c r="A17" t="s">
        <v>119</v>
      </c>
      <c r="B17">
        <f>G5/B15</f>
        <v>8.4181151106394694E-2</v>
      </c>
      <c r="I17" t="s">
        <v>18</v>
      </c>
      <c r="J17">
        <f>J16/(1+B16)</f>
        <v>3.5248286061532244</v>
      </c>
      <c r="M17" s="16"/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A4622-D39E-4999-95FE-3032618F1141}">
  <dimension ref="A1:I28"/>
  <sheetViews>
    <sheetView topLeftCell="A13" workbookViewId="0">
      <selection activeCell="B28" sqref="B28"/>
    </sheetView>
  </sheetViews>
  <sheetFormatPr defaultRowHeight="15"/>
  <cols>
    <col min="2" max="2" width="10.85546875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44454</v>
      </c>
      <c r="C2">
        <f>(1+$B$24)^(1/2)-1</f>
        <v>2.2213284985085791E-2</v>
      </c>
      <c r="D2">
        <v>1.0572316033153661</v>
      </c>
      <c r="E2">
        <f>$B$23*D2</f>
        <v>1057.2316033153661</v>
      </c>
      <c r="F2">
        <f>C2*E2</f>
        <v>23.4845868996834</v>
      </c>
      <c r="G2">
        <f>A2*F2</f>
        <v>23.4845868996834</v>
      </c>
      <c r="H2">
        <f>(1+$B$27)^(-A2)</f>
        <v>0.94555052949222218</v>
      </c>
      <c r="I2">
        <f>G2*H2</f>
        <v>22.205863577901745</v>
      </c>
    </row>
    <row r="3" spans="1:9">
      <c r="A3">
        <v>2</v>
      </c>
      <c r="B3" s="1">
        <v>44635</v>
      </c>
      <c r="C3">
        <f t="shared" ref="C3:C21" si="0">(1+$B$24)^(1/2)-1</f>
        <v>2.2213284985085791E-2</v>
      </c>
      <c r="D3">
        <v>1.1233439961311942</v>
      </c>
      <c r="E3">
        <f t="shared" ref="E3:E21" si="1">$B$23*D3</f>
        <v>1123.3439961311942</v>
      </c>
      <c r="F3">
        <f t="shared" ref="F3:F21" si="2">C3*E3</f>
        <v>24.953160322347326</v>
      </c>
      <c r="G3">
        <f t="shared" ref="G3:G21" si="3">A3*F3</f>
        <v>49.906320644694652</v>
      </c>
      <c r="H3">
        <f t="shared" ref="H3:H21" si="4">(1+$B$27)^(-A3)</f>
        <v>0.8940658038230217</v>
      </c>
      <c r="I3">
        <f t="shared" ref="I3:I21" si="5">G3*H3</f>
        <v>44.619534683048386</v>
      </c>
    </row>
    <row r="4" spans="1:9">
      <c r="A4">
        <v>3</v>
      </c>
      <c r="B4" s="1">
        <v>44819</v>
      </c>
      <c r="C4">
        <f t="shared" si="0"/>
        <v>2.2213284985085791E-2</v>
      </c>
      <c r="D4">
        <v>1.1330202692517155</v>
      </c>
      <c r="E4">
        <f t="shared" si="1"/>
        <v>1133.0202692517155</v>
      </c>
      <c r="F4">
        <f t="shared" si="2"/>
        <v>25.16810213476699</v>
      </c>
      <c r="G4">
        <f t="shared" si="3"/>
        <v>75.504306404300962</v>
      </c>
      <c r="H4">
        <f t="shared" si="4"/>
        <v>0.8453843942057474</v>
      </c>
      <c r="I4">
        <f t="shared" si="5"/>
        <v>63.830162329525102</v>
      </c>
    </row>
    <row r="5" spans="1:9">
      <c r="A5">
        <v>4</v>
      </c>
      <c r="B5" s="1">
        <v>45000</v>
      </c>
      <c r="C5">
        <f t="shared" si="0"/>
        <v>2.2213284985085791E-2</v>
      </c>
      <c r="D5">
        <v>1.1996216257499195</v>
      </c>
      <c r="E5">
        <f t="shared" si="1"/>
        <v>1199.6216257499195</v>
      </c>
      <c r="F5">
        <f t="shared" si="2"/>
        <v>26.647537047054893</v>
      </c>
      <c r="G5">
        <f t="shared" si="3"/>
        <v>106.59014818821957</v>
      </c>
      <c r="H5">
        <f t="shared" si="4"/>
        <v>0.79935366156570609</v>
      </c>
      <c r="I5">
        <f t="shared" si="5"/>
        <v>85.203225241084525</v>
      </c>
    </row>
    <row r="6" spans="1:9">
      <c r="A6">
        <v>5</v>
      </c>
      <c r="B6" s="1">
        <v>45184</v>
      </c>
      <c r="C6">
        <f t="shared" si="0"/>
        <v>2.2213284985085791E-2</v>
      </c>
      <c r="D6">
        <v>1.2304738051982265</v>
      </c>
      <c r="E6">
        <f t="shared" si="1"/>
        <v>1230.4738051982265</v>
      </c>
      <c r="F6">
        <f t="shared" si="2"/>
        <v>27.332865301551141</v>
      </c>
      <c r="G6">
        <f t="shared" si="3"/>
        <v>136.6643265077557</v>
      </c>
      <c r="H6">
        <f t="shared" si="4"/>
        <v>0.75582927794499999</v>
      </c>
      <c r="I6">
        <f t="shared" si="5"/>
        <v>103.29489922519672</v>
      </c>
    </row>
    <row r="7" spans="1:9">
      <c r="A7">
        <v>6</v>
      </c>
      <c r="B7" s="1">
        <v>45366</v>
      </c>
      <c r="C7">
        <f t="shared" si="0"/>
        <v>2.2213284985085791E-2</v>
      </c>
      <c r="D7">
        <v>1.2798099127141558</v>
      </c>
      <c r="E7">
        <f t="shared" si="1"/>
        <v>1279.8099127141559</v>
      </c>
      <c r="F7">
        <f t="shared" si="2"/>
        <v>28.428782317857316</v>
      </c>
      <c r="G7">
        <f t="shared" si="3"/>
        <v>170.5726939071439</v>
      </c>
      <c r="H7">
        <f t="shared" si="4"/>
        <v>0.71467477396661871</v>
      </c>
      <c r="I7">
        <f t="shared" si="5"/>
        <v>121.90400146296531</v>
      </c>
    </row>
    <row r="8" spans="1:9">
      <c r="A8">
        <v>7</v>
      </c>
      <c r="B8" s="1">
        <v>45550</v>
      </c>
      <c r="C8">
        <f t="shared" si="0"/>
        <v>2.2213284985085791E-2</v>
      </c>
      <c r="D8">
        <v>1.3063741978627945</v>
      </c>
      <c r="E8">
        <f t="shared" si="1"/>
        <v>1306.3741978627945</v>
      </c>
      <c r="F8">
        <f t="shared" si="2"/>
        <v>29.018862354289109</v>
      </c>
      <c r="G8">
        <f t="shared" si="3"/>
        <v>203.13203648002377</v>
      </c>
      <c r="H8">
        <f t="shared" si="4"/>
        <v>0.67576111093887048</v>
      </c>
      <c r="I8">
        <f t="shared" si="5"/>
        <v>137.26873063901604</v>
      </c>
    </row>
    <row r="9" spans="1:9">
      <c r="A9">
        <v>8</v>
      </c>
      <c r="B9" s="1">
        <v>45731</v>
      </c>
      <c r="C9">
        <f t="shared" si="0"/>
        <v>2.2213284985085791E-2</v>
      </c>
      <c r="D9">
        <v>1.3570176770541775</v>
      </c>
      <c r="E9">
        <f t="shared" si="1"/>
        <v>1357.0176770541775</v>
      </c>
      <c r="F9">
        <f t="shared" si="2"/>
        <v>30.143820390203558</v>
      </c>
      <c r="G9">
        <f t="shared" si="3"/>
        <v>241.15056312162847</v>
      </c>
      <c r="H9">
        <f t="shared" si="4"/>
        <v>0.63896627625850133</v>
      </c>
      <c r="I9">
        <f t="shared" si="5"/>
        <v>154.08707733546763</v>
      </c>
    </row>
    <row r="10" spans="1:9">
      <c r="A10">
        <v>9</v>
      </c>
      <c r="B10" s="1">
        <v>45915</v>
      </c>
      <c r="C10">
        <f t="shared" si="0"/>
        <v>2.2213284985085791E-2</v>
      </c>
      <c r="D10">
        <v>1.3843317266994091</v>
      </c>
      <c r="E10">
        <f t="shared" si="1"/>
        <v>1384.331726699409</v>
      </c>
      <c r="F10">
        <f t="shared" si="2"/>
        <v>30.750555159069869</v>
      </c>
      <c r="G10">
        <f t="shared" si="3"/>
        <v>276.7549964316288</v>
      </c>
      <c r="H10">
        <f t="shared" si="4"/>
        <v>0.60417490084389947</v>
      </c>
      <c r="I10">
        <f t="shared" si="5"/>
        <v>167.20842252713308</v>
      </c>
    </row>
    <row r="11" spans="1:9">
      <c r="A11">
        <v>10</v>
      </c>
      <c r="B11" s="1">
        <v>46096</v>
      </c>
      <c r="C11">
        <f t="shared" si="0"/>
        <v>2.2213284985085791E-2</v>
      </c>
      <c r="D11">
        <v>1.4378937788193999</v>
      </c>
      <c r="E11">
        <f t="shared" si="1"/>
        <v>1437.8937788194</v>
      </c>
      <c r="F11">
        <f t="shared" si="2"/>
        <v>31.940344287197249</v>
      </c>
      <c r="G11">
        <f t="shared" si="3"/>
        <v>319.40344287197252</v>
      </c>
      <c r="H11">
        <f t="shared" si="4"/>
        <v>0.57127789739886004</v>
      </c>
      <c r="I11">
        <f t="shared" si="5"/>
        <v>182.46812726585736</v>
      </c>
    </row>
    <row r="12" spans="1:9">
      <c r="A12">
        <v>11</v>
      </c>
      <c r="B12" s="1">
        <v>46280</v>
      </c>
      <c r="C12">
        <f t="shared" si="0"/>
        <v>2.2213284985085791E-2</v>
      </c>
      <c r="D12">
        <v>1.46680560592289</v>
      </c>
      <c r="E12">
        <f t="shared" si="1"/>
        <v>1466.80560592289</v>
      </c>
      <c r="F12">
        <f t="shared" si="2"/>
        <v>32.582570942086598</v>
      </c>
      <c r="G12">
        <f t="shared" si="3"/>
        <v>358.40828036295255</v>
      </c>
      <c r="H12">
        <f t="shared" si="4"/>
        <v>0.54017211837269541</v>
      </c>
      <c r="I12">
        <f t="shared" si="5"/>
        <v>193.602160045971</v>
      </c>
    </row>
    <row r="13" spans="1:9">
      <c r="A13">
        <v>12</v>
      </c>
      <c r="B13" s="1">
        <v>46461</v>
      </c>
      <c r="C13">
        <f t="shared" si="0"/>
        <v>2.2213284985085791E-2</v>
      </c>
      <c r="D13">
        <v>1.5238737721100382</v>
      </c>
      <c r="E13">
        <f t="shared" si="1"/>
        <v>1523.8737721100381</v>
      </c>
      <c r="F13">
        <f t="shared" si="2"/>
        <v>33.850242381177956</v>
      </c>
      <c r="G13">
        <f t="shared" si="3"/>
        <v>406.20290857413545</v>
      </c>
      <c r="H13">
        <f t="shared" si="4"/>
        <v>0.51076003254423752</v>
      </c>
      <c r="I13">
        <f t="shared" si="5"/>
        <v>207.47221080288935</v>
      </c>
    </row>
    <row r="14" spans="1:9">
      <c r="A14">
        <v>13</v>
      </c>
      <c r="B14" s="1">
        <v>46645</v>
      </c>
      <c r="C14">
        <f t="shared" si="0"/>
        <v>2.2213284985085791E-2</v>
      </c>
      <c r="D14">
        <v>1.5546893085665905</v>
      </c>
      <c r="E14">
        <f t="shared" si="1"/>
        <v>1554.6893085665904</v>
      </c>
      <c r="F14">
        <f t="shared" si="2"/>
        <v>34.53475667445565</v>
      </c>
      <c r="G14">
        <f t="shared" si="3"/>
        <v>448.95183676792345</v>
      </c>
      <c r="H14">
        <f t="shared" si="4"/>
        <v>0.48294941921566853</v>
      </c>
      <c r="I14">
        <f t="shared" si="5"/>
        <v>216.82102882287626</v>
      </c>
    </row>
    <row r="15" spans="1:9">
      <c r="A15">
        <v>14</v>
      </c>
      <c r="B15" s="1">
        <v>46827</v>
      </c>
      <c r="C15">
        <f t="shared" si="0"/>
        <v>2.2213284985085791E-2</v>
      </c>
      <c r="D15">
        <v>1.6155522159000371</v>
      </c>
      <c r="E15">
        <f t="shared" si="1"/>
        <v>1615.552215900037</v>
      </c>
      <c r="F15">
        <f t="shared" si="2"/>
        <v>35.886721780074367</v>
      </c>
      <c r="G15">
        <f t="shared" si="3"/>
        <v>502.41410492104114</v>
      </c>
      <c r="H15">
        <f t="shared" si="4"/>
        <v>0.45665307905733654</v>
      </c>
      <c r="I15">
        <f t="shared" si="5"/>
        <v>229.42894797402917</v>
      </c>
    </row>
    <row r="16" spans="1:9">
      <c r="A16">
        <v>15</v>
      </c>
      <c r="B16" s="1">
        <v>47011</v>
      </c>
      <c r="C16">
        <f t="shared" si="0"/>
        <v>2.2213284985085791E-2</v>
      </c>
      <c r="D16">
        <v>1.6484234483856808</v>
      </c>
      <c r="E16">
        <f t="shared" si="1"/>
        <v>1648.4234483856808</v>
      </c>
      <c r="F16">
        <f t="shared" si="2"/>
        <v>36.616899835088986</v>
      </c>
      <c r="G16">
        <f t="shared" si="3"/>
        <v>549.25349752633474</v>
      </c>
      <c r="H16">
        <f t="shared" si="4"/>
        <v>0.43178856069691807</v>
      </c>
      <c r="I16">
        <f t="shared" si="5"/>
        <v>237.16137715464433</v>
      </c>
    </row>
    <row r="17" spans="1:9">
      <c r="A17">
        <v>16</v>
      </c>
      <c r="B17" s="1">
        <v>47192</v>
      </c>
      <c r="C17">
        <f t="shared" si="0"/>
        <v>2.2213284985085791E-2</v>
      </c>
      <c r="D17">
        <v>1.7133019609549955</v>
      </c>
      <c r="E17">
        <f t="shared" si="1"/>
        <v>1713.3019609549956</v>
      </c>
      <c r="F17">
        <f t="shared" si="2"/>
        <v>38.058064724199646</v>
      </c>
      <c r="G17">
        <f t="shared" si="3"/>
        <v>608.92903558719433</v>
      </c>
      <c r="H17">
        <f t="shared" si="4"/>
        <v>0.40827790219565546</v>
      </c>
      <c r="I17">
        <f t="shared" si="5"/>
        <v>248.61226923556333</v>
      </c>
    </row>
    <row r="18" spans="1:9">
      <c r="A18">
        <v>17</v>
      </c>
      <c r="B18" s="1">
        <v>47376</v>
      </c>
      <c r="C18">
        <f t="shared" si="0"/>
        <v>2.2213284985085791E-2</v>
      </c>
      <c r="D18">
        <v>1.7483468068138746</v>
      </c>
      <c r="E18">
        <f t="shared" si="1"/>
        <v>1748.3468068138745</v>
      </c>
      <c r="F18">
        <f t="shared" si="2"/>
        <v>38.836525872521328</v>
      </c>
      <c r="G18">
        <f t="shared" si="3"/>
        <v>660.22093983286254</v>
      </c>
      <c r="H18">
        <f t="shared" si="4"/>
        <v>0.38604738660107574</v>
      </c>
      <c r="I18">
        <f t="shared" si="5"/>
        <v>254.87656840178266</v>
      </c>
    </row>
    <row r="19" spans="1:9">
      <c r="A19">
        <v>18</v>
      </c>
      <c r="B19" s="1">
        <v>47557</v>
      </c>
      <c r="C19">
        <f t="shared" si="0"/>
        <v>2.2213284985085791E-2</v>
      </c>
      <c r="D19">
        <v>1.8174546493936128</v>
      </c>
      <c r="E19">
        <f t="shared" si="1"/>
        <v>1817.4546493936127</v>
      </c>
      <c r="F19">
        <f t="shared" si="2"/>
        <v>40.3716380744495</v>
      </c>
      <c r="G19">
        <f t="shared" si="3"/>
        <v>726.68948534009098</v>
      </c>
      <c r="H19">
        <f t="shared" si="4"/>
        <v>0.36502731080973577</v>
      </c>
      <c r="I19">
        <f t="shared" si="5"/>
        <v>265.26150862740434</v>
      </c>
    </row>
    <row r="20" spans="1:9">
      <c r="A20">
        <v>19</v>
      </c>
      <c r="B20" s="1">
        <v>47741</v>
      </c>
      <c r="C20">
        <f t="shared" si="0"/>
        <v>2.2213284985085791E-2</v>
      </c>
      <c r="D20">
        <v>1.8547878089166752</v>
      </c>
      <c r="E20">
        <f t="shared" si="1"/>
        <v>1854.7878089166752</v>
      </c>
      <c r="F20">
        <f t="shared" si="2"/>
        <v>41.200930186328954</v>
      </c>
      <c r="G20">
        <f t="shared" si="3"/>
        <v>782.8176735402501</v>
      </c>
      <c r="H20">
        <f t="shared" si="4"/>
        <v>0.34515176701526762</v>
      </c>
      <c r="I20">
        <f t="shared" si="5"/>
        <v>270.19090327319822</v>
      </c>
    </row>
    <row r="21" spans="1:9">
      <c r="A21">
        <v>20</v>
      </c>
      <c r="B21" s="1">
        <v>47922</v>
      </c>
      <c r="C21">
        <f t="shared" si="0"/>
        <v>2.2213284985085791E-2</v>
      </c>
      <c r="D21">
        <v>1.9283606324594678</v>
      </c>
      <c r="E21">
        <f t="shared" si="1"/>
        <v>1928.3606324594678</v>
      </c>
      <c r="F21">
        <f t="shared" si="2"/>
        <v>42.835224282842432</v>
      </c>
      <c r="G21">
        <f t="shared" si="3"/>
        <v>856.70448565684865</v>
      </c>
      <c r="H21">
        <f t="shared" si="4"/>
        <v>0.32635843605646242</v>
      </c>
      <c r="I21">
        <f t="shared" si="5"/>
        <v>279.59273610152519</v>
      </c>
    </row>
    <row r="22" spans="1:9">
      <c r="H22" t="s">
        <v>4</v>
      </c>
      <c r="I22">
        <f>SUM(I2:I21)</f>
        <v>3485.1097547270801</v>
      </c>
    </row>
    <row r="23" spans="1:9">
      <c r="A23" t="s">
        <v>98</v>
      </c>
      <c r="B23" s="8">
        <v>1000</v>
      </c>
      <c r="H23" t="s">
        <v>5</v>
      </c>
      <c r="I23">
        <f>(A21*B25)*H21</f>
        <v>12586.735203246453</v>
      </c>
    </row>
    <row r="24" spans="1:9">
      <c r="A24" t="s">
        <v>79</v>
      </c>
      <c r="B24" s="13">
        <v>4.4920000000000002E-2</v>
      </c>
      <c r="H24" t="s">
        <v>6</v>
      </c>
      <c r="I24">
        <f>SUM(I22:I23)</f>
        <v>16071.844957973533</v>
      </c>
    </row>
    <row r="25" spans="1:9">
      <c r="A25" t="s">
        <v>111</v>
      </c>
      <c r="B25">
        <f>B23*D21</f>
        <v>1928.3606324594678</v>
      </c>
      <c r="H25" t="s">
        <v>89</v>
      </c>
      <c r="I25">
        <f>(I24/B26)/2</f>
        <v>8.114533785891421</v>
      </c>
    </row>
    <row r="26" spans="1:9">
      <c r="A26" t="s">
        <v>90</v>
      </c>
      <c r="B26">
        <v>990.31228299999998</v>
      </c>
      <c r="H26" t="s">
        <v>18</v>
      </c>
      <c r="I26">
        <f>I25/(1+B27)</f>
        <v>7.6727017178321599</v>
      </c>
    </row>
    <row r="27" spans="1:9">
      <c r="A27" t="s">
        <v>101</v>
      </c>
      <c r="B27">
        <v>5.7584940000000001E-2</v>
      </c>
    </row>
    <row r="28" spans="1:9">
      <c r="A28" t="s">
        <v>119</v>
      </c>
      <c r="B28">
        <f>F4/B26</f>
        <v>2.5414308765841078E-2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B7400-2320-47B1-8852-EBC25A69A597}">
  <dimension ref="A1:N32"/>
  <sheetViews>
    <sheetView topLeftCell="A13" workbookViewId="0">
      <selection activeCell="B28" sqref="B28"/>
    </sheetView>
  </sheetViews>
  <sheetFormatPr defaultRowHeight="15"/>
  <cols>
    <col min="2" max="2" width="10.42578125" customWidth="1"/>
    <col min="9" max="9" width="11.5703125" bestFit="1" customWidth="1"/>
    <col min="14" max="14" width="10" bestFit="1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44423</v>
      </c>
      <c r="C2">
        <f>(1+$B$24)^(1/2)-1</f>
        <v>2.3879875766683822E-2</v>
      </c>
      <c r="D2">
        <v>1.0451083464960123</v>
      </c>
      <c r="E2">
        <f>$B$23*D2</f>
        <v>1045.1083464960122</v>
      </c>
      <c r="F2">
        <f>C2*E2</f>
        <v>24.957057477049123</v>
      </c>
      <c r="G2">
        <f>A2*F2</f>
        <v>24.957057477049123</v>
      </c>
      <c r="H2">
        <f>(1+$B$27)^(-A2)</f>
        <v>0.94797358843201474</v>
      </c>
      <c r="I2">
        <f>G2*H2</f>
        <v>23.658631333222303</v>
      </c>
    </row>
    <row r="3" spans="1:9">
      <c r="A3">
        <v>2</v>
      </c>
      <c r="B3" s="1">
        <v>44607</v>
      </c>
      <c r="C3">
        <f t="shared" ref="C3:C21" si="0">(1+$B$24)^(1/2)-1</f>
        <v>2.3879875766683822E-2</v>
      </c>
      <c r="D3">
        <v>1.1054359340003879</v>
      </c>
      <c r="E3">
        <f t="shared" ref="E3:E21" si="1">$B$23*D3</f>
        <v>1105.4359340003878</v>
      </c>
      <c r="F3">
        <f t="shared" ref="F3:F21" si="2">C3*E3</f>
        <v>26.397672771957357</v>
      </c>
      <c r="G3">
        <f t="shared" ref="G3:G21" si="3">A3*F3</f>
        <v>52.795345543914713</v>
      </c>
      <c r="H3">
        <f t="shared" ref="H3:H21" si="4">(1+$B$27)^(-A3)</f>
        <v>0.89865392436467084</v>
      </c>
      <c r="I3">
        <f t="shared" ref="I3:I21" si="5">G3*H3</f>
        <v>47.444744461227792</v>
      </c>
    </row>
    <row r="4" spans="1:9">
      <c r="A4">
        <v>3</v>
      </c>
      <c r="B4" s="1">
        <v>44788</v>
      </c>
      <c r="C4">
        <f t="shared" si="0"/>
        <v>2.3879875766683822E-2</v>
      </c>
      <c r="D4">
        <v>1.1363155844466106</v>
      </c>
      <c r="E4">
        <f t="shared" si="1"/>
        <v>1136.3155844466107</v>
      </c>
      <c r="F4">
        <f t="shared" si="2"/>
        <v>27.135074988331784</v>
      </c>
      <c r="G4">
        <f t="shared" si="3"/>
        <v>81.405224964995355</v>
      </c>
      <c r="H4">
        <f t="shared" si="4"/>
        <v>0.85190018543848922</v>
      </c>
      <c r="I4">
        <f t="shared" si="5"/>
        <v>69.349126243341473</v>
      </c>
    </row>
    <row r="5" spans="1:9">
      <c r="A5">
        <v>4</v>
      </c>
      <c r="B5" s="1">
        <v>44972</v>
      </c>
      <c r="C5">
        <f t="shared" si="0"/>
        <v>2.3879875766683822E-2</v>
      </c>
      <c r="D5">
        <v>1.1876643099030999</v>
      </c>
      <c r="E5">
        <f t="shared" si="1"/>
        <v>1187.6643099030998</v>
      </c>
      <c r="F5">
        <f t="shared" si="2"/>
        <v>28.3612761730103</v>
      </c>
      <c r="G5">
        <f t="shared" si="3"/>
        <v>113.4451046920412</v>
      </c>
      <c r="H5">
        <f t="shared" si="4"/>
        <v>0.80757887577602339</v>
      </c>
      <c r="I5">
        <f t="shared" si="5"/>
        <v>91.615870109491908</v>
      </c>
    </row>
    <row r="6" spans="1:9">
      <c r="A6">
        <v>5</v>
      </c>
      <c r="B6" s="1">
        <v>45153</v>
      </c>
      <c r="C6">
        <f t="shared" si="0"/>
        <v>2.3879875766683822E-2</v>
      </c>
      <c r="D6">
        <v>1.2292966516983419</v>
      </c>
      <c r="E6">
        <f t="shared" si="1"/>
        <v>1229.296651698342</v>
      </c>
      <c r="F6">
        <f t="shared" si="2"/>
        <v>29.355451322956799</v>
      </c>
      <c r="G6">
        <f t="shared" si="3"/>
        <v>146.77725661478399</v>
      </c>
      <c r="H6">
        <f t="shared" si="4"/>
        <v>0.76556344481128913</v>
      </c>
      <c r="I6">
        <f t="shared" si="5"/>
        <v>112.3673021939646</v>
      </c>
    </row>
    <row r="7" spans="1:9">
      <c r="A7">
        <v>6</v>
      </c>
      <c r="B7" s="1">
        <v>45337</v>
      </c>
      <c r="C7">
        <f t="shared" si="0"/>
        <v>2.3879875766683822E-2</v>
      </c>
      <c r="D7">
        <v>1.2707853791513366</v>
      </c>
      <c r="E7">
        <f t="shared" si="1"/>
        <v>1270.7853791513367</v>
      </c>
      <c r="F7">
        <f t="shared" si="2"/>
        <v>30.346196980252117</v>
      </c>
      <c r="G7">
        <f t="shared" si="3"/>
        <v>182.0771818815127</v>
      </c>
      <c r="H7">
        <f t="shared" si="4"/>
        <v>0.72573392595013242</v>
      </c>
      <c r="I7">
        <f t="shared" si="5"/>
        <v>132.13958803280653</v>
      </c>
    </row>
    <row r="8" spans="1:9">
      <c r="A8">
        <v>7</v>
      </c>
      <c r="B8" s="1">
        <v>45519</v>
      </c>
      <c r="C8">
        <f t="shared" si="0"/>
        <v>2.3879875766683822E-2</v>
      </c>
      <c r="D8">
        <v>1.3052618734896475</v>
      </c>
      <c r="E8">
        <f t="shared" si="1"/>
        <v>1305.2618734896475</v>
      </c>
      <c r="F8">
        <f t="shared" si="2"/>
        <v>31.169491381921759</v>
      </c>
      <c r="G8">
        <f t="shared" si="3"/>
        <v>218.1864396734523</v>
      </c>
      <c r="H8">
        <f t="shared" si="4"/>
        <v>0.68797659402980105</v>
      </c>
      <c r="I8">
        <f t="shared" si="5"/>
        <v>150.10716363003036</v>
      </c>
    </row>
    <row r="9" spans="1:9">
      <c r="A9">
        <v>8</v>
      </c>
      <c r="B9" s="1">
        <v>45703</v>
      </c>
      <c r="C9">
        <f t="shared" si="0"/>
        <v>2.3879875766683822E-2</v>
      </c>
      <c r="D9">
        <v>1.3477342789450837</v>
      </c>
      <c r="E9">
        <f t="shared" si="1"/>
        <v>1347.7342789450836</v>
      </c>
      <c r="F9">
        <f t="shared" si="2"/>
        <v>32.183727147709796</v>
      </c>
      <c r="G9">
        <f t="shared" si="3"/>
        <v>257.46981718167837</v>
      </c>
      <c r="H9">
        <f t="shared" si="4"/>
        <v>0.65218364059966583</v>
      </c>
      <c r="I9">
        <f t="shared" si="5"/>
        <v>167.91760271407739</v>
      </c>
    </row>
    <row r="10" spans="1:9">
      <c r="A10">
        <v>9</v>
      </c>
      <c r="B10" s="1">
        <v>45884</v>
      </c>
      <c r="C10">
        <f t="shared" si="0"/>
        <v>2.3879875766683822E-2</v>
      </c>
      <c r="D10">
        <v>1.383188413311784</v>
      </c>
      <c r="E10">
        <f t="shared" si="1"/>
        <v>1383.188413311784</v>
      </c>
      <c r="F10">
        <f t="shared" si="2"/>
        <v>33.030367471801917</v>
      </c>
      <c r="G10">
        <f t="shared" si="3"/>
        <v>297.27330724621726</v>
      </c>
      <c r="H10">
        <f t="shared" si="4"/>
        <v>0.61825286609592067</v>
      </c>
      <c r="I10">
        <f t="shared" si="5"/>
        <v>183.79007421878705</v>
      </c>
    </row>
    <row r="11" spans="1:9">
      <c r="A11">
        <v>10</v>
      </c>
      <c r="B11" s="1">
        <v>46068</v>
      </c>
      <c r="C11">
        <f t="shared" si="0"/>
        <v>2.3879875766683822E-2</v>
      </c>
      <c r="D11">
        <v>1.4280671875887831</v>
      </c>
      <c r="E11">
        <f t="shared" si="1"/>
        <v>1428.0671875887831</v>
      </c>
      <c r="F11">
        <f t="shared" si="2"/>
        <v>34.1020670260977</v>
      </c>
      <c r="G11">
        <f t="shared" si="3"/>
        <v>341.020670260977</v>
      </c>
      <c r="H11">
        <f t="shared" si="4"/>
        <v>0.58608738803132776</v>
      </c>
      <c r="I11">
        <f t="shared" si="5"/>
        <v>199.86791389794871</v>
      </c>
    </row>
    <row r="12" spans="1:9">
      <c r="A12">
        <v>11</v>
      </c>
      <c r="B12" s="1">
        <v>46249</v>
      </c>
      <c r="C12">
        <f t="shared" si="0"/>
        <v>2.3879875766683822E-2</v>
      </c>
      <c r="D12">
        <v>1.4655954269653104</v>
      </c>
      <c r="E12">
        <f t="shared" si="1"/>
        <v>1465.5954269653105</v>
      </c>
      <c r="F12">
        <f t="shared" si="2"/>
        <v>34.998236720151546</v>
      </c>
      <c r="G12">
        <f t="shared" si="3"/>
        <v>384.98060392166701</v>
      </c>
      <c r="H12">
        <f t="shared" si="4"/>
        <v>0.55559536436680446</v>
      </c>
      <c r="I12">
        <f t="shared" si="5"/>
        <v>213.89343891001101</v>
      </c>
    </row>
    <row r="13" spans="1:9">
      <c r="A13">
        <v>12</v>
      </c>
      <c r="B13" s="1">
        <v>46433</v>
      </c>
      <c r="C13">
        <f t="shared" si="0"/>
        <v>2.3879875766683822E-2</v>
      </c>
      <c r="D13">
        <v>1.5134010013183323</v>
      </c>
      <c r="E13">
        <f t="shared" si="1"/>
        <v>1513.4010013183324</v>
      </c>
      <c r="F13">
        <f t="shared" si="2"/>
        <v>36.139827896656676</v>
      </c>
      <c r="G13">
        <f t="shared" si="3"/>
        <v>433.67793475988015</v>
      </c>
      <c r="H13">
        <f t="shared" si="4"/>
        <v>0.5266897312749923</v>
      </c>
      <c r="I13">
        <f t="shared" si="5"/>
        <v>228.41371491857493</v>
      </c>
    </row>
    <row r="14" spans="1:9">
      <c r="A14">
        <v>13</v>
      </c>
      <c r="B14" s="1">
        <v>46614</v>
      </c>
      <c r="C14">
        <f t="shared" si="0"/>
        <v>2.3879875766683822E-2</v>
      </c>
      <c r="D14">
        <v>1.5533993613197012</v>
      </c>
      <c r="E14">
        <f t="shared" si="1"/>
        <v>1553.3993613197013</v>
      </c>
      <c r="F14">
        <f t="shared" si="2"/>
        <v>37.094983764360464</v>
      </c>
      <c r="G14">
        <f t="shared" si="3"/>
        <v>482.23478893668602</v>
      </c>
      <c r="H14">
        <f t="shared" si="4"/>
        <v>0.49928795454704789</v>
      </c>
      <c r="I14">
        <f t="shared" si="5"/>
        <v>240.77402137962531</v>
      </c>
    </row>
    <row r="15" spans="1:9">
      <c r="A15">
        <v>14</v>
      </c>
      <c r="B15" s="1">
        <v>46798</v>
      </c>
      <c r="C15">
        <f t="shared" si="0"/>
        <v>2.3879875766683822E-2</v>
      </c>
      <c r="D15">
        <v>1.6043818026454337</v>
      </c>
      <c r="E15">
        <f t="shared" si="1"/>
        <v>1604.3818026454337</v>
      </c>
      <c r="F15">
        <f t="shared" si="2"/>
        <v>38.312438129501196</v>
      </c>
      <c r="G15">
        <f t="shared" si="3"/>
        <v>536.37413381301678</v>
      </c>
      <c r="H15">
        <f t="shared" si="4"/>
        <v>0.47331179393284567</v>
      </c>
      <c r="I15">
        <f t="shared" si="5"/>
        <v>253.8722034942152</v>
      </c>
    </row>
    <row r="16" spans="1:9">
      <c r="A16">
        <v>15</v>
      </c>
      <c r="B16" s="1">
        <v>46980</v>
      </c>
      <c r="C16">
        <f t="shared" si="0"/>
        <v>2.3879875766683822E-2</v>
      </c>
      <c r="D16">
        <v>1.6470473520319255</v>
      </c>
      <c r="E16">
        <f t="shared" si="1"/>
        <v>1647.0473520319256</v>
      </c>
      <c r="F16">
        <f t="shared" si="2"/>
        <v>39.331286148367937</v>
      </c>
      <c r="G16">
        <f t="shared" si="3"/>
        <v>589.9692922255191</v>
      </c>
      <c r="H16">
        <f t="shared" si="4"/>
        <v>0.44868707974171401</v>
      </c>
      <c r="I16">
        <f t="shared" si="5"/>
        <v>264.71159886595404</v>
      </c>
    </row>
    <row r="17" spans="1:14">
      <c r="A17">
        <v>16</v>
      </c>
      <c r="B17" s="1">
        <v>47164</v>
      </c>
      <c r="C17">
        <f t="shared" si="0"/>
        <v>2.3879875766683822E-2</v>
      </c>
      <c r="D17">
        <v>1.7013938169320324</v>
      </c>
      <c r="E17">
        <f t="shared" si="1"/>
        <v>1701.3938169320325</v>
      </c>
      <c r="F17">
        <f t="shared" si="2"/>
        <v>40.629072978540933</v>
      </c>
      <c r="G17">
        <f t="shared" si="3"/>
        <v>650.06516765665492</v>
      </c>
      <c r="H17">
        <f t="shared" si="4"/>
        <v>0.42534350106583407</v>
      </c>
      <c r="I17">
        <f t="shared" si="5"/>
        <v>276.50099433203002</v>
      </c>
    </row>
    <row r="18" spans="1:14">
      <c r="A18">
        <v>17</v>
      </c>
      <c r="B18" s="1">
        <v>47345</v>
      </c>
      <c r="C18">
        <f t="shared" si="0"/>
        <v>2.3879875766683822E-2</v>
      </c>
      <c r="D18">
        <v>1.7468796266247184</v>
      </c>
      <c r="E18">
        <f t="shared" si="1"/>
        <v>1746.8796266247184</v>
      </c>
      <c r="F18">
        <f t="shared" si="2"/>
        <v>41.7152684631493</v>
      </c>
      <c r="G18">
        <f t="shared" si="3"/>
        <v>709.1595638735381</v>
      </c>
      <c r="H18">
        <f t="shared" si="4"/>
        <v>0.40321440502161526</v>
      </c>
      <c r="I18">
        <f t="shared" si="5"/>
        <v>285.94335161265684</v>
      </c>
    </row>
    <row r="19" spans="1:14">
      <c r="A19">
        <v>18</v>
      </c>
      <c r="B19" s="1">
        <v>47529</v>
      </c>
      <c r="C19">
        <f t="shared" si="0"/>
        <v>2.3879875766683822E-2</v>
      </c>
      <c r="D19">
        <v>1.8047697270031444</v>
      </c>
      <c r="E19">
        <f t="shared" si="1"/>
        <v>1804.7697270031445</v>
      </c>
      <c r="F19">
        <f t="shared" si="2"/>
        <v>43.097676868306969</v>
      </c>
      <c r="G19">
        <f t="shared" si="3"/>
        <v>775.75818362952543</v>
      </c>
      <c r="H19">
        <f t="shared" si="4"/>
        <v>0.38223660643582036</v>
      </c>
      <c r="I19">
        <f t="shared" si="5"/>
        <v>296.52317552536579</v>
      </c>
    </row>
    <row r="20" spans="1:14">
      <c r="A20">
        <v>19</v>
      </c>
      <c r="B20" s="1">
        <v>47710</v>
      </c>
      <c r="C20">
        <f t="shared" si="0"/>
        <v>2.3879875766683822E-2</v>
      </c>
      <c r="D20">
        <v>1.8532247499774324</v>
      </c>
      <c r="E20">
        <f t="shared" si="1"/>
        <v>1853.2247499774323</v>
      </c>
      <c r="F20">
        <f t="shared" si="2"/>
        <v>44.254776797204769</v>
      </c>
      <c r="G20">
        <f t="shared" si="3"/>
        <v>840.8407591468906</v>
      </c>
      <c r="H20">
        <f t="shared" si="4"/>
        <v>0.36235020743304031</v>
      </c>
      <c r="I20">
        <f t="shared" si="5"/>
        <v>304.67882349503088</v>
      </c>
    </row>
    <row r="21" spans="1:14">
      <c r="A21">
        <v>20</v>
      </c>
      <c r="B21" s="1">
        <v>47894</v>
      </c>
      <c r="C21">
        <f t="shared" si="0"/>
        <v>2.3879875766683822E-2</v>
      </c>
      <c r="D21">
        <v>1.9148556816949076</v>
      </c>
      <c r="E21">
        <f t="shared" si="1"/>
        <v>1914.8556816949076</v>
      </c>
      <c r="F21">
        <f t="shared" si="2"/>
        <v>45.726515790003056</v>
      </c>
      <c r="G21">
        <f t="shared" si="3"/>
        <v>914.53031580006109</v>
      </c>
      <c r="H21">
        <f t="shared" si="4"/>
        <v>0.34349842640938411</v>
      </c>
      <c r="I21">
        <f t="shared" si="5"/>
        <v>314.13972438099808</v>
      </c>
    </row>
    <row r="22" spans="1:14">
      <c r="H22" t="s">
        <v>4</v>
      </c>
      <c r="I22">
        <f>SUM(I2:I21)</f>
        <v>3857.7090637493598</v>
      </c>
    </row>
    <row r="23" spans="1:14">
      <c r="A23" t="s">
        <v>98</v>
      </c>
      <c r="B23" s="8">
        <v>1000</v>
      </c>
      <c r="H23" t="s">
        <v>5</v>
      </c>
      <c r="I23" s="11">
        <f>(A21*B25)*H21</f>
        <v>13154.998269265385</v>
      </c>
    </row>
    <row r="24" spans="1:14">
      <c r="A24" t="s">
        <v>79</v>
      </c>
      <c r="B24" s="12">
        <v>4.8329999999999998E-2</v>
      </c>
      <c r="H24" t="s">
        <v>6</v>
      </c>
      <c r="I24">
        <f>SUM(I22:I23)</f>
        <v>17012.707333014743</v>
      </c>
    </row>
    <row r="25" spans="1:14">
      <c r="A25" t="s">
        <v>111</v>
      </c>
      <c r="B25">
        <f>B23*D21</f>
        <v>1914.8556816949076</v>
      </c>
      <c r="H25" t="s">
        <v>89</v>
      </c>
      <c r="I25">
        <f>(I24/B26)/2</f>
        <v>8.0743638097579851</v>
      </c>
    </row>
    <row r="26" spans="1:14">
      <c r="A26" t="s">
        <v>90</v>
      </c>
      <c r="B26">
        <v>1053.501411</v>
      </c>
      <c r="H26" t="s">
        <v>18</v>
      </c>
      <c r="I26">
        <f>I25/(1+B27)</f>
        <v>7.654283635041871</v>
      </c>
    </row>
    <row r="27" spans="1:14">
      <c r="A27" t="s">
        <v>101</v>
      </c>
      <c r="B27">
        <v>5.488171E-2</v>
      </c>
    </row>
    <row r="28" spans="1:14">
      <c r="A28" t="s">
        <v>119</v>
      </c>
      <c r="B28">
        <f>F4/B26</f>
        <v>2.5757037157240016E-2</v>
      </c>
    </row>
    <row r="32" spans="1:14" ht="18">
      <c r="N32" s="16"/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91D1D-7FE1-458C-90BC-085971C9C9BC}">
  <dimension ref="A1:L23"/>
  <sheetViews>
    <sheetView topLeftCell="A7" workbookViewId="0">
      <selection activeCell="B19" sqref="B19"/>
    </sheetView>
  </sheetViews>
  <sheetFormatPr defaultRowHeight="15"/>
  <cols>
    <col min="2" max="2" width="10.7109375" bestFit="1" customWidth="1"/>
    <col min="4" max="4" width="10.7109375" bestFit="1" customWidth="1"/>
    <col min="6" max="6" width="10.5703125" bestFit="1" customWidth="1"/>
  </cols>
  <sheetData>
    <row r="1" spans="1:10">
      <c r="A1" t="s">
        <v>96</v>
      </c>
      <c r="B1" t="s">
        <v>0</v>
      </c>
      <c r="C1" t="s">
        <v>121</v>
      </c>
      <c r="D1" t="s">
        <v>141</v>
      </c>
      <c r="E1" t="s">
        <v>116</v>
      </c>
      <c r="F1" t="s">
        <v>142</v>
      </c>
      <c r="G1" t="s">
        <v>107</v>
      </c>
      <c r="H1" t="s">
        <v>12</v>
      </c>
      <c r="I1" t="s">
        <v>3</v>
      </c>
      <c r="J1" t="s">
        <v>102</v>
      </c>
    </row>
    <row r="2" spans="1:10">
      <c r="A2">
        <v>0</v>
      </c>
      <c r="B2" s="1">
        <v>44306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</v>
      </c>
      <c r="B3" s="1">
        <v>44481</v>
      </c>
      <c r="C3">
        <v>6.1499999999999999E-2</v>
      </c>
      <c r="D3" s="15">
        <f>(1+C3)^(NETWORKDAYS.INTL(B2,B3)/252)-1</f>
        <v>3.0291220966188748E-2</v>
      </c>
      <c r="E3">
        <f>2.15/100</f>
        <v>2.1499999999999998E-2</v>
      </c>
      <c r="F3" s="15">
        <f>D3+E3</f>
        <v>5.1791220966188746E-2</v>
      </c>
      <c r="G3">
        <f>$B$16*F3</f>
        <v>51.791220966188746</v>
      </c>
      <c r="H3">
        <f>A3*G3</f>
        <v>51.791220966188746</v>
      </c>
      <c r="I3">
        <f>(1+$B$18)^(-A3)</f>
        <v>0.92716519381067164</v>
      </c>
      <c r="J3">
        <f>H3*I3</f>
        <v>48.019017424807707</v>
      </c>
    </row>
    <row r="4" spans="1:10">
      <c r="A4">
        <v>2</v>
      </c>
      <c r="B4" s="1">
        <v>44663</v>
      </c>
      <c r="C4">
        <v>0.11650000000000001</v>
      </c>
      <c r="D4" s="15">
        <f t="shared" ref="D4:D14" si="0">(1+C4)^(NETWORKDAYS.INTL(B3,B4)/252)-1</f>
        <v>5.8958502313748662E-2</v>
      </c>
      <c r="E4">
        <f t="shared" ref="E4:E14" si="1">2.15/100</f>
        <v>2.1499999999999998E-2</v>
      </c>
      <c r="F4" s="15">
        <f t="shared" ref="F4:F14" si="2">D4+E4</f>
        <v>8.0458502313748653E-2</v>
      </c>
      <c r="G4">
        <f t="shared" ref="G4:G14" si="3">$B$16*F4</f>
        <v>80.458502313748653</v>
      </c>
      <c r="H4">
        <f t="shared" ref="H4:H14" si="4">A4*G4</f>
        <v>160.91700462749731</v>
      </c>
      <c r="I4">
        <f t="shared" ref="I4:I14" si="5">(1+$B$18)^(-A4)</f>
        <v>0.85963529661398042</v>
      </c>
      <c r="J4">
        <f t="shared" ref="J4:J14" si="6">H4*I4</f>
        <v>138.3299370031919</v>
      </c>
    </row>
    <row r="5" spans="1:10">
      <c r="A5">
        <v>3</v>
      </c>
      <c r="B5" s="1">
        <v>44846</v>
      </c>
      <c r="C5">
        <v>0.13650000000000001</v>
      </c>
      <c r="D5" s="15">
        <f t="shared" si="0"/>
        <v>6.9320276311037654E-2</v>
      </c>
      <c r="E5">
        <f t="shared" si="1"/>
        <v>2.1499999999999998E-2</v>
      </c>
      <c r="F5" s="15">
        <f t="shared" si="2"/>
        <v>9.0820276311037645E-2</v>
      </c>
      <c r="G5">
        <f t="shared" si="3"/>
        <v>90.820276311037645</v>
      </c>
      <c r="H5">
        <f t="shared" si="4"/>
        <v>272.46082893311291</v>
      </c>
      <c r="I5">
        <f t="shared" si="5"/>
        <v>0.79702392639159536</v>
      </c>
      <c r="J5">
        <f t="shared" si="6"/>
        <v>217.15779966417844</v>
      </c>
    </row>
    <row r="6" spans="1:10">
      <c r="A6">
        <v>4</v>
      </c>
      <c r="B6" s="1">
        <v>45028</v>
      </c>
      <c r="C6">
        <v>0.13700000000000001</v>
      </c>
      <c r="D6" s="15">
        <f t="shared" si="0"/>
        <v>6.9021871708573102E-2</v>
      </c>
      <c r="E6">
        <f t="shared" si="1"/>
        <v>2.1499999999999998E-2</v>
      </c>
      <c r="F6" s="15">
        <f t="shared" si="2"/>
        <v>9.0521871708573093E-2</v>
      </c>
      <c r="G6">
        <f t="shared" si="3"/>
        <v>90.521871708573087</v>
      </c>
      <c r="H6">
        <f t="shared" si="4"/>
        <v>362.08748683429235</v>
      </c>
      <c r="I6">
        <f t="shared" si="5"/>
        <v>0.7389728431846061</v>
      </c>
      <c r="J6">
        <f t="shared" si="6"/>
        <v>267.57281962750562</v>
      </c>
    </row>
    <row r="7" spans="1:10">
      <c r="A7">
        <v>5</v>
      </c>
      <c r="B7" s="1">
        <v>45211</v>
      </c>
      <c r="C7">
        <v>0.13305</v>
      </c>
      <c r="D7" s="15">
        <f t="shared" si="0"/>
        <v>6.7618724809447084E-2</v>
      </c>
      <c r="E7">
        <f t="shared" si="1"/>
        <v>2.1499999999999998E-2</v>
      </c>
      <c r="F7" s="15">
        <f t="shared" si="2"/>
        <v>8.9118724809447075E-2</v>
      </c>
      <c r="G7">
        <f t="shared" si="3"/>
        <v>89.118724809447073</v>
      </c>
      <c r="H7">
        <f t="shared" si="4"/>
        <v>445.59362404723538</v>
      </c>
      <c r="I7">
        <f t="shared" si="5"/>
        <v>0.68514989937207837</v>
      </c>
      <c r="J7">
        <f t="shared" si="6"/>
        <v>305.29842667680305</v>
      </c>
    </row>
    <row r="8" spans="1:10">
      <c r="A8">
        <v>6</v>
      </c>
      <c r="B8" s="1">
        <v>45394</v>
      </c>
      <c r="C8">
        <v>0.12570000000000001</v>
      </c>
      <c r="D8" s="15">
        <f t="shared" si="0"/>
        <v>6.3985433375099987E-2</v>
      </c>
      <c r="E8">
        <f t="shared" si="1"/>
        <v>2.1499999999999998E-2</v>
      </c>
      <c r="F8" s="15">
        <f t="shared" si="2"/>
        <v>8.5485433375099978E-2</v>
      </c>
      <c r="G8">
        <f t="shared" si="3"/>
        <v>85.485433375099973</v>
      </c>
      <c r="H8">
        <f t="shared" si="4"/>
        <v>512.91260025059978</v>
      </c>
      <c r="I8">
        <f t="shared" si="5"/>
        <v>0.63524713924067522</v>
      </c>
      <c r="J8">
        <f t="shared" si="6"/>
        <v>325.82626198968956</v>
      </c>
    </row>
    <row r="9" spans="1:10">
      <c r="A9">
        <v>7</v>
      </c>
      <c r="B9" s="1">
        <v>45577</v>
      </c>
      <c r="C9">
        <v>0.11924999999999999</v>
      </c>
      <c r="D9" s="15">
        <f t="shared" si="0"/>
        <v>6.0313589030297932E-2</v>
      </c>
      <c r="E9">
        <f t="shared" si="1"/>
        <v>2.1499999999999998E-2</v>
      </c>
      <c r="F9" s="15">
        <f t="shared" si="2"/>
        <v>8.1813589030297923E-2</v>
      </c>
      <c r="G9">
        <f t="shared" si="3"/>
        <v>81.813589030297919</v>
      </c>
      <c r="H9">
        <f t="shared" si="4"/>
        <v>572.69512321208549</v>
      </c>
      <c r="I9">
        <f t="shared" si="5"/>
        <v>0.58897903697175547</v>
      </c>
      <c r="J9">
        <f t="shared" si="6"/>
        <v>337.30542214787494</v>
      </c>
    </row>
    <row r="10" spans="1:10">
      <c r="A10">
        <v>8</v>
      </c>
      <c r="B10" s="1">
        <v>45759</v>
      </c>
      <c r="C10">
        <v>0.11595</v>
      </c>
      <c r="D10" s="15">
        <f t="shared" si="0"/>
        <v>5.8226502516244949E-2</v>
      </c>
      <c r="E10">
        <f t="shared" si="1"/>
        <v>2.1499999999999998E-2</v>
      </c>
      <c r="F10" s="15">
        <f t="shared" si="2"/>
        <v>7.972650251624494E-2</v>
      </c>
      <c r="G10">
        <f t="shared" si="3"/>
        <v>79.726502516244935</v>
      </c>
      <c r="H10">
        <f t="shared" si="4"/>
        <v>637.81202012995948</v>
      </c>
      <c r="I10">
        <f t="shared" si="5"/>
        <v>0.54608086296434044</v>
      </c>
      <c r="J10">
        <f t="shared" si="6"/>
        <v>348.29693836159754</v>
      </c>
    </row>
    <row r="11" spans="1:10">
      <c r="A11">
        <v>9</v>
      </c>
      <c r="B11" s="1">
        <v>45942</v>
      </c>
      <c r="C11">
        <v>0.11544</v>
      </c>
      <c r="D11" s="15">
        <f t="shared" si="0"/>
        <v>5.797698850549704E-2</v>
      </c>
      <c r="E11">
        <f t="shared" si="1"/>
        <v>2.1499999999999998E-2</v>
      </c>
      <c r="F11" s="15">
        <f t="shared" si="2"/>
        <v>7.9476988505497032E-2</v>
      </c>
      <c r="G11">
        <f t="shared" si="3"/>
        <v>79.476988505497033</v>
      </c>
      <c r="H11">
        <f t="shared" si="4"/>
        <v>715.29289654947331</v>
      </c>
      <c r="I11">
        <f t="shared" si="5"/>
        <v>0.50630716914663143</v>
      </c>
      <c r="J11">
        <f t="shared" si="6"/>
        <v>362.15792156265815</v>
      </c>
    </row>
    <row r="12" spans="1:10">
      <c r="A12">
        <v>10</v>
      </c>
      <c r="B12" s="1">
        <v>46124</v>
      </c>
      <c r="C12">
        <v>0.11496000000000001</v>
      </c>
      <c r="D12" s="15">
        <f t="shared" si="0"/>
        <v>5.7742101331899942E-2</v>
      </c>
      <c r="E12">
        <f t="shared" si="1"/>
        <v>2.1499999999999998E-2</v>
      </c>
      <c r="F12" s="15">
        <f t="shared" si="2"/>
        <v>7.9242101331899933E-2</v>
      </c>
      <c r="G12">
        <f t="shared" si="3"/>
        <v>79.242101331899931</v>
      </c>
      <c r="H12">
        <f t="shared" si="4"/>
        <v>792.42101331899926</v>
      </c>
      <c r="I12">
        <f t="shared" si="5"/>
        <v>0.4694303846095691</v>
      </c>
      <c r="J12">
        <f t="shared" si="6"/>
        <v>371.98650105504231</v>
      </c>
    </row>
    <row r="13" spans="1:10">
      <c r="A13">
        <v>11</v>
      </c>
      <c r="B13" s="1">
        <v>46307</v>
      </c>
      <c r="C13">
        <v>0.11491999999999999</v>
      </c>
      <c r="D13" s="15">
        <f t="shared" si="0"/>
        <v>5.8179218450219006E-2</v>
      </c>
      <c r="E13">
        <f t="shared" si="1"/>
        <v>2.1499999999999998E-2</v>
      </c>
      <c r="F13" s="15">
        <f t="shared" si="2"/>
        <v>7.9679218450218997E-2</v>
      </c>
      <c r="G13">
        <f t="shared" si="3"/>
        <v>79.679218450218997</v>
      </c>
      <c r="H13">
        <f t="shared" si="4"/>
        <v>876.47140295240899</v>
      </c>
      <c r="I13">
        <f t="shared" si="5"/>
        <v>0.43523951352714935</v>
      </c>
      <c r="J13">
        <f t="shared" si="6"/>
        <v>381.4749870414646</v>
      </c>
    </row>
    <row r="14" spans="1:10">
      <c r="A14">
        <v>12</v>
      </c>
      <c r="B14" s="1">
        <v>46489</v>
      </c>
      <c r="C14">
        <v>0.11484</v>
      </c>
      <c r="D14" s="15">
        <f t="shared" si="0"/>
        <v>5.8139746939789294E-2</v>
      </c>
      <c r="E14">
        <f t="shared" si="1"/>
        <v>2.1499999999999998E-2</v>
      </c>
      <c r="F14" s="15">
        <f t="shared" si="2"/>
        <v>7.9639746939789285E-2</v>
      </c>
      <c r="G14">
        <f t="shared" si="3"/>
        <v>79.639746939789291</v>
      </c>
      <c r="H14">
        <f t="shared" si="4"/>
        <v>955.67696327747149</v>
      </c>
      <c r="I14">
        <f t="shared" si="5"/>
        <v>0.40353892791346191</v>
      </c>
      <c r="J14">
        <f t="shared" si="6"/>
        <v>385.65285719258372</v>
      </c>
    </row>
    <row r="15" spans="1:10">
      <c r="I15" t="s">
        <v>4</v>
      </c>
      <c r="J15">
        <f>SUM(J3:J14)</f>
        <v>3489.0788897473976</v>
      </c>
    </row>
    <row r="16" spans="1:10">
      <c r="A16" t="s">
        <v>98</v>
      </c>
      <c r="B16" s="8">
        <v>1000</v>
      </c>
      <c r="I16" t="s">
        <v>5</v>
      </c>
      <c r="J16">
        <f>(A14*B16)*I14</f>
        <v>4842.4671349615428</v>
      </c>
    </row>
    <row r="17" spans="1:12">
      <c r="A17" t="s">
        <v>90</v>
      </c>
      <c r="B17">
        <v>1012.493158</v>
      </c>
      <c r="I17" t="s">
        <v>6</v>
      </c>
      <c r="J17">
        <f>SUM(J15:J16)</f>
        <v>8331.5460247089395</v>
      </c>
    </row>
    <row r="18" spans="1:12">
      <c r="A18" t="s">
        <v>101</v>
      </c>
      <c r="B18">
        <v>7.855645E-2</v>
      </c>
      <c r="I18" t="s">
        <v>89</v>
      </c>
      <c r="J18">
        <f>(J17/B17)/2</f>
        <v>4.1143715188981753</v>
      </c>
    </row>
    <row r="19" spans="1:12">
      <c r="A19" t="s">
        <v>119</v>
      </c>
      <c r="B19">
        <f>G5/B17</f>
        <v>8.9699644480005114E-2</v>
      </c>
      <c r="I19" t="s">
        <v>18</v>
      </c>
      <c r="J19">
        <f>J18/(1+B18)</f>
        <v>3.8147020667283345</v>
      </c>
    </row>
    <row r="20" spans="1:12">
      <c r="A20" t="s">
        <v>19</v>
      </c>
      <c r="B20" t="s">
        <v>156</v>
      </c>
    </row>
    <row r="23" spans="1:12">
      <c r="L23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F0CEF-D279-4E8F-B914-3EC431624791}">
  <dimension ref="A1:M19"/>
  <sheetViews>
    <sheetView workbookViewId="0">
      <selection activeCell="B17" sqref="B17"/>
    </sheetView>
  </sheetViews>
  <sheetFormatPr defaultRowHeight="15"/>
  <cols>
    <col min="2" max="2" width="11" customWidth="1"/>
    <col min="4" max="4" width="10.7109375" bestFit="1" customWidth="1"/>
    <col min="6" max="6" width="9.5703125" bestFit="1" customWidth="1"/>
  </cols>
  <sheetData>
    <row r="1" spans="1:10">
      <c r="A1" t="s">
        <v>96</v>
      </c>
      <c r="B1" t="s">
        <v>0</v>
      </c>
      <c r="C1" t="s">
        <v>121</v>
      </c>
      <c r="D1" t="s">
        <v>141</v>
      </c>
      <c r="E1" t="s">
        <v>116</v>
      </c>
      <c r="F1" t="s">
        <v>142</v>
      </c>
      <c r="G1" t="s">
        <v>107</v>
      </c>
      <c r="H1" t="s">
        <v>12</v>
      </c>
      <c r="I1" t="s">
        <v>3</v>
      </c>
      <c r="J1" t="s">
        <v>102</v>
      </c>
    </row>
    <row r="2" spans="1:10">
      <c r="A2">
        <v>0</v>
      </c>
      <c r="B2" s="1">
        <v>44293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</v>
      </c>
      <c r="B3" s="1">
        <v>44454</v>
      </c>
      <c r="C3">
        <v>5.1499999999999997E-2</v>
      </c>
      <c r="D3" s="14">
        <f>(1+C3)^(NETWORKDAYS.INTL(B2,B3)/252)-1</f>
        <v>2.3385339057904631E-2</v>
      </c>
      <c r="E3">
        <f>2.1/100</f>
        <v>2.1000000000000001E-2</v>
      </c>
      <c r="F3" s="14">
        <f>D3+E3</f>
        <v>4.4385339057904635E-2</v>
      </c>
      <c r="G3">
        <f>$B$14*F3</f>
        <v>44.385339057904638</v>
      </c>
      <c r="H3">
        <f>A3*G3</f>
        <v>44.385339057904638</v>
      </c>
      <c r="I3">
        <f>(1+$B$16)^(-A3)</f>
        <v>0.93133074003046989</v>
      </c>
      <c r="J3">
        <f>H3*I3</f>
        <v>41.337430671301647</v>
      </c>
    </row>
    <row r="4" spans="1:10">
      <c r="A4">
        <v>2</v>
      </c>
      <c r="B4" s="1">
        <v>44635</v>
      </c>
      <c r="C4">
        <v>0.1065</v>
      </c>
      <c r="D4" s="14">
        <f t="shared" ref="D4:D12" si="0">(1+C4)^(NETWORKDAYS.INTL(B3,B4)/252)-1</f>
        <v>5.3594150284956621E-2</v>
      </c>
      <c r="E4">
        <f t="shared" ref="E4:E12" si="1">2.1/100</f>
        <v>2.1000000000000001E-2</v>
      </c>
      <c r="F4" s="14">
        <f t="shared" ref="F4:F12" si="2">D4+E4</f>
        <v>7.4594150284956626E-2</v>
      </c>
      <c r="G4">
        <f t="shared" ref="G4:G12" si="3">$B$14*F4</f>
        <v>74.594150284956626</v>
      </c>
      <c r="H4">
        <f t="shared" ref="H4:H12" si="4">A4*G4</f>
        <v>149.18830056991325</v>
      </c>
      <c r="I4">
        <f t="shared" ref="I4:I12" si="5">(1+$B$16)^(-A4)</f>
        <v>0.8673769473257027</v>
      </c>
      <c r="J4">
        <f t="shared" ref="J4:J12" si="6">H4*I4</f>
        <v>129.40249272504076</v>
      </c>
    </row>
    <row r="5" spans="1:10">
      <c r="A5">
        <v>3</v>
      </c>
      <c r="B5" s="1">
        <v>44819</v>
      </c>
      <c r="C5">
        <v>0.13650000000000001</v>
      </c>
      <c r="D5" s="14">
        <f t="shared" si="0"/>
        <v>6.9863363092107056E-2</v>
      </c>
      <c r="E5">
        <f t="shared" si="1"/>
        <v>2.1000000000000001E-2</v>
      </c>
      <c r="F5" s="14">
        <f t="shared" si="2"/>
        <v>9.0863363092107061E-2</v>
      </c>
      <c r="G5">
        <f t="shared" si="3"/>
        <v>90.863363092107065</v>
      </c>
      <c r="H5">
        <f t="shared" si="4"/>
        <v>272.59008927632118</v>
      </c>
      <c r="I5">
        <f t="shared" si="5"/>
        <v>0.80781481423821666</v>
      </c>
      <c r="J5">
        <f t="shared" si="6"/>
        <v>220.2023123319303</v>
      </c>
    </row>
    <row r="6" spans="1:10">
      <c r="A6">
        <v>4</v>
      </c>
      <c r="B6" s="1">
        <v>45000</v>
      </c>
      <c r="C6">
        <v>0.13705000000000001</v>
      </c>
      <c r="D6" s="14">
        <f t="shared" si="0"/>
        <v>6.850158603241141E-2</v>
      </c>
      <c r="E6">
        <f t="shared" si="1"/>
        <v>2.1000000000000001E-2</v>
      </c>
      <c r="F6" s="14">
        <f t="shared" si="2"/>
        <v>8.9501586032411415E-2</v>
      </c>
      <c r="G6">
        <f t="shared" si="3"/>
        <v>89.50158603241141</v>
      </c>
      <c r="H6">
        <f t="shared" si="4"/>
        <v>358.00634412964564</v>
      </c>
      <c r="I6">
        <f t="shared" si="5"/>
        <v>0.75234276875205486</v>
      </c>
      <c r="J6">
        <f t="shared" si="6"/>
        <v>269.34348417329858</v>
      </c>
    </row>
    <row r="7" spans="1:10">
      <c r="A7">
        <v>5</v>
      </c>
      <c r="B7" s="1">
        <v>45184</v>
      </c>
      <c r="C7">
        <v>0.13413</v>
      </c>
      <c r="D7" s="14">
        <f t="shared" si="0"/>
        <v>6.8685289764101043E-2</v>
      </c>
      <c r="E7">
        <f t="shared" si="1"/>
        <v>2.1000000000000001E-2</v>
      </c>
      <c r="F7" s="14">
        <f t="shared" si="2"/>
        <v>8.9685289764101048E-2</v>
      </c>
      <c r="G7">
        <f t="shared" si="3"/>
        <v>89.685289764101043</v>
      </c>
      <c r="H7">
        <f t="shared" si="4"/>
        <v>448.42644882050524</v>
      </c>
      <c r="I7">
        <f t="shared" si="5"/>
        <v>0.700679947578424</v>
      </c>
      <c r="J7">
        <f t="shared" si="6"/>
        <v>314.20342065233046</v>
      </c>
    </row>
    <row r="8" spans="1:10">
      <c r="A8">
        <v>6</v>
      </c>
      <c r="B8" s="1">
        <v>45366</v>
      </c>
      <c r="C8">
        <v>0.12934999999999999</v>
      </c>
      <c r="D8" s="14">
        <f t="shared" si="0"/>
        <v>6.5276787347437359E-2</v>
      </c>
      <c r="E8">
        <f t="shared" si="1"/>
        <v>2.1000000000000001E-2</v>
      </c>
      <c r="F8" s="14">
        <f t="shared" si="2"/>
        <v>8.6276787347437364E-2</v>
      </c>
      <c r="G8">
        <f t="shared" si="3"/>
        <v>86.276787347437363</v>
      </c>
      <c r="H8">
        <f t="shared" si="4"/>
        <v>517.66072408462423</v>
      </c>
      <c r="I8">
        <f t="shared" si="5"/>
        <v>0.6525647741027244</v>
      </c>
      <c r="J8">
        <f t="shared" si="6"/>
        <v>337.80715347413553</v>
      </c>
    </row>
    <row r="9" spans="1:10">
      <c r="A9">
        <v>7</v>
      </c>
      <c r="B9" s="1">
        <v>45550</v>
      </c>
      <c r="C9">
        <v>0.1205</v>
      </c>
      <c r="D9" s="14">
        <f t="shared" si="0"/>
        <v>6.0929009015429525E-2</v>
      </c>
      <c r="E9">
        <f t="shared" si="1"/>
        <v>2.1000000000000001E-2</v>
      </c>
      <c r="F9" s="14">
        <f t="shared" si="2"/>
        <v>8.192900901542953E-2</v>
      </c>
      <c r="G9">
        <f t="shared" si="3"/>
        <v>81.929009015429529</v>
      </c>
      <c r="H9">
        <f t="shared" si="4"/>
        <v>573.5030631080067</v>
      </c>
      <c r="I9">
        <f t="shared" si="5"/>
        <v>0.60775363398290672</v>
      </c>
      <c r="J9">
        <f t="shared" si="6"/>
        <v>348.54857070421934</v>
      </c>
    </row>
    <row r="10" spans="1:10">
      <c r="A10">
        <v>8</v>
      </c>
      <c r="B10" s="1">
        <v>45731</v>
      </c>
      <c r="C10">
        <v>0.1171</v>
      </c>
      <c r="D10" s="14">
        <f t="shared" si="0"/>
        <v>5.878892963944593E-2</v>
      </c>
      <c r="E10">
        <f t="shared" si="1"/>
        <v>2.1000000000000001E-2</v>
      </c>
      <c r="F10" s="14">
        <f t="shared" si="2"/>
        <v>7.9788929639445935E-2</v>
      </c>
      <c r="G10">
        <f t="shared" si="3"/>
        <v>79.788929639445939</v>
      </c>
      <c r="H10">
        <f t="shared" si="4"/>
        <v>638.31143711556751</v>
      </c>
      <c r="I10">
        <f t="shared" si="5"/>
        <v>0.56601964169350782</v>
      </c>
      <c r="J10">
        <f t="shared" si="6"/>
        <v>361.29681092502159</v>
      </c>
    </row>
    <row r="11" spans="1:10">
      <c r="A11">
        <v>9</v>
      </c>
      <c r="B11" s="1">
        <v>45915</v>
      </c>
      <c r="C11">
        <v>0.11559999999999999</v>
      </c>
      <c r="D11" s="14">
        <f t="shared" si="0"/>
        <v>5.8514671397432938E-2</v>
      </c>
      <c r="E11">
        <f t="shared" si="1"/>
        <v>2.1000000000000001E-2</v>
      </c>
      <c r="F11" s="14">
        <f t="shared" si="2"/>
        <v>7.9514671397432943E-2</v>
      </c>
      <c r="G11">
        <f t="shared" si="3"/>
        <v>79.514671397432949</v>
      </c>
      <c r="H11">
        <f t="shared" si="4"/>
        <v>715.63204257689654</v>
      </c>
      <c r="I11">
        <f t="shared" si="5"/>
        <v>0.52715149177019605</v>
      </c>
      <c r="J11">
        <f t="shared" si="6"/>
        <v>377.24649880296346</v>
      </c>
    </row>
    <row r="12" spans="1:10">
      <c r="A12">
        <v>10</v>
      </c>
      <c r="B12" s="1">
        <v>46096</v>
      </c>
      <c r="C12">
        <v>0.1152</v>
      </c>
      <c r="D12" s="14">
        <f t="shared" si="0"/>
        <v>5.7859551036805845E-2</v>
      </c>
      <c r="E12">
        <f t="shared" si="1"/>
        <v>2.1000000000000001E-2</v>
      </c>
      <c r="F12" s="14">
        <f t="shared" si="2"/>
        <v>7.885955103680585E-2</v>
      </c>
      <c r="G12">
        <f t="shared" si="3"/>
        <v>78.859551036805854</v>
      </c>
      <c r="H12">
        <f t="shared" si="4"/>
        <v>788.59551036805851</v>
      </c>
      <c r="I12">
        <f t="shared" si="5"/>
        <v>0.49095238893850296</v>
      </c>
      <c r="J12">
        <f t="shared" si="6"/>
        <v>387.16284972137629</v>
      </c>
    </row>
    <row r="13" spans="1:10">
      <c r="I13" t="s">
        <v>4</v>
      </c>
      <c r="J13">
        <f>SUM(J3:J12)</f>
        <v>2786.5510241816182</v>
      </c>
    </row>
    <row r="14" spans="1:10">
      <c r="A14" t="s">
        <v>98</v>
      </c>
      <c r="B14" s="8">
        <v>1000</v>
      </c>
      <c r="I14" t="s">
        <v>5</v>
      </c>
      <c r="J14">
        <f>(A12*B14)*I12</f>
        <v>4909.5238893850292</v>
      </c>
    </row>
    <row r="15" spans="1:10">
      <c r="A15" t="s">
        <v>90</v>
      </c>
      <c r="B15">
        <v>1032.450906</v>
      </c>
      <c r="I15" t="s">
        <v>6</v>
      </c>
      <c r="J15">
        <f>SUM(J13:J14)</f>
        <v>7696.0749135666474</v>
      </c>
    </row>
    <row r="16" spans="1:10">
      <c r="A16" t="s">
        <v>101</v>
      </c>
      <c r="B16">
        <v>7.3732409999999998E-2</v>
      </c>
      <c r="I16" t="s">
        <v>89</v>
      </c>
      <c r="J16">
        <f>(J15/B15)/2</f>
        <v>3.7270900092399391</v>
      </c>
    </row>
    <row r="17" spans="1:13">
      <c r="A17" t="s">
        <v>119</v>
      </c>
      <c r="B17">
        <f>G5/B15</f>
        <v>8.8007441868724612E-2</v>
      </c>
      <c r="I17" t="s">
        <v>18</v>
      </c>
      <c r="J17">
        <f>J16/(1+B16)</f>
        <v>3.4711534964656034</v>
      </c>
    </row>
    <row r="19" spans="1:13">
      <c r="M19" s="6"/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917F4-D4DE-4CC8-AA63-986739682A11}">
  <dimension ref="A1:O27"/>
  <sheetViews>
    <sheetView topLeftCell="A10" workbookViewId="0">
      <selection activeCell="B27" sqref="B27"/>
    </sheetView>
  </sheetViews>
  <sheetFormatPr defaultRowHeight="15"/>
  <cols>
    <col min="2" max="2" width="10.7109375" bestFit="1" customWidth="1"/>
    <col min="4" max="4" width="10.7109375" bestFit="1" customWidth="1"/>
    <col min="6" max="6" width="10.5703125" bestFit="1" customWidth="1"/>
    <col min="15" max="15" width="10" bestFit="1" customWidth="1"/>
  </cols>
  <sheetData>
    <row r="1" spans="1:10">
      <c r="A1" t="s">
        <v>96</v>
      </c>
      <c r="B1" t="s">
        <v>0</v>
      </c>
      <c r="C1" t="s">
        <v>121</v>
      </c>
      <c r="D1" t="s">
        <v>141</v>
      </c>
      <c r="E1" t="s">
        <v>116</v>
      </c>
      <c r="F1" t="s">
        <v>142</v>
      </c>
      <c r="G1" t="s">
        <v>107</v>
      </c>
      <c r="H1" t="s">
        <v>12</v>
      </c>
      <c r="I1" t="s">
        <v>3</v>
      </c>
      <c r="J1" t="s">
        <v>102</v>
      </c>
    </row>
    <row r="2" spans="1:10">
      <c r="A2">
        <v>0</v>
      </c>
      <c r="B2" s="1">
        <v>44183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</v>
      </c>
      <c r="B3" s="1">
        <v>44271</v>
      </c>
      <c r="C3">
        <v>1.9E-2</v>
      </c>
      <c r="D3" s="15">
        <f>(1+C3)^(NETWORKDAYS.INTL(B2,B3)/252)-1</f>
        <v>4.7165265205859619E-3</v>
      </c>
      <c r="E3">
        <f>0.175/100</f>
        <v>1.7499999999999998E-3</v>
      </c>
      <c r="F3" s="15">
        <f>D3+E3</f>
        <v>6.4665265205859617E-3</v>
      </c>
      <c r="G3">
        <f>$B$24*F3</f>
        <v>6.4665265205859619</v>
      </c>
      <c r="H3">
        <f>A3*G3</f>
        <v>6.4665265205859619</v>
      </c>
      <c r="I3">
        <f>(1+$B$26)^(-A3)</f>
        <v>0.97373558584080955</v>
      </c>
      <c r="J3">
        <f>H3*I3</f>
        <v>6.2966869898779034</v>
      </c>
    </row>
    <row r="4" spans="1:10">
      <c r="A4">
        <v>2</v>
      </c>
      <c r="B4" s="1">
        <v>44363</v>
      </c>
      <c r="C4">
        <v>3.4000000000000002E-2</v>
      </c>
      <c r="D4" s="15">
        <f t="shared" ref="D4:D22" si="0">(1+C4)^(NETWORKDAYS.INTL(B3,B4)/252)-1</f>
        <v>8.929032847873497E-3</v>
      </c>
      <c r="E4">
        <f t="shared" ref="E4:E22" si="1">0.175/100</f>
        <v>1.7499999999999998E-3</v>
      </c>
      <c r="F4" s="15">
        <f t="shared" ref="F4:F22" si="2">D4+E4</f>
        <v>1.0679032847873497E-2</v>
      </c>
      <c r="G4">
        <f t="shared" ref="G4:G22" si="3">$B$24*F4</f>
        <v>10.679032847873497</v>
      </c>
      <c r="H4">
        <f t="shared" ref="H4:H22" si="4">A4*G4</f>
        <v>21.358065695746994</v>
      </c>
      <c r="I4">
        <f t="shared" ref="I4:I22" si="5">(1+$B$26)^(-A4)</f>
        <v>0.94816099113274466</v>
      </c>
      <c r="J4">
        <f t="shared" ref="J4:J22" si="6">H4*I4</f>
        <v>20.250884738757744</v>
      </c>
    </row>
    <row r="5" spans="1:10">
      <c r="A5">
        <v>3</v>
      </c>
      <c r="B5" s="1">
        <v>44455</v>
      </c>
      <c r="C5">
        <v>5.1499999999999997E-2</v>
      </c>
      <c r="D5" s="15">
        <f t="shared" si="0"/>
        <v>1.3441065407473474E-2</v>
      </c>
      <c r="E5">
        <f t="shared" si="1"/>
        <v>1.7499999999999998E-3</v>
      </c>
      <c r="F5" s="15">
        <f t="shared" si="2"/>
        <v>1.5191065407473473E-2</v>
      </c>
      <c r="G5">
        <f t="shared" si="3"/>
        <v>15.191065407473474</v>
      </c>
      <c r="H5">
        <f t="shared" si="4"/>
        <v>45.573196222420421</v>
      </c>
      <c r="I5">
        <f t="shared" si="5"/>
        <v>0.92325809817204574</v>
      </c>
      <c r="J5">
        <f t="shared" si="6"/>
        <v>42.075822471933336</v>
      </c>
    </row>
    <row r="6" spans="1:10">
      <c r="A6">
        <v>4</v>
      </c>
      <c r="B6" s="1">
        <v>44546</v>
      </c>
      <c r="C6">
        <v>9.1499999999999998E-2</v>
      </c>
      <c r="D6" s="15">
        <f t="shared" si="0"/>
        <v>2.3195446117762142E-2</v>
      </c>
      <c r="E6">
        <f t="shared" si="1"/>
        <v>1.7499999999999998E-3</v>
      </c>
      <c r="F6" s="15">
        <f t="shared" si="2"/>
        <v>2.4945446117762143E-2</v>
      </c>
      <c r="G6">
        <f t="shared" si="3"/>
        <v>24.945446117762142</v>
      </c>
      <c r="H6">
        <f t="shared" si="4"/>
        <v>99.781784471048567</v>
      </c>
      <c r="I6">
        <f t="shared" si="5"/>
        <v>0.89900926510582868</v>
      </c>
      <c r="J6">
        <f t="shared" si="6"/>
        <v>89.704748728265557</v>
      </c>
    </row>
    <row r="7" spans="1:10">
      <c r="A7">
        <v>5</v>
      </c>
      <c r="B7" s="1">
        <v>44636</v>
      </c>
      <c r="C7">
        <v>0.1065</v>
      </c>
      <c r="D7" s="15">
        <f t="shared" si="0"/>
        <v>2.6447344136540041E-2</v>
      </c>
      <c r="E7">
        <f t="shared" si="1"/>
        <v>1.7499999999999998E-3</v>
      </c>
      <c r="F7" s="15">
        <f t="shared" si="2"/>
        <v>2.8197344136540042E-2</v>
      </c>
      <c r="G7">
        <f t="shared" si="3"/>
        <v>28.197344136540043</v>
      </c>
      <c r="H7">
        <f t="shared" si="4"/>
        <v>140.98672068270022</v>
      </c>
      <c r="I7">
        <f t="shared" si="5"/>
        <v>0.87539731343413985</v>
      </c>
      <c r="J7">
        <f t="shared" si="6"/>
        <v>123.41939651552525</v>
      </c>
    </row>
    <row r="8" spans="1:10">
      <c r="A8">
        <v>6</v>
      </c>
      <c r="B8" s="1">
        <v>44728</v>
      </c>
      <c r="C8">
        <v>0.1265</v>
      </c>
      <c r="D8" s="15">
        <f t="shared" si="0"/>
        <v>3.2176409760683811E-2</v>
      </c>
      <c r="E8">
        <f t="shared" si="1"/>
        <v>1.7499999999999998E-3</v>
      </c>
      <c r="F8" s="15">
        <f t="shared" si="2"/>
        <v>3.3926409760683812E-2</v>
      </c>
      <c r="G8">
        <f t="shared" si="3"/>
        <v>33.926409760683811</v>
      </c>
      <c r="H8">
        <f t="shared" si="4"/>
        <v>203.55845856410286</v>
      </c>
      <c r="I8">
        <f t="shared" si="5"/>
        <v>0.85240551584026303</v>
      </c>
      <c r="J8">
        <f t="shared" si="6"/>
        <v>173.51435287598292</v>
      </c>
    </row>
    <row r="9" spans="1:10">
      <c r="A9">
        <v>7</v>
      </c>
      <c r="B9" s="1">
        <v>44820</v>
      </c>
      <c r="C9">
        <v>0.13650000000000001</v>
      </c>
      <c r="D9" s="15">
        <f t="shared" si="0"/>
        <v>3.4604622885618719E-2</v>
      </c>
      <c r="E9">
        <f t="shared" si="1"/>
        <v>1.7499999999999998E-3</v>
      </c>
      <c r="F9" s="15">
        <f t="shared" si="2"/>
        <v>3.635462288561872E-2</v>
      </c>
      <c r="G9">
        <f t="shared" si="3"/>
        <v>36.354622885618717</v>
      </c>
      <c r="H9">
        <f t="shared" si="4"/>
        <v>254.48236019933103</v>
      </c>
      <c r="I9">
        <f t="shared" si="5"/>
        <v>0.83001758434065587</v>
      </c>
      <c r="J9">
        <f t="shared" si="6"/>
        <v>211.22483386995739</v>
      </c>
    </row>
    <row r="10" spans="1:10">
      <c r="A10">
        <v>8</v>
      </c>
      <c r="B10" s="1">
        <v>44911</v>
      </c>
      <c r="C10">
        <v>0.13655999999999999</v>
      </c>
      <c r="D10" s="15">
        <f t="shared" si="0"/>
        <v>3.4093732083553041E-2</v>
      </c>
      <c r="E10">
        <f t="shared" si="1"/>
        <v>1.7499999999999998E-3</v>
      </c>
      <c r="F10" s="15">
        <f t="shared" si="2"/>
        <v>3.5843732083553043E-2</v>
      </c>
      <c r="G10">
        <f t="shared" si="3"/>
        <v>35.843732083553043</v>
      </c>
      <c r="H10">
        <f t="shared" si="4"/>
        <v>286.74985666842434</v>
      </c>
      <c r="I10">
        <f t="shared" si="5"/>
        <v>0.80821765874612228</v>
      </c>
      <c r="J10">
        <f t="shared" si="6"/>
        <v>231.75629780234007</v>
      </c>
    </row>
    <row r="11" spans="1:10">
      <c r="A11">
        <v>9</v>
      </c>
      <c r="B11" s="1">
        <v>45001</v>
      </c>
      <c r="C11">
        <v>0.13705000000000001</v>
      </c>
      <c r="D11" s="15">
        <f t="shared" si="0"/>
        <v>3.3683503802015569E-2</v>
      </c>
      <c r="E11">
        <f t="shared" si="1"/>
        <v>1.7499999999999998E-3</v>
      </c>
      <c r="F11" s="15">
        <f t="shared" si="2"/>
        <v>3.543350380201557E-2</v>
      </c>
      <c r="G11">
        <f t="shared" si="3"/>
        <v>35.433503802015572</v>
      </c>
      <c r="H11">
        <f t="shared" si="4"/>
        <v>318.90153421814017</v>
      </c>
      <c r="I11">
        <f t="shared" si="5"/>
        <v>0.78699029542604282</v>
      </c>
      <c r="J11">
        <f t="shared" si="6"/>
        <v>250.97241262615245</v>
      </c>
    </row>
    <row r="12" spans="1:10">
      <c r="A12">
        <v>10</v>
      </c>
      <c r="B12" s="1">
        <v>45093</v>
      </c>
      <c r="C12">
        <v>0.13658000000000001</v>
      </c>
      <c r="D12" s="15">
        <f t="shared" si="0"/>
        <v>3.4623985232769883E-2</v>
      </c>
      <c r="E12">
        <f t="shared" si="1"/>
        <v>1.7499999999999998E-3</v>
      </c>
      <c r="F12" s="15">
        <f t="shared" si="2"/>
        <v>3.6373985232769884E-2</v>
      </c>
      <c r="G12">
        <f t="shared" si="3"/>
        <v>36.373985232769883</v>
      </c>
      <c r="H12">
        <f t="shared" si="4"/>
        <v>363.73985232769883</v>
      </c>
      <c r="I12">
        <f t="shared" si="5"/>
        <v>0.76632045636770973</v>
      </c>
      <c r="J12">
        <f t="shared" si="6"/>
        <v>278.7412896348855</v>
      </c>
    </row>
    <row r="13" spans="1:10">
      <c r="A13">
        <v>11</v>
      </c>
      <c r="B13" s="1">
        <v>45185</v>
      </c>
      <c r="C13">
        <v>0.13413</v>
      </c>
      <c r="D13" s="15">
        <f t="shared" si="0"/>
        <v>3.3514223103871865E-2</v>
      </c>
      <c r="E13">
        <f t="shared" si="1"/>
        <v>1.7499999999999998E-3</v>
      </c>
      <c r="F13" s="15">
        <f t="shared" si="2"/>
        <v>3.5264223103871867E-2</v>
      </c>
      <c r="G13">
        <f t="shared" si="3"/>
        <v>35.264223103871863</v>
      </c>
      <c r="H13">
        <f t="shared" si="4"/>
        <v>387.90645414259052</v>
      </c>
      <c r="I13">
        <f t="shared" si="5"/>
        <v>0.74619349852300831</v>
      </c>
      <c r="J13">
        <f t="shared" si="6"/>
        <v>289.4532741163145</v>
      </c>
    </row>
    <row r="14" spans="1:10">
      <c r="A14">
        <v>12</v>
      </c>
      <c r="B14" s="1">
        <v>45276</v>
      </c>
      <c r="C14">
        <v>0.13150999999999999</v>
      </c>
      <c r="D14" s="15">
        <f t="shared" si="0"/>
        <v>3.2382084569132497E-2</v>
      </c>
      <c r="E14">
        <f t="shared" si="1"/>
        <v>1.7499999999999998E-3</v>
      </c>
      <c r="F14" s="15">
        <f t="shared" si="2"/>
        <v>3.4132084569132498E-2</v>
      </c>
      <c r="G14">
        <f t="shared" si="3"/>
        <v>34.132084569132495</v>
      </c>
      <c r="H14">
        <f t="shared" si="4"/>
        <v>409.58501482958991</v>
      </c>
      <c r="I14">
        <f t="shared" si="5"/>
        <v>0.72659516343490482</v>
      </c>
      <c r="J14">
        <f t="shared" si="6"/>
        <v>297.60249079059378</v>
      </c>
    </row>
    <row r="15" spans="1:10">
      <c r="A15">
        <v>13</v>
      </c>
      <c r="B15" s="1">
        <v>45367</v>
      </c>
      <c r="C15">
        <v>0.12934999999999999</v>
      </c>
      <c r="D15" s="15">
        <f t="shared" si="0"/>
        <v>3.1873390744645791E-2</v>
      </c>
      <c r="E15">
        <f t="shared" si="1"/>
        <v>1.7499999999999998E-3</v>
      </c>
      <c r="F15" s="15">
        <f t="shared" si="2"/>
        <v>3.3623390744645792E-2</v>
      </c>
      <c r="G15">
        <f t="shared" si="3"/>
        <v>33.623390744645789</v>
      </c>
      <c r="H15">
        <f t="shared" si="4"/>
        <v>437.10407968039527</v>
      </c>
      <c r="I15">
        <f t="shared" si="5"/>
        <v>0.70751156713638585</v>
      </c>
      <c r="J15">
        <f t="shared" si="6"/>
        <v>309.25619241638412</v>
      </c>
    </row>
    <row r="16" spans="1:10">
      <c r="A16">
        <v>14</v>
      </c>
      <c r="B16" s="1">
        <v>45459</v>
      </c>
      <c r="C16">
        <v>0.12570000000000001</v>
      </c>
      <c r="D16" s="15">
        <f t="shared" si="0"/>
        <v>3.1012149162160441E-2</v>
      </c>
      <c r="E16">
        <f t="shared" si="1"/>
        <v>1.7499999999999998E-3</v>
      </c>
      <c r="F16" s="15">
        <f t="shared" si="2"/>
        <v>3.2762149162160442E-2</v>
      </c>
      <c r="G16">
        <f t="shared" si="3"/>
        <v>32.762149162160441</v>
      </c>
      <c r="H16">
        <f t="shared" si="4"/>
        <v>458.6700882702462</v>
      </c>
      <c r="I16">
        <f t="shared" si="5"/>
        <v>0.68892919031469801</v>
      </c>
      <c r="J16">
        <f t="shared" si="6"/>
        <v>315.99121253359181</v>
      </c>
    </row>
    <row r="17" spans="1:15">
      <c r="A17">
        <v>15</v>
      </c>
      <c r="B17" s="1">
        <v>45551</v>
      </c>
      <c r="C17">
        <v>0.1205</v>
      </c>
      <c r="D17" s="15">
        <f t="shared" si="0"/>
        <v>3.0246627774100254E-2</v>
      </c>
      <c r="E17">
        <f t="shared" si="1"/>
        <v>1.7499999999999998E-3</v>
      </c>
      <c r="F17" s="15">
        <f t="shared" si="2"/>
        <v>3.1996627774100256E-2</v>
      </c>
      <c r="G17">
        <f t="shared" si="3"/>
        <v>31.996627774100254</v>
      </c>
      <c r="H17">
        <f t="shared" si="4"/>
        <v>479.94941661150381</v>
      </c>
      <c r="I17">
        <f t="shared" si="5"/>
        <v>0.67083486873391696</v>
      </c>
      <c r="J17">
        <f t="shared" si="6"/>
        <v>321.96680389149816</v>
      </c>
    </row>
    <row r="18" spans="1:15">
      <c r="A18">
        <v>16</v>
      </c>
      <c r="B18" s="1">
        <v>45642</v>
      </c>
      <c r="C18">
        <v>0.11924999999999999</v>
      </c>
      <c r="D18" s="15">
        <f t="shared" si="0"/>
        <v>2.9945492502910787E-2</v>
      </c>
      <c r="E18">
        <f t="shared" si="1"/>
        <v>1.7499999999999998E-3</v>
      </c>
      <c r="F18" s="15">
        <f t="shared" si="2"/>
        <v>3.1695492502910788E-2</v>
      </c>
      <c r="G18">
        <f t="shared" si="3"/>
        <v>31.695492502910788</v>
      </c>
      <c r="H18">
        <f t="shared" si="4"/>
        <v>507.12788004657261</v>
      </c>
      <c r="I18">
        <f t="shared" si="5"/>
        <v>0.65321578390906332</v>
      </c>
      <c r="J18">
        <f t="shared" si="6"/>
        <v>331.26393570676333</v>
      </c>
    </row>
    <row r="19" spans="1:15">
      <c r="A19">
        <v>17</v>
      </c>
      <c r="B19" s="1">
        <v>45732</v>
      </c>
      <c r="C19">
        <v>0.1171</v>
      </c>
      <c r="D19" s="15">
        <f t="shared" si="0"/>
        <v>2.897469825037291E-2</v>
      </c>
      <c r="E19">
        <f t="shared" si="1"/>
        <v>1.7499999999999998E-3</v>
      </c>
      <c r="F19" s="15">
        <f t="shared" si="2"/>
        <v>3.0724698250372912E-2</v>
      </c>
      <c r="G19">
        <f t="shared" si="3"/>
        <v>30.72469825037291</v>
      </c>
      <c r="H19">
        <f t="shared" si="4"/>
        <v>522.31987025633953</v>
      </c>
      <c r="I19">
        <f t="shared" si="5"/>
        <v>0.6360594540251554</v>
      </c>
      <c r="J19">
        <f t="shared" si="6"/>
        <v>332.22649150173731</v>
      </c>
    </row>
    <row r="20" spans="1:15">
      <c r="A20">
        <v>18</v>
      </c>
      <c r="B20" s="1">
        <v>45824</v>
      </c>
      <c r="C20">
        <v>0.11595</v>
      </c>
      <c r="D20" s="15">
        <f t="shared" si="0"/>
        <v>2.914930092334167E-2</v>
      </c>
      <c r="E20">
        <f t="shared" si="1"/>
        <v>1.7499999999999998E-3</v>
      </c>
      <c r="F20" s="15">
        <f t="shared" si="2"/>
        <v>3.0899300923341672E-2</v>
      </c>
      <c r="G20">
        <f t="shared" si="3"/>
        <v>30.89930092334167</v>
      </c>
      <c r="H20">
        <f t="shared" si="4"/>
        <v>556.18741662015009</v>
      </c>
      <c r="I20">
        <f t="shared" si="5"/>
        <v>0.61935372509477027</v>
      </c>
      <c r="J20">
        <f t="shared" si="6"/>
        <v>344.47674833452692</v>
      </c>
    </row>
    <row r="21" spans="1:15">
      <c r="A21">
        <v>19</v>
      </c>
      <c r="B21" s="1">
        <v>45916</v>
      </c>
      <c r="C21">
        <v>0.11559999999999999</v>
      </c>
      <c r="D21" s="15">
        <f t="shared" si="0"/>
        <v>2.9511565097306347E-2</v>
      </c>
      <c r="E21">
        <f t="shared" si="1"/>
        <v>1.7499999999999998E-3</v>
      </c>
      <c r="F21" s="15">
        <f t="shared" si="2"/>
        <v>3.1261565097306349E-2</v>
      </c>
      <c r="G21">
        <f t="shared" si="3"/>
        <v>31.261565097306349</v>
      </c>
      <c r="H21">
        <f t="shared" si="4"/>
        <v>593.96973684882062</v>
      </c>
      <c r="I21">
        <f t="shared" si="5"/>
        <v>0.60308676234784375</v>
      </c>
      <c r="J21">
        <f t="shared" si="6"/>
        <v>358.215285528756</v>
      </c>
    </row>
    <row r="22" spans="1:15">
      <c r="A22">
        <v>20</v>
      </c>
      <c r="B22" s="1">
        <v>46007</v>
      </c>
      <c r="C22">
        <v>0.11544</v>
      </c>
      <c r="D22" s="15">
        <f t="shared" si="0"/>
        <v>2.9026098151632818E-2</v>
      </c>
      <c r="E22">
        <f t="shared" si="1"/>
        <v>1.7499999999999998E-3</v>
      </c>
      <c r="F22" s="15">
        <f t="shared" si="2"/>
        <v>3.0776098151632819E-2</v>
      </c>
      <c r="G22">
        <f t="shared" si="3"/>
        <v>30.776098151632819</v>
      </c>
      <c r="H22">
        <f t="shared" si="4"/>
        <v>615.52196303265634</v>
      </c>
      <c r="I22">
        <f t="shared" si="5"/>
        <v>0.58724704184761478</v>
      </c>
      <c r="J22">
        <f t="shared" si="6"/>
        <v>361.46345198316436</v>
      </c>
    </row>
    <row r="23" spans="1:15">
      <c r="I23" t="s">
        <v>4</v>
      </c>
      <c r="J23">
        <f>SUM(J3:J22)</f>
        <v>4689.8726130570085</v>
      </c>
    </row>
    <row r="24" spans="1:15">
      <c r="A24" t="s">
        <v>98</v>
      </c>
      <c r="B24" s="8">
        <v>1000</v>
      </c>
      <c r="I24" t="s">
        <v>5</v>
      </c>
      <c r="J24">
        <f>(A22*B24)*I22</f>
        <v>11744.940836952295</v>
      </c>
    </row>
    <row r="25" spans="1:15" ht="18">
      <c r="A25" t="s">
        <v>90</v>
      </c>
      <c r="B25">
        <v>1024.737887</v>
      </c>
      <c r="I25" t="s">
        <v>6</v>
      </c>
      <c r="J25">
        <f>SUM(J23:J24)</f>
        <v>16434.813450009304</v>
      </c>
      <c r="O25" s="16"/>
    </row>
    <row r="26" spans="1:15">
      <c r="A26" t="s">
        <v>101</v>
      </c>
      <c r="B26">
        <v>2.6972840000000001E-2</v>
      </c>
      <c r="I26" t="s">
        <v>89</v>
      </c>
      <c r="J26">
        <f>(J25/B25)/4</f>
        <v>4.00951639890165</v>
      </c>
    </row>
    <row r="27" spans="1:15">
      <c r="A27" t="s">
        <v>119</v>
      </c>
      <c r="B27">
        <f>G9/B25</f>
        <v>3.5476996944115831E-2</v>
      </c>
      <c r="I27" t="s">
        <v>18</v>
      </c>
      <c r="J27">
        <f>J26/(1+B26)</f>
        <v>3.9042087996228312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57DF7-3CF2-44A2-B20A-B160D94F1964}">
  <dimension ref="A1:M18"/>
  <sheetViews>
    <sheetView workbookViewId="0">
      <selection activeCell="B18" sqref="B18"/>
    </sheetView>
  </sheetViews>
  <sheetFormatPr defaultRowHeight="15"/>
  <cols>
    <col min="2" max="2" width="10.7109375" bestFit="1" customWidth="1"/>
    <col min="4" max="4" width="10.7109375" bestFit="1" customWidth="1"/>
    <col min="6" max="6" width="10.5703125" bestFit="1" customWidth="1"/>
  </cols>
  <sheetData>
    <row r="1" spans="1:10">
      <c r="A1" t="s">
        <v>96</v>
      </c>
      <c r="B1" t="s">
        <v>0</v>
      </c>
      <c r="C1" t="s">
        <v>121</v>
      </c>
      <c r="D1" t="s">
        <v>141</v>
      </c>
      <c r="E1" t="s">
        <v>116</v>
      </c>
      <c r="F1" t="s">
        <v>142</v>
      </c>
      <c r="G1" t="s">
        <v>107</v>
      </c>
      <c r="H1" t="s">
        <v>12</v>
      </c>
      <c r="I1" t="s">
        <v>3</v>
      </c>
      <c r="J1" t="s">
        <v>102</v>
      </c>
    </row>
    <row r="2" spans="1:10">
      <c r="A2">
        <v>0</v>
      </c>
      <c r="B2" s="1">
        <v>44299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</v>
      </c>
      <c r="B3" s="1">
        <v>44469</v>
      </c>
      <c r="C3">
        <v>5.1499999999999997E-2</v>
      </c>
      <c r="D3" s="15">
        <f>(1+C3)^(NETWORKDAYS.INTL(B2,B3)/252)-1</f>
        <v>2.4813892821632821E-2</v>
      </c>
      <c r="E3">
        <f>2.55/100</f>
        <v>2.5499999999999998E-2</v>
      </c>
      <c r="F3" s="15">
        <f>D3+E3</f>
        <v>5.0313892821632816E-2</v>
      </c>
      <c r="G3">
        <f>$B$14*F3</f>
        <v>50.31389282163282</v>
      </c>
      <c r="H3">
        <f>A3*G3</f>
        <v>50.31389282163282</v>
      </c>
      <c r="I3">
        <f>(1+$B$16)^(-A3)</f>
        <v>0.9262432928986456</v>
      </c>
      <c r="J3">
        <f>H3*I3</f>
        <v>46.602905765658711</v>
      </c>
    </row>
    <row r="4" spans="1:10">
      <c r="A4">
        <v>2</v>
      </c>
      <c r="B4" s="1">
        <v>44650</v>
      </c>
      <c r="C4">
        <v>0.1065</v>
      </c>
      <c r="D4" s="15">
        <f t="shared" ref="D4:D12" si="0">(1+C4)^(NETWORKDAYS.INTL(B3,B4)/252)-1</f>
        <v>5.3594150284956621E-2</v>
      </c>
      <c r="E4">
        <f t="shared" ref="E4:E12" si="1">2.55/100</f>
        <v>2.5499999999999998E-2</v>
      </c>
      <c r="F4" s="15">
        <f t="shared" ref="F4:F12" si="2">D4+E4</f>
        <v>7.9094150284956616E-2</v>
      </c>
      <c r="G4">
        <f t="shared" ref="G4:G12" si="3">$B$14*F4</f>
        <v>79.094150284956612</v>
      </c>
      <c r="H4">
        <f t="shared" ref="H4:H12" si="4">A4*G4</f>
        <v>158.18830056991322</v>
      </c>
      <c r="I4">
        <f t="shared" ref="I4:I12" si="5">(1+$B$16)^(-A4)</f>
        <v>0.8579266376397261</v>
      </c>
      <c r="J4">
        <f t="shared" ref="J4:J12" si="6">H4*I4</f>
        <v>135.71395682188802</v>
      </c>
    </row>
    <row r="5" spans="1:10">
      <c r="A5">
        <v>3</v>
      </c>
      <c r="B5" s="1">
        <v>44834</v>
      </c>
      <c r="C5">
        <v>0.13650000000000001</v>
      </c>
      <c r="D5" s="15">
        <f t="shared" si="0"/>
        <v>6.9863363092107056E-2</v>
      </c>
      <c r="E5">
        <f t="shared" si="1"/>
        <v>2.5499999999999998E-2</v>
      </c>
      <c r="F5" s="15">
        <f t="shared" si="2"/>
        <v>9.5363363092107051E-2</v>
      </c>
      <c r="G5">
        <f t="shared" si="3"/>
        <v>95.363363092107051</v>
      </c>
      <c r="H5">
        <f t="shared" si="4"/>
        <v>286.09008927632112</v>
      </c>
      <c r="I5">
        <f t="shared" si="5"/>
        <v>0.79464879391288301</v>
      </c>
      <c r="J5">
        <f t="shared" si="6"/>
        <v>227.3411443938576</v>
      </c>
    </row>
    <row r="6" spans="1:10">
      <c r="A6">
        <v>4</v>
      </c>
      <c r="B6" s="1">
        <v>45015</v>
      </c>
      <c r="C6">
        <v>0.13705000000000001</v>
      </c>
      <c r="D6" s="15">
        <f t="shared" si="0"/>
        <v>6.850158603241141E-2</v>
      </c>
      <c r="E6">
        <f t="shared" si="1"/>
        <v>2.5499999999999998E-2</v>
      </c>
      <c r="F6" s="15">
        <f t="shared" si="2"/>
        <v>9.4001586032411405E-2</v>
      </c>
      <c r="G6">
        <f t="shared" si="3"/>
        <v>94.00158603241141</v>
      </c>
      <c r="H6">
        <f t="shared" si="4"/>
        <v>376.00634412964564</v>
      </c>
      <c r="I6">
        <f t="shared" si="5"/>
        <v>0.73603811557180587</v>
      </c>
      <c r="J6">
        <f t="shared" si="6"/>
        <v>276.7550009762283</v>
      </c>
    </row>
    <row r="7" spans="1:10">
      <c r="A7">
        <v>5</v>
      </c>
      <c r="B7" s="1">
        <v>45199</v>
      </c>
      <c r="C7">
        <v>0.13413</v>
      </c>
      <c r="D7" s="15">
        <f t="shared" si="0"/>
        <v>6.8151649357999888E-2</v>
      </c>
      <c r="E7">
        <f t="shared" si="1"/>
        <v>2.5499999999999998E-2</v>
      </c>
      <c r="F7" s="15">
        <f t="shared" si="2"/>
        <v>9.3651649357999883E-2</v>
      </c>
      <c r="G7">
        <f t="shared" si="3"/>
        <v>93.651649357999887</v>
      </c>
      <c r="H7">
        <f t="shared" si="4"/>
        <v>468.25824678999942</v>
      </c>
      <c r="I7">
        <f t="shared" si="5"/>
        <v>0.68175036786614329</v>
      </c>
      <c r="J7">
        <f t="shared" si="6"/>
        <v>319.23523200543741</v>
      </c>
    </row>
    <row r="8" spans="1:10">
      <c r="A8">
        <v>6</v>
      </c>
      <c r="B8" s="1">
        <v>45381</v>
      </c>
      <c r="C8">
        <v>0.12934999999999999</v>
      </c>
      <c r="D8" s="15">
        <f t="shared" si="0"/>
        <v>6.476269452685246E-2</v>
      </c>
      <c r="E8">
        <f t="shared" si="1"/>
        <v>2.5499999999999998E-2</v>
      </c>
      <c r="F8" s="15">
        <f t="shared" si="2"/>
        <v>9.0262694526852455E-2</v>
      </c>
      <c r="G8">
        <f t="shared" si="3"/>
        <v>90.262694526852457</v>
      </c>
      <c r="H8">
        <f t="shared" si="4"/>
        <v>541.57616716111477</v>
      </c>
      <c r="I8">
        <f t="shared" si="5"/>
        <v>0.63146670566719965</v>
      </c>
      <c r="J8">
        <f t="shared" si="6"/>
        <v>341.98731814509779</v>
      </c>
    </row>
    <row r="9" spans="1:10">
      <c r="A9">
        <v>7</v>
      </c>
      <c r="B9" s="1">
        <v>45565</v>
      </c>
      <c r="C9">
        <v>0.1205</v>
      </c>
      <c r="D9" s="15">
        <f t="shared" si="0"/>
        <v>6.0929009015429525E-2</v>
      </c>
      <c r="E9">
        <f t="shared" si="1"/>
        <v>2.5499999999999998E-2</v>
      </c>
      <c r="F9" s="15">
        <f t="shared" si="2"/>
        <v>8.642900901542952E-2</v>
      </c>
      <c r="G9">
        <f t="shared" si="3"/>
        <v>86.429009015429514</v>
      </c>
      <c r="H9">
        <f t="shared" si="4"/>
        <v>605.00306310800659</v>
      </c>
      <c r="I9">
        <f t="shared" si="5"/>
        <v>0.5848918008130467</v>
      </c>
      <c r="J9">
        <f t="shared" si="6"/>
        <v>353.86133107865129</v>
      </c>
    </row>
    <row r="10" spans="1:10">
      <c r="A10">
        <v>8</v>
      </c>
      <c r="B10" s="1">
        <v>45746</v>
      </c>
      <c r="C10">
        <v>0.1171</v>
      </c>
      <c r="D10" s="15">
        <f t="shared" si="0"/>
        <v>5.878892963944593E-2</v>
      </c>
      <c r="E10">
        <f t="shared" si="1"/>
        <v>2.5499999999999998E-2</v>
      </c>
      <c r="F10" s="15">
        <f t="shared" si="2"/>
        <v>8.4288929639445925E-2</v>
      </c>
      <c r="G10">
        <f t="shared" si="3"/>
        <v>84.288929639445925</v>
      </c>
      <c r="H10">
        <f t="shared" si="4"/>
        <v>674.3114371155674</v>
      </c>
      <c r="I10">
        <f t="shared" si="5"/>
        <v>0.5417521075744951</v>
      </c>
      <c r="J10">
        <f t="shared" si="6"/>
        <v>365.30964221894527</v>
      </c>
    </row>
    <row r="11" spans="1:10">
      <c r="A11">
        <v>9</v>
      </c>
      <c r="B11" s="1">
        <v>45930</v>
      </c>
      <c r="C11">
        <v>0.11559999999999999</v>
      </c>
      <c r="D11" s="15">
        <f t="shared" si="0"/>
        <v>5.897426890602242E-2</v>
      </c>
      <c r="E11">
        <f t="shared" si="1"/>
        <v>2.5499999999999998E-2</v>
      </c>
      <c r="F11" s="15">
        <f t="shared" si="2"/>
        <v>8.4474268906022415E-2</v>
      </c>
      <c r="G11">
        <f t="shared" si="3"/>
        <v>84.474268906022417</v>
      </c>
      <c r="H11">
        <f t="shared" si="4"/>
        <v>760.26842015420175</v>
      </c>
      <c r="I11">
        <f t="shared" si="5"/>
        <v>0.50179425605458161</v>
      </c>
      <c r="J11">
        <f t="shared" si="6"/>
        <v>381.49832629306974</v>
      </c>
    </row>
    <row r="12" spans="1:10">
      <c r="A12">
        <v>10</v>
      </c>
      <c r="B12" s="1">
        <v>46111</v>
      </c>
      <c r="C12">
        <v>0.1152</v>
      </c>
      <c r="D12" s="15">
        <f t="shared" si="0"/>
        <v>5.7859551036805845E-2</v>
      </c>
      <c r="E12">
        <f t="shared" si="1"/>
        <v>2.5499999999999998E-2</v>
      </c>
      <c r="F12" s="15">
        <f t="shared" si="2"/>
        <v>8.335955103680584E-2</v>
      </c>
      <c r="G12">
        <f t="shared" si="3"/>
        <v>83.35955103680584</v>
      </c>
      <c r="H12">
        <f t="shared" si="4"/>
        <v>833.5955103680584</v>
      </c>
      <c r="I12">
        <f t="shared" si="5"/>
        <v>0.46478356408562177</v>
      </c>
      <c r="J12">
        <f t="shared" si="6"/>
        <v>387.44149231463905</v>
      </c>
    </row>
    <row r="13" spans="1:10">
      <c r="I13" t="s">
        <v>4</v>
      </c>
      <c r="J13">
        <f>SUM(J3:J12)</f>
        <v>2835.7463500134731</v>
      </c>
    </row>
    <row r="14" spans="1:10">
      <c r="A14" t="s">
        <v>98</v>
      </c>
      <c r="B14" s="8">
        <v>1000</v>
      </c>
      <c r="I14" t="s">
        <v>5</v>
      </c>
      <c r="J14">
        <f>(A12*B14)*I12</f>
        <v>4647.8356408562177</v>
      </c>
    </row>
    <row r="15" spans="1:10">
      <c r="A15" t="s">
        <v>90</v>
      </c>
      <c r="B15">
        <v>1022.583765</v>
      </c>
      <c r="I15" t="s">
        <v>6</v>
      </c>
      <c r="J15">
        <f>SUM(J13:J14)</f>
        <v>7483.5819908696903</v>
      </c>
    </row>
    <row r="16" spans="1:10">
      <c r="A16" t="s">
        <v>101</v>
      </c>
      <c r="B16">
        <v>7.9629950000000005E-2</v>
      </c>
      <c r="I16" t="s">
        <v>89</v>
      </c>
      <c r="J16">
        <f>(J15/B15)/2</f>
        <v>3.6591535319699169</v>
      </c>
    </row>
    <row r="17" spans="1:13">
      <c r="A17" t="s">
        <v>119</v>
      </c>
      <c r="B17">
        <f>G5/B15</f>
        <v>9.3257262980414174E-2</v>
      </c>
      <c r="I17" t="s">
        <v>18</v>
      </c>
      <c r="J17">
        <f>J16/(1+B16)</f>
        <v>3.3892664166735251</v>
      </c>
    </row>
    <row r="18" spans="1:13">
      <c r="A18" t="s">
        <v>19</v>
      </c>
      <c r="B18" t="s">
        <v>156</v>
      </c>
      <c r="M18" s="6"/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8D879-8AF9-4F30-9A60-21C5D3DD26CB}">
  <dimension ref="A1:O24"/>
  <sheetViews>
    <sheetView topLeftCell="A7" workbookViewId="0">
      <selection activeCell="B24" sqref="B24"/>
    </sheetView>
  </sheetViews>
  <sheetFormatPr defaultRowHeight="15"/>
  <cols>
    <col min="2" max="2" width="10.85546875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44454</v>
      </c>
      <c r="C2">
        <f>(1+$B$20)^(1/2)-1</f>
        <v>2.1016160498941394E-2</v>
      </c>
      <c r="D2">
        <v>1.0572316033153661</v>
      </c>
      <c r="E2">
        <f>$B$19*D2</f>
        <v>1057.2316033153661</v>
      </c>
      <c r="F2">
        <f>C2*E2</f>
        <v>22.218949059828873</v>
      </c>
      <c r="G2">
        <f>A2*F2</f>
        <v>22.218949059828873</v>
      </c>
      <c r="H2">
        <f>(1+$B$23)^(-A2)</f>
        <v>0.94732472844178794</v>
      </c>
      <c r="I2">
        <f>G2*H2</f>
        <v>21.048559884364305</v>
      </c>
    </row>
    <row r="3" spans="1:9">
      <c r="A3">
        <v>2</v>
      </c>
      <c r="B3" s="1">
        <v>44635</v>
      </c>
      <c r="C3">
        <f t="shared" ref="C3:C17" si="0">(1+$B$20)^(1/2)-1</f>
        <v>2.1016160498941394E-2</v>
      </c>
      <c r="D3">
        <v>1.1233439961311942</v>
      </c>
      <c r="E3">
        <f t="shared" ref="E3:E17" si="1">$B$19*D3</f>
        <v>1123.3439961311942</v>
      </c>
      <c r="F3">
        <f t="shared" ref="F3:F17" si="2">C3*E3</f>
        <v>23.60837771821538</v>
      </c>
      <c r="G3">
        <f t="shared" ref="G3:G17" si="3">A3*F3</f>
        <v>47.216755436430759</v>
      </c>
      <c r="H3">
        <f t="shared" ref="H3:H17" si="4">(1+$B$23)^(-A3)</f>
        <v>0.89742414111730728</v>
      </c>
      <c r="I3">
        <f t="shared" ref="I3:I17" si="5">G3*H3</f>
        <v>42.37345619388482</v>
      </c>
    </row>
    <row r="4" spans="1:9">
      <c r="A4">
        <v>3</v>
      </c>
      <c r="B4" s="1">
        <v>44819</v>
      </c>
      <c r="C4">
        <f t="shared" si="0"/>
        <v>2.1016160498941394E-2</v>
      </c>
      <c r="D4">
        <v>1.1330202692517155</v>
      </c>
      <c r="E4">
        <f t="shared" si="1"/>
        <v>1133.0202692517155</v>
      </c>
      <c r="F4">
        <f t="shared" si="2"/>
        <v>23.811735827147846</v>
      </c>
      <c r="G4">
        <f t="shared" si="3"/>
        <v>71.435207481443541</v>
      </c>
      <c r="H4">
        <f t="shared" si="4"/>
        <v>0.85015208078105786</v>
      </c>
      <c r="I4">
        <f t="shared" si="5"/>
        <v>60.730790281375818</v>
      </c>
    </row>
    <row r="5" spans="1:9">
      <c r="A5">
        <v>4</v>
      </c>
      <c r="B5" s="1">
        <v>45000</v>
      </c>
      <c r="C5">
        <f t="shared" si="0"/>
        <v>2.1016160498941394E-2</v>
      </c>
      <c r="D5">
        <v>1.1996216257499195</v>
      </c>
      <c r="E5">
        <f t="shared" si="1"/>
        <v>1199.6216257499195</v>
      </c>
      <c r="F5">
        <f t="shared" si="2"/>
        <v>25.211440624761316</v>
      </c>
      <c r="G5">
        <f t="shared" si="3"/>
        <v>100.84576249904526</v>
      </c>
      <c r="H5">
        <f t="shared" si="4"/>
        <v>0.80537008906013663</v>
      </c>
      <c r="I5">
        <f t="shared" si="5"/>
        <v>81.218160725193471</v>
      </c>
    </row>
    <row r="6" spans="1:9">
      <c r="A6">
        <v>5</v>
      </c>
      <c r="B6" s="1">
        <v>45184</v>
      </c>
      <c r="C6">
        <f t="shared" si="0"/>
        <v>2.1016160498941394E-2</v>
      </c>
      <c r="D6">
        <v>1.2304738051982265</v>
      </c>
      <c r="E6">
        <f t="shared" si="1"/>
        <v>1230.4738051982265</v>
      </c>
      <c r="F6">
        <f t="shared" si="2"/>
        <v>25.859834979789074</v>
      </c>
      <c r="G6">
        <f t="shared" si="3"/>
        <v>129.29917489894538</v>
      </c>
      <c r="H6">
        <f t="shared" si="4"/>
        <v>0.76294700091403245</v>
      </c>
      <c r="I6">
        <f t="shared" si="5"/>
        <v>98.648417709809323</v>
      </c>
    </row>
    <row r="7" spans="1:9">
      <c r="A7">
        <v>6</v>
      </c>
      <c r="B7" s="1">
        <v>45366</v>
      </c>
      <c r="C7">
        <f t="shared" si="0"/>
        <v>2.1016160498941394E-2</v>
      </c>
      <c r="D7">
        <v>1.2798099127141558</v>
      </c>
      <c r="E7">
        <f t="shared" si="1"/>
        <v>1279.8099127141559</v>
      </c>
      <c r="F7">
        <f t="shared" si="2"/>
        <v>26.896690533736876</v>
      </c>
      <c r="G7">
        <f t="shared" si="3"/>
        <v>161.38014320242127</v>
      </c>
      <c r="H7">
        <f t="shared" si="4"/>
        <v>0.72275856045636244</v>
      </c>
      <c r="I7">
        <f t="shared" si="5"/>
        <v>116.63887998722362</v>
      </c>
    </row>
    <row r="8" spans="1:9">
      <c r="A8">
        <v>7</v>
      </c>
      <c r="B8" s="1">
        <v>45550</v>
      </c>
      <c r="C8">
        <f t="shared" si="0"/>
        <v>2.1016160498941394E-2</v>
      </c>
      <c r="D8">
        <v>1.3063741978627945</v>
      </c>
      <c r="E8">
        <f t="shared" si="1"/>
        <v>1306.3741978627945</v>
      </c>
      <c r="F8">
        <f t="shared" si="2"/>
        <v>27.454969813960311</v>
      </c>
      <c r="G8">
        <f t="shared" si="3"/>
        <v>192.18478869772218</v>
      </c>
      <c r="H8">
        <f t="shared" si="4"/>
        <v>0.68468705701330101</v>
      </c>
      <c r="I8">
        <f t="shared" si="5"/>
        <v>131.58643737616651</v>
      </c>
    </row>
    <row r="9" spans="1:9">
      <c r="A9">
        <v>8</v>
      </c>
      <c r="B9" s="1">
        <v>45731</v>
      </c>
      <c r="C9">
        <f t="shared" si="0"/>
        <v>2.1016160498941394E-2</v>
      </c>
      <c r="D9">
        <v>1.3570176770541775</v>
      </c>
      <c r="E9">
        <f t="shared" si="1"/>
        <v>1357.0176770541775</v>
      </c>
      <c r="F9">
        <f t="shared" si="2"/>
        <v>28.519301300871216</v>
      </c>
      <c r="G9">
        <f t="shared" si="3"/>
        <v>228.15441040696973</v>
      </c>
      <c r="H9">
        <f t="shared" si="4"/>
        <v>0.64862098035273241</v>
      </c>
      <c r="I9">
        <f t="shared" si="5"/>
        <v>147.98573734996836</v>
      </c>
    </row>
    <row r="10" spans="1:9">
      <c r="A10">
        <v>9</v>
      </c>
      <c r="B10" s="1">
        <v>45915</v>
      </c>
      <c r="C10">
        <f t="shared" si="0"/>
        <v>2.1016160498941394E-2</v>
      </c>
      <c r="D10">
        <v>1.3843317266994091</v>
      </c>
      <c r="E10">
        <f t="shared" si="1"/>
        <v>1384.331726699409</v>
      </c>
      <c r="F10">
        <f t="shared" si="2"/>
        <v>29.093337752091454</v>
      </c>
      <c r="G10">
        <f t="shared" si="3"/>
        <v>261.84003976882309</v>
      </c>
      <c r="H10">
        <f t="shared" si="4"/>
        <v>0.61445469407429842</v>
      </c>
      <c r="I10">
        <f t="shared" si="5"/>
        <v>160.88884153255432</v>
      </c>
    </row>
    <row r="11" spans="1:9">
      <c r="A11">
        <v>10</v>
      </c>
      <c r="B11" s="1">
        <v>46096</v>
      </c>
      <c r="C11">
        <f t="shared" si="0"/>
        <v>2.1016160498941394E-2</v>
      </c>
      <c r="D11">
        <v>1.4378937788193999</v>
      </c>
      <c r="E11">
        <f t="shared" si="1"/>
        <v>1437.8937788194</v>
      </c>
      <c r="F11">
        <f t="shared" si="2"/>
        <v>30.21900643609785</v>
      </c>
      <c r="G11">
        <f t="shared" si="3"/>
        <v>302.19006436097851</v>
      </c>
      <c r="H11">
        <f t="shared" si="4"/>
        <v>0.58208812620371675</v>
      </c>
      <c r="I11">
        <f t="shared" si="5"/>
        <v>175.90124832126256</v>
      </c>
    </row>
    <row r="12" spans="1:9">
      <c r="A12">
        <v>11</v>
      </c>
      <c r="B12" s="1">
        <v>46280</v>
      </c>
      <c r="C12">
        <f t="shared" si="0"/>
        <v>2.1016160498941394E-2</v>
      </c>
      <c r="D12">
        <v>1.46680560592289</v>
      </c>
      <c r="E12">
        <f t="shared" si="1"/>
        <v>1466.80560592289</v>
      </c>
      <c r="F12">
        <f t="shared" si="2"/>
        <v>30.826622034822439</v>
      </c>
      <c r="G12">
        <f t="shared" si="3"/>
        <v>339.09284238304684</v>
      </c>
      <c r="H12">
        <f t="shared" si="4"/>
        <v>0.55142647608512507</v>
      </c>
      <c r="I12">
        <f t="shared" si="5"/>
        <v>186.98477114097227</v>
      </c>
    </row>
    <row r="13" spans="1:9">
      <c r="A13">
        <v>12</v>
      </c>
      <c r="B13" s="1">
        <v>46461</v>
      </c>
      <c r="C13">
        <f t="shared" si="0"/>
        <v>2.1016160498941394E-2</v>
      </c>
      <c r="D13">
        <v>1.5238737721100382</v>
      </c>
      <c r="E13">
        <f t="shared" si="1"/>
        <v>1523.8737721100381</v>
      </c>
      <c r="F13">
        <f t="shared" si="2"/>
        <v>32.025975774791803</v>
      </c>
      <c r="G13">
        <f t="shared" si="3"/>
        <v>384.31170929750164</v>
      </c>
      <c r="H13">
        <f t="shared" si="4"/>
        <v>0.52237993671295324</v>
      </c>
      <c r="I13">
        <f t="shared" si="5"/>
        <v>200.75672638087579</v>
      </c>
    </row>
    <row r="14" spans="1:9">
      <c r="A14">
        <v>13</v>
      </c>
      <c r="B14" s="1">
        <v>46645</v>
      </c>
      <c r="C14">
        <f t="shared" si="0"/>
        <v>2.1016160498941394E-2</v>
      </c>
      <c r="D14">
        <v>1.5546893085665905</v>
      </c>
      <c r="E14">
        <f t="shared" si="1"/>
        <v>1554.6893085665904</v>
      </c>
      <c r="F14">
        <f t="shared" si="2"/>
        <v>32.673600034823686</v>
      </c>
      <c r="G14">
        <f t="shared" si="3"/>
        <v>424.75680045270792</v>
      </c>
      <c r="H14">
        <f t="shared" si="4"/>
        <v>0.49486343169003683</v>
      </c>
      <c r="I14">
        <f t="shared" si="5"/>
        <v>210.19660790570722</v>
      </c>
    </row>
    <row r="15" spans="1:9">
      <c r="A15">
        <v>14</v>
      </c>
      <c r="B15" s="1">
        <v>46827</v>
      </c>
      <c r="C15">
        <f t="shared" si="0"/>
        <v>2.1016160498941394E-2</v>
      </c>
      <c r="D15">
        <v>1.6155522159000371</v>
      </c>
      <c r="E15">
        <f t="shared" si="1"/>
        <v>1615.552215900037</v>
      </c>
      <c r="F15">
        <f t="shared" si="2"/>
        <v>33.952704663775599</v>
      </c>
      <c r="G15">
        <f t="shared" si="3"/>
        <v>475.3378652928584</v>
      </c>
      <c r="H15">
        <f t="shared" si="4"/>
        <v>0.46879636604153541</v>
      </c>
      <c r="I15">
        <f t="shared" si="5"/>
        <v>222.83666389123289</v>
      </c>
    </row>
    <row r="16" spans="1:9">
      <c r="A16">
        <v>15</v>
      </c>
      <c r="B16" s="1">
        <v>47011</v>
      </c>
      <c r="C16">
        <f t="shared" si="0"/>
        <v>2.1016160498941394E-2</v>
      </c>
      <c r="D16">
        <v>1.6484234483856808</v>
      </c>
      <c r="E16">
        <f t="shared" si="1"/>
        <v>1648.4234483856808</v>
      </c>
      <c r="F16">
        <f t="shared" si="2"/>
        <v>34.6435317614919</v>
      </c>
      <c r="G16">
        <f t="shared" si="3"/>
        <v>519.65297642237852</v>
      </c>
      <c r="H16">
        <f t="shared" si="4"/>
        <v>0.44410239015479447</v>
      </c>
      <c r="I16">
        <f t="shared" si="5"/>
        <v>230.77912888023135</v>
      </c>
    </row>
    <row r="17" spans="1:15">
      <c r="A17">
        <v>16</v>
      </c>
      <c r="B17" s="1">
        <v>47192</v>
      </c>
      <c r="C17">
        <f t="shared" si="0"/>
        <v>2.1016160498941394E-2</v>
      </c>
      <c r="D17">
        <v>1.7133019609549955</v>
      </c>
      <c r="E17">
        <f t="shared" si="1"/>
        <v>1713.3019609549956</v>
      </c>
      <c r="F17">
        <f t="shared" si="2"/>
        <v>36.007028994581212</v>
      </c>
      <c r="G17">
        <f t="shared" si="3"/>
        <v>576.11246391329939</v>
      </c>
      <c r="H17">
        <f t="shared" si="4"/>
        <v>0.42070917615373965</v>
      </c>
      <c r="I17">
        <f t="shared" si="5"/>
        <v>242.37580006486525</v>
      </c>
    </row>
    <row r="18" spans="1:15">
      <c r="H18" t="s">
        <v>4</v>
      </c>
      <c r="I18">
        <f>SUM(I2:I17)</f>
        <v>2330.9502276256881</v>
      </c>
    </row>
    <row r="19" spans="1:15">
      <c r="A19" t="s">
        <v>98</v>
      </c>
      <c r="B19" s="8">
        <v>1000</v>
      </c>
      <c r="H19" t="s">
        <v>5</v>
      </c>
      <c r="I19">
        <f>(A17*B21)*H17</f>
        <v>11532.829703935406</v>
      </c>
    </row>
    <row r="20" spans="1:15">
      <c r="A20" t="s">
        <v>79</v>
      </c>
      <c r="B20" s="13">
        <v>4.2473999999999998E-2</v>
      </c>
      <c r="H20" t="s">
        <v>6</v>
      </c>
      <c r="I20">
        <f>SUM(I18:I19)</f>
        <v>13863.779931561094</v>
      </c>
    </row>
    <row r="21" spans="1:15">
      <c r="A21" t="s">
        <v>111</v>
      </c>
      <c r="B21">
        <f>B19*D17</f>
        <v>1713.3019609549956</v>
      </c>
      <c r="H21" t="s">
        <v>89</v>
      </c>
      <c r="I21">
        <f>(I20/B22)/2</f>
        <v>6.8508254634302652</v>
      </c>
    </row>
    <row r="22" spans="1:15">
      <c r="A22" t="s">
        <v>90</v>
      </c>
      <c r="B22">
        <v>1011.832808</v>
      </c>
      <c r="H22" t="s">
        <v>18</v>
      </c>
      <c r="I22">
        <f>I21/(1+B23)</f>
        <v>6.4899563717461621</v>
      </c>
    </row>
    <row r="23" spans="1:15">
      <c r="A23" t="s">
        <v>101</v>
      </c>
      <c r="B23">
        <v>5.5604239999999999E-2</v>
      </c>
    </row>
    <row r="24" spans="1:15">
      <c r="A24" t="s">
        <v>119</v>
      </c>
      <c r="B24">
        <f>F4/B22</f>
        <v>2.3533271148041136E-2</v>
      </c>
      <c r="O24" s="6"/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F4769-1919-4A54-9E2F-B08EDD0E1DAB}">
  <dimension ref="A1:J14"/>
  <sheetViews>
    <sheetView tabSelected="1" workbookViewId="0">
      <selection activeCell="B13" sqref="B13"/>
    </sheetView>
  </sheetViews>
  <sheetFormatPr defaultRowHeight="15"/>
  <cols>
    <col min="2" max="2" width="13" customWidth="1"/>
  </cols>
  <sheetData>
    <row r="1" spans="1:10">
      <c r="A1" t="s">
        <v>96</v>
      </c>
      <c r="B1" t="s">
        <v>0</v>
      </c>
      <c r="C1" t="s">
        <v>121</v>
      </c>
      <c r="D1" t="s">
        <v>141</v>
      </c>
      <c r="E1" t="s">
        <v>116</v>
      </c>
      <c r="F1" t="s">
        <v>142</v>
      </c>
      <c r="G1" t="s">
        <v>107</v>
      </c>
      <c r="H1" t="s">
        <v>12</v>
      </c>
      <c r="I1" t="s">
        <v>3</v>
      </c>
      <c r="J1" t="s">
        <v>102</v>
      </c>
    </row>
    <row r="2" spans="1:10">
      <c r="A2">
        <v>0</v>
      </c>
      <c r="B2" s="1">
        <v>44188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</v>
      </c>
      <c r="B3" s="1">
        <v>44362</v>
      </c>
      <c r="C3">
        <v>3.4000000000000002E-2</v>
      </c>
      <c r="D3" s="13">
        <f>(1+C3)^(NETWORKDAYS.INTL(B2,B3)/252)-1</f>
        <v>1.6723000109835517E-2</v>
      </c>
      <c r="E3">
        <f>1.6/100</f>
        <v>1.6E-2</v>
      </c>
      <c r="F3" s="13">
        <f>D3+E3</f>
        <v>3.2723000109835518E-2</v>
      </c>
      <c r="G3">
        <f>$B$10*F3</f>
        <v>32.723000109835517</v>
      </c>
      <c r="H3">
        <f>A3*G3</f>
        <v>32.723000109835517</v>
      </c>
      <c r="I3">
        <f>(1+$B$12)^(-A3)</f>
        <v>0.94578491328358216</v>
      </c>
      <c r="J3">
        <f>H3*I3</f>
        <v>30.948919821259434</v>
      </c>
    </row>
    <row r="4" spans="1:10">
      <c r="A4">
        <v>2</v>
      </c>
      <c r="B4" s="1">
        <v>44545</v>
      </c>
      <c r="C4">
        <v>9.1499999999999998E-2</v>
      </c>
      <c r="D4" s="13">
        <f t="shared" ref="D4:D8" si="0">(1+C4)^(NETWORKDAYS.INTL(B3,B4)/252)-1</f>
        <v>4.692892095612633E-2</v>
      </c>
      <c r="E4">
        <f t="shared" ref="E4:E8" si="1">1.6/100</f>
        <v>1.6E-2</v>
      </c>
      <c r="F4" s="13">
        <f t="shared" ref="F4:F8" si="2">D4+E4</f>
        <v>6.292892095612633E-2</v>
      </c>
      <c r="G4">
        <f t="shared" ref="G4:G8" si="3">$B$10*F4</f>
        <v>62.928920956126333</v>
      </c>
      <c r="H4">
        <f t="shared" ref="H4:H8" si="4">A4*G4</f>
        <v>125.85784191225267</v>
      </c>
      <c r="I4">
        <f t="shared" ref="I4:I8" si="5">(1+$B$12)^(-A4)</f>
        <v>0.89450910219483315</v>
      </c>
      <c r="J4">
        <f t="shared" ref="J4:J8" si="6">H4*I4</f>
        <v>112.58098517310837</v>
      </c>
    </row>
    <row r="5" spans="1:10">
      <c r="A5">
        <v>3</v>
      </c>
      <c r="B5" s="1">
        <v>44727</v>
      </c>
      <c r="C5">
        <v>0.1265</v>
      </c>
      <c r="D5" s="13">
        <f t="shared" si="0"/>
        <v>6.3878446991125104E-2</v>
      </c>
      <c r="E5">
        <f t="shared" si="1"/>
        <v>1.6E-2</v>
      </c>
      <c r="F5" s="13">
        <f t="shared" si="2"/>
        <v>7.9878446991125104E-2</v>
      </c>
      <c r="G5">
        <f t="shared" si="3"/>
        <v>79.878446991125102</v>
      </c>
      <c r="H5">
        <f t="shared" si="4"/>
        <v>239.63534097337532</v>
      </c>
      <c r="I5">
        <f t="shared" si="5"/>
        <v>0.84601321365071513</v>
      </c>
      <c r="J5">
        <f t="shared" si="6"/>
        <v>202.73466492117015</v>
      </c>
    </row>
    <row r="6" spans="1:10">
      <c r="A6">
        <v>4</v>
      </c>
      <c r="B6" s="1">
        <v>44910</v>
      </c>
      <c r="C6">
        <v>0.13655999999999999</v>
      </c>
      <c r="D6" s="13">
        <f t="shared" si="0"/>
        <v>6.9349846734491294E-2</v>
      </c>
      <c r="E6">
        <f t="shared" si="1"/>
        <v>1.6E-2</v>
      </c>
      <c r="F6" s="13">
        <f t="shared" si="2"/>
        <v>8.5349846734491294E-2</v>
      </c>
      <c r="G6">
        <f t="shared" si="3"/>
        <v>85.349846734491294</v>
      </c>
      <c r="H6">
        <f t="shared" si="4"/>
        <v>341.39938693796518</v>
      </c>
      <c r="I6">
        <f t="shared" si="5"/>
        <v>0.80014653390940638</v>
      </c>
      <c r="J6">
        <f t="shared" si="6"/>
        <v>273.16953613720909</v>
      </c>
    </row>
    <row r="7" spans="1:10">
      <c r="A7">
        <v>5</v>
      </c>
      <c r="B7" s="1">
        <v>45092</v>
      </c>
      <c r="C7">
        <v>0.13658000000000001</v>
      </c>
      <c r="D7" s="13">
        <f t="shared" si="0"/>
        <v>6.8816573721348639E-2</v>
      </c>
      <c r="E7">
        <f t="shared" si="1"/>
        <v>1.6E-2</v>
      </c>
      <c r="F7" s="13">
        <f t="shared" si="2"/>
        <v>8.481657372134864E-2</v>
      </c>
      <c r="G7">
        <f t="shared" si="3"/>
        <v>84.816573721348647</v>
      </c>
      <c r="H7">
        <f t="shared" si="4"/>
        <v>424.0828686067432</v>
      </c>
      <c r="I7">
        <f t="shared" si="5"/>
        <v>0.75676652018766677</v>
      </c>
      <c r="J7">
        <f t="shared" si="6"/>
        <v>320.93171674672857</v>
      </c>
    </row>
    <row r="8" spans="1:10">
      <c r="A8">
        <v>6</v>
      </c>
      <c r="B8" s="1">
        <v>45275</v>
      </c>
      <c r="C8">
        <v>0.13150999999999999</v>
      </c>
      <c r="D8" s="13">
        <f t="shared" si="0"/>
        <v>6.6858395325497755E-2</v>
      </c>
      <c r="E8">
        <f t="shared" si="1"/>
        <v>1.6E-2</v>
      </c>
      <c r="F8" s="13">
        <f t="shared" si="2"/>
        <v>8.2858395325497755E-2</v>
      </c>
      <c r="G8">
        <f t="shared" si="3"/>
        <v>82.858395325497753</v>
      </c>
      <c r="H8">
        <f t="shared" si="4"/>
        <v>497.15037195298652</v>
      </c>
      <c r="I8">
        <f t="shared" si="5"/>
        <v>0.71573835767161065</v>
      </c>
      <c r="J8">
        <f t="shared" si="6"/>
        <v>355.82959073746093</v>
      </c>
    </row>
    <row r="9" spans="1:10">
      <c r="I9" t="s">
        <v>4</v>
      </c>
      <c r="J9">
        <f>SUM(J3:J8)</f>
        <v>1296.1954135369365</v>
      </c>
    </row>
    <row r="10" spans="1:10">
      <c r="A10" t="s">
        <v>98</v>
      </c>
      <c r="B10">
        <v>1000</v>
      </c>
      <c r="I10" t="s">
        <v>5</v>
      </c>
      <c r="J10">
        <f>(A8*B10)*I8</f>
        <v>4294.4301460296638</v>
      </c>
    </row>
    <row r="11" spans="1:10">
      <c r="A11" t="s">
        <v>90</v>
      </c>
      <c r="B11" s="8">
        <v>1063.1368190000001</v>
      </c>
      <c r="I11" t="s">
        <v>6</v>
      </c>
      <c r="J11">
        <f>SUM(J9:J10)</f>
        <v>5590.6255595666007</v>
      </c>
    </row>
    <row r="12" spans="1:10">
      <c r="A12" t="s">
        <v>101</v>
      </c>
      <c r="B12">
        <v>5.7322850000000002E-2</v>
      </c>
      <c r="I12" t="s">
        <v>89</v>
      </c>
      <c r="J12">
        <f>(J11/B11)/2</f>
        <v>2.6293067174670961</v>
      </c>
    </row>
    <row r="13" spans="1:10">
      <c r="A13" t="s">
        <v>119</v>
      </c>
      <c r="B13">
        <f>G5/B11</f>
        <v>7.513468216279047E-2</v>
      </c>
      <c r="I13" t="s">
        <v>18</v>
      </c>
      <c r="J13">
        <f>J12/(1+B12)</f>
        <v>2.4867586257755576</v>
      </c>
    </row>
    <row r="14" spans="1:10">
      <c r="A14" t="s">
        <v>19</v>
      </c>
      <c r="B14" t="s">
        <v>154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A8626-7941-4F1C-9923-C6C5476902D3}">
  <dimension ref="A1:N18"/>
  <sheetViews>
    <sheetView workbookViewId="0">
      <selection activeCell="B17" sqref="B17"/>
    </sheetView>
  </sheetViews>
  <sheetFormatPr defaultRowHeight="15"/>
  <cols>
    <col min="2" max="2" width="10.7109375" bestFit="1" customWidth="1"/>
    <col min="4" max="4" width="10.7109375" bestFit="1" customWidth="1"/>
  </cols>
  <sheetData>
    <row r="1" spans="1:10">
      <c r="A1" t="s">
        <v>96</v>
      </c>
      <c r="B1" t="s">
        <v>0</v>
      </c>
      <c r="C1" t="s">
        <v>121</v>
      </c>
      <c r="D1" t="s">
        <v>141</v>
      </c>
      <c r="E1" t="s">
        <v>116</v>
      </c>
      <c r="F1" t="s">
        <v>142</v>
      </c>
      <c r="G1" t="s">
        <v>107</v>
      </c>
      <c r="H1" t="s">
        <v>12</v>
      </c>
      <c r="I1" t="s">
        <v>3</v>
      </c>
      <c r="J1" t="s">
        <v>102</v>
      </c>
    </row>
    <row r="2" spans="1:10">
      <c r="A2">
        <v>0</v>
      </c>
      <c r="B2" s="1">
        <v>44188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</v>
      </c>
      <c r="B3" s="1">
        <v>44362</v>
      </c>
      <c r="C3">
        <v>3.4000000000000002E-2</v>
      </c>
      <c r="D3" s="13">
        <f>(1+C3)^(NETWORKDAYS.INTL(B2,B3)/252)-1</f>
        <v>1.6723000109835517E-2</v>
      </c>
      <c r="E3">
        <f>1.8/100</f>
        <v>1.8000000000000002E-2</v>
      </c>
      <c r="F3" s="13">
        <f>D3+E3</f>
        <v>3.472300010983552E-2</v>
      </c>
      <c r="G3">
        <f>$B$14*F3</f>
        <v>34.723000109835517</v>
      </c>
      <c r="H3">
        <f>A3*G3</f>
        <v>34.723000109835517</v>
      </c>
      <c r="I3">
        <f>(1+$B$16)^(-A3)</f>
        <v>0.93999075519092279</v>
      </c>
      <c r="J3">
        <f>H3*I3</f>
        <v>32.639299095738785</v>
      </c>
    </row>
    <row r="4" spans="1:10">
      <c r="A4">
        <v>2</v>
      </c>
      <c r="B4" s="1">
        <v>44545</v>
      </c>
      <c r="C4">
        <v>9.1499999999999998E-2</v>
      </c>
      <c r="D4" s="13">
        <f t="shared" ref="D4:D12" si="0">(1+C4)^(NETWORKDAYS.INTL(B3,B4)/252)-1</f>
        <v>4.692892095612633E-2</v>
      </c>
      <c r="E4">
        <f t="shared" ref="E4:E12" si="1">1.8/100</f>
        <v>1.8000000000000002E-2</v>
      </c>
      <c r="F4" s="13">
        <f t="shared" ref="F4:F12" si="2">D4+E4</f>
        <v>6.4928920956126332E-2</v>
      </c>
      <c r="G4">
        <f t="shared" ref="G4:G12" si="3">$B$14*F4</f>
        <v>64.928920956126333</v>
      </c>
      <c r="H4">
        <f t="shared" ref="H4:H12" si="4">A4*G4</f>
        <v>129.85784191225267</v>
      </c>
      <c r="I4">
        <f t="shared" ref="I4:I12" si="5">(1+$B$16)^(-A4)</f>
        <v>0.88358261984440123</v>
      </c>
      <c r="J4">
        <f t="shared" ref="J4:J12" si="6">H4*I4</f>
        <v>114.7401321641683</v>
      </c>
    </row>
    <row r="5" spans="1:10">
      <c r="A5">
        <v>3</v>
      </c>
      <c r="B5" s="1">
        <v>44727</v>
      </c>
      <c r="C5">
        <v>0.1265</v>
      </c>
      <c r="D5" s="13">
        <f t="shared" si="0"/>
        <v>6.3878446991125104E-2</v>
      </c>
      <c r="E5">
        <f t="shared" si="1"/>
        <v>1.8000000000000002E-2</v>
      </c>
      <c r="F5" s="13">
        <f t="shared" si="2"/>
        <v>8.1878446991125106E-2</v>
      </c>
      <c r="G5">
        <f t="shared" si="3"/>
        <v>81.878446991125102</v>
      </c>
      <c r="H5">
        <f t="shared" si="4"/>
        <v>245.63534097337532</v>
      </c>
      <c r="I5">
        <f t="shared" si="5"/>
        <v>0.83055949410111285</v>
      </c>
      <c r="J5">
        <f t="shared" si="6"/>
        <v>204.01476453220096</v>
      </c>
    </row>
    <row r="6" spans="1:10">
      <c r="A6">
        <v>4</v>
      </c>
      <c r="B6" s="1">
        <v>44910</v>
      </c>
      <c r="C6">
        <v>0.13655999999999999</v>
      </c>
      <c r="D6" s="13">
        <f t="shared" si="0"/>
        <v>6.9349846734491294E-2</v>
      </c>
      <c r="E6">
        <f t="shared" si="1"/>
        <v>1.8000000000000002E-2</v>
      </c>
      <c r="F6" s="13">
        <f t="shared" si="2"/>
        <v>8.7349846734491296E-2</v>
      </c>
      <c r="G6">
        <f t="shared" si="3"/>
        <v>87.349846734491294</v>
      </c>
      <c r="H6">
        <f t="shared" si="4"/>
        <v>349.39938693796518</v>
      </c>
      <c r="I6">
        <f t="shared" si="5"/>
        <v>0.78071824609109575</v>
      </c>
      <c r="J6">
        <f t="shared" si="6"/>
        <v>272.78247655551229</v>
      </c>
    </row>
    <row r="7" spans="1:10">
      <c r="A7">
        <v>5</v>
      </c>
      <c r="B7" s="1">
        <v>45092</v>
      </c>
      <c r="C7">
        <v>0.13658000000000001</v>
      </c>
      <c r="D7" s="13">
        <f t="shared" si="0"/>
        <v>6.8816573721348639E-2</v>
      </c>
      <c r="E7">
        <f t="shared" si="1"/>
        <v>1.8000000000000002E-2</v>
      </c>
      <c r="F7" s="13">
        <f t="shared" si="2"/>
        <v>8.6816573721348642E-2</v>
      </c>
      <c r="G7">
        <f t="shared" si="3"/>
        <v>86.816573721348647</v>
      </c>
      <c r="H7">
        <f t="shared" si="4"/>
        <v>434.0828686067432</v>
      </c>
      <c r="I7">
        <f t="shared" si="5"/>
        <v>0.73386793373450165</v>
      </c>
      <c r="J7">
        <f t="shared" si="6"/>
        <v>318.55949785397581</v>
      </c>
    </row>
    <row r="8" spans="1:10">
      <c r="A8">
        <v>6</v>
      </c>
      <c r="B8" s="1">
        <v>45275</v>
      </c>
      <c r="C8">
        <v>0.13150999999999999</v>
      </c>
      <c r="D8" s="13">
        <f t="shared" si="0"/>
        <v>6.6858395325497755E-2</v>
      </c>
      <c r="E8">
        <f t="shared" si="1"/>
        <v>1.8000000000000002E-2</v>
      </c>
      <c r="F8" s="13">
        <f t="shared" si="2"/>
        <v>8.4858395325497757E-2</v>
      </c>
      <c r="G8">
        <f t="shared" si="3"/>
        <v>84.858395325497753</v>
      </c>
      <c r="H8">
        <f t="shared" si="4"/>
        <v>509.15037195298652</v>
      </c>
      <c r="I8">
        <f t="shared" si="5"/>
        <v>0.68982907324149634</v>
      </c>
      <c r="J8">
        <f t="shared" si="6"/>
        <v>351.22672922489181</v>
      </c>
    </row>
    <row r="9" spans="1:10">
      <c r="A9">
        <v>7</v>
      </c>
      <c r="B9" s="1">
        <v>45458</v>
      </c>
      <c r="C9">
        <v>0.12570000000000001</v>
      </c>
      <c r="D9" s="13">
        <f t="shared" si="0"/>
        <v>6.3485625154833025E-2</v>
      </c>
      <c r="E9">
        <f t="shared" si="1"/>
        <v>1.8000000000000002E-2</v>
      </c>
      <c r="F9" s="13">
        <f t="shared" si="2"/>
        <v>8.1485625154833027E-2</v>
      </c>
      <c r="G9">
        <f t="shared" si="3"/>
        <v>81.485625154833031</v>
      </c>
      <c r="H9">
        <f t="shared" si="4"/>
        <v>570.39937608383116</v>
      </c>
      <c r="I9">
        <f t="shared" si="5"/>
        <v>0.64843295150892855</v>
      </c>
      <c r="J9">
        <f t="shared" si="6"/>
        <v>369.86575097289</v>
      </c>
    </row>
    <row r="10" spans="1:10">
      <c r="A10">
        <v>8</v>
      </c>
      <c r="B10" s="1">
        <v>45641</v>
      </c>
      <c r="C10">
        <v>0.11924999999999999</v>
      </c>
      <c r="D10" s="13">
        <f t="shared" si="0"/>
        <v>5.9839672449477188E-2</v>
      </c>
      <c r="E10">
        <f t="shared" si="1"/>
        <v>1.8000000000000002E-2</v>
      </c>
      <c r="F10" s="13">
        <f t="shared" si="2"/>
        <v>7.783967244947719E-2</v>
      </c>
      <c r="G10">
        <f t="shared" si="3"/>
        <v>77.839672449477192</v>
      </c>
      <c r="H10">
        <f t="shared" si="4"/>
        <v>622.71737959581753</v>
      </c>
      <c r="I10">
        <f t="shared" si="5"/>
        <v>0.60952097977955666</v>
      </c>
      <c r="J10">
        <f t="shared" si="6"/>
        <v>379.5593073370008</v>
      </c>
    </row>
    <row r="11" spans="1:10">
      <c r="A11">
        <v>9</v>
      </c>
      <c r="B11" s="1">
        <v>45823</v>
      </c>
      <c r="C11">
        <v>0.11595</v>
      </c>
      <c r="D11" s="13">
        <f t="shared" si="0"/>
        <v>5.8226502516244949E-2</v>
      </c>
      <c r="E11">
        <f t="shared" si="1"/>
        <v>1.8000000000000002E-2</v>
      </c>
      <c r="F11" s="13">
        <f t="shared" si="2"/>
        <v>7.6226502516244951E-2</v>
      </c>
      <c r="G11">
        <f t="shared" si="3"/>
        <v>76.226502516244949</v>
      </c>
      <c r="H11">
        <f t="shared" si="4"/>
        <v>686.03852264620457</v>
      </c>
      <c r="I11">
        <f t="shared" si="5"/>
        <v>0.57294408608769665</v>
      </c>
      <c r="J11">
        <f t="shared" si="6"/>
        <v>393.06171437848326</v>
      </c>
    </row>
    <row r="12" spans="1:10">
      <c r="A12">
        <v>10</v>
      </c>
      <c r="B12" s="1">
        <v>46006</v>
      </c>
      <c r="C12">
        <v>0.11544</v>
      </c>
      <c r="D12" s="13">
        <f t="shared" si="0"/>
        <v>5.8435750126872632E-2</v>
      </c>
      <c r="E12">
        <f t="shared" si="1"/>
        <v>1.8000000000000002E-2</v>
      </c>
      <c r="F12" s="13">
        <f t="shared" si="2"/>
        <v>7.6435750126872634E-2</v>
      </c>
      <c r="G12">
        <f t="shared" si="3"/>
        <v>76.435750126872634</v>
      </c>
      <c r="H12">
        <f t="shared" si="4"/>
        <v>764.35750126872631</v>
      </c>
      <c r="I12">
        <f t="shared" si="5"/>
        <v>0.53856214416374704</v>
      </c>
      <c r="J12">
        <f t="shared" si="6"/>
        <v>411.65401479092924</v>
      </c>
    </row>
    <row r="13" spans="1:10">
      <c r="I13" t="s">
        <v>4</v>
      </c>
      <c r="J13">
        <f>SUM(J3:J12)</f>
        <v>2848.1036869057912</v>
      </c>
    </row>
    <row r="14" spans="1:10">
      <c r="A14" t="s">
        <v>98</v>
      </c>
      <c r="B14" s="8">
        <v>1000</v>
      </c>
      <c r="I14" t="s">
        <v>5</v>
      </c>
      <c r="J14">
        <f>(A12*B14)*I12</f>
        <v>5385.6214416374705</v>
      </c>
    </row>
    <row r="15" spans="1:10">
      <c r="A15" t="s">
        <v>90</v>
      </c>
      <c r="B15" s="6">
        <v>1071.5626589999999</v>
      </c>
      <c r="I15" t="s">
        <v>6</v>
      </c>
      <c r="J15">
        <f>SUM(J13:J14)</f>
        <v>8233.7251285432612</v>
      </c>
    </row>
    <row r="16" spans="1:10">
      <c r="A16" t="s">
        <v>101</v>
      </c>
      <c r="B16">
        <v>6.3840250000000001E-2</v>
      </c>
      <c r="I16" t="s">
        <v>89</v>
      </c>
      <c r="J16">
        <f>(J15/B15)/2</f>
        <v>3.8419242493141326</v>
      </c>
    </row>
    <row r="17" spans="1:14">
      <c r="A17" t="s">
        <v>119</v>
      </c>
      <c r="B17">
        <f>G5/B15</f>
        <v>7.6410321228938149E-2</v>
      </c>
      <c r="I17" t="s">
        <v>18</v>
      </c>
      <c r="J17">
        <f>J16/(1+B16)</f>
        <v>3.6113732764991107</v>
      </c>
    </row>
    <row r="18" spans="1:14">
      <c r="A18" t="s">
        <v>19</v>
      </c>
      <c r="B18" t="s">
        <v>154</v>
      </c>
      <c r="N18" s="6"/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9D986-EDD8-4246-A680-DCA69DC2B984}">
  <dimension ref="A1:L26"/>
  <sheetViews>
    <sheetView topLeftCell="A7" workbookViewId="0">
      <selection activeCell="B23" sqref="B23"/>
    </sheetView>
  </sheetViews>
  <sheetFormatPr defaultRowHeight="15"/>
  <cols>
    <col min="2" max="2" width="10.7109375" bestFit="1" customWidth="1"/>
    <col min="4" max="4" width="10.7109375" bestFit="1" customWidth="1"/>
    <col min="6" max="6" width="10.5703125" bestFit="1" customWidth="1"/>
  </cols>
  <sheetData>
    <row r="1" spans="1:10">
      <c r="A1" t="s">
        <v>96</v>
      </c>
      <c r="B1" t="s">
        <v>0</v>
      </c>
      <c r="C1" t="s">
        <v>121</v>
      </c>
      <c r="D1" t="s">
        <v>141</v>
      </c>
      <c r="E1" t="s">
        <v>116</v>
      </c>
      <c r="F1" t="s">
        <v>142</v>
      </c>
      <c r="G1" t="s">
        <v>107</v>
      </c>
      <c r="H1" t="s">
        <v>12</v>
      </c>
      <c r="I1" t="s">
        <v>3</v>
      </c>
      <c r="J1" t="s">
        <v>102</v>
      </c>
    </row>
    <row r="2" spans="1:10">
      <c r="A2">
        <v>0</v>
      </c>
      <c r="B2" s="1">
        <v>44188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</v>
      </c>
      <c r="B3" s="1">
        <v>44454</v>
      </c>
      <c r="C3">
        <v>5.1499999999999997E-2</v>
      </c>
      <c r="D3" s="15">
        <f>(1+C3)^(NETWORKDAYS.INTL(B2,B3)/252)-1</f>
        <v>3.8795470443878655E-2</v>
      </c>
      <c r="E3">
        <f>2.25/100</f>
        <v>2.2499999999999999E-2</v>
      </c>
      <c r="F3" s="15">
        <f>D3+E3</f>
        <v>6.1295470443878654E-2</v>
      </c>
      <c r="G3">
        <f>$B$21*F3</f>
        <v>66.670972992550958</v>
      </c>
      <c r="H3">
        <f>A3*G3</f>
        <v>66.670972992550958</v>
      </c>
      <c r="I3">
        <f>(1+$B$22)^(-A3)</f>
        <v>0.92665261033499746</v>
      </c>
      <c r="J3">
        <f>H3*I3</f>
        <v>61.780831157121462</v>
      </c>
    </row>
    <row r="4" spans="1:10">
      <c r="A4">
        <v>2</v>
      </c>
      <c r="B4" s="1">
        <v>44635</v>
      </c>
      <c r="C4">
        <v>0.1065</v>
      </c>
      <c r="D4" s="15">
        <f t="shared" ref="D4:D18" si="0">(1+C4)^(NETWORKDAYS.INTL(B3,B4)/252)-1</f>
        <v>5.3594150284956621E-2</v>
      </c>
      <c r="E4">
        <f t="shared" ref="E4:E18" si="1">2.25/100</f>
        <v>2.2499999999999999E-2</v>
      </c>
      <c r="F4" s="15">
        <f t="shared" ref="F4:F18" si="2">D4+E4</f>
        <v>7.6094150284956613E-2</v>
      </c>
      <c r="G4">
        <f t="shared" ref="G4:G18" si="3">$B$21*F4</f>
        <v>82.767470447665104</v>
      </c>
      <c r="H4">
        <f t="shared" ref="H4:H18" si="4">A4*G4</f>
        <v>165.53494089533021</v>
      </c>
      <c r="I4">
        <f t="shared" ref="I4:I18" si="5">(1+$B$22)^(-A4)</f>
        <v>0.85868506024066449</v>
      </c>
      <c r="J4">
        <f t="shared" ref="J4:J18" si="6">H4*I4</f>
        <v>142.14238069464145</v>
      </c>
    </row>
    <row r="5" spans="1:10">
      <c r="A5">
        <v>3</v>
      </c>
      <c r="B5" s="1">
        <v>44819</v>
      </c>
      <c r="C5">
        <v>0.13650000000000001</v>
      </c>
      <c r="D5" s="15">
        <f t="shared" si="0"/>
        <v>6.9863363092107056E-2</v>
      </c>
      <c r="E5">
        <f t="shared" si="1"/>
        <v>2.2499999999999999E-2</v>
      </c>
      <c r="F5" s="15">
        <f t="shared" si="2"/>
        <v>9.2363363092107048E-2</v>
      </c>
      <c r="G5">
        <f t="shared" si="3"/>
        <v>100.463463965958</v>
      </c>
      <c r="H5">
        <f t="shared" si="4"/>
        <v>301.390391897874</v>
      </c>
      <c r="I5">
        <f t="shared" si="5"/>
        <v>0.7957027525276763</v>
      </c>
      <c r="J5">
        <f t="shared" si="6"/>
        <v>239.81716441853342</v>
      </c>
    </row>
    <row r="6" spans="1:10">
      <c r="A6">
        <v>4</v>
      </c>
      <c r="B6" s="1">
        <v>45000</v>
      </c>
      <c r="C6">
        <v>0.13705000000000001</v>
      </c>
      <c r="D6" s="15">
        <f t="shared" si="0"/>
        <v>6.850158603241141E-2</v>
      </c>
      <c r="E6">
        <f t="shared" si="1"/>
        <v>2.2499999999999999E-2</v>
      </c>
      <c r="F6" s="15">
        <f t="shared" si="2"/>
        <v>9.1001586032411402E-2</v>
      </c>
      <c r="G6">
        <f t="shared" si="3"/>
        <v>98.9822615066022</v>
      </c>
      <c r="H6">
        <f t="shared" si="4"/>
        <v>395.9290460264088</v>
      </c>
      <c r="I6">
        <f t="shared" si="5"/>
        <v>0.73734003268051362</v>
      </c>
      <c r="J6">
        <f t="shared" si="6"/>
        <v>291.93433573627686</v>
      </c>
    </row>
    <row r="7" spans="1:10">
      <c r="A7">
        <v>5</v>
      </c>
      <c r="B7" s="1">
        <v>45184</v>
      </c>
      <c r="C7">
        <v>0.13413</v>
      </c>
      <c r="D7" s="15">
        <f t="shared" si="0"/>
        <v>6.8685289764101043E-2</v>
      </c>
      <c r="E7">
        <f t="shared" si="1"/>
        <v>2.2499999999999999E-2</v>
      </c>
      <c r="F7" s="15">
        <f t="shared" si="2"/>
        <v>9.1185289764101035E-2</v>
      </c>
      <c r="G7">
        <f t="shared" si="3"/>
        <v>99.182075725261697</v>
      </c>
      <c r="H7">
        <f t="shared" si="4"/>
        <v>495.9103786263085</v>
      </c>
      <c r="I7">
        <f t="shared" si="5"/>
        <v>0.6832580659878903</v>
      </c>
      <c r="J7">
        <f t="shared" si="6"/>
        <v>338.83476620353395</v>
      </c>
    </row>
    <row r="8" spans="1:10">
      <c r="A8">
        <v>6</v>
      </c>
      <c r="B8" s="1">
        <v>45366</v>
      </c>
      <c r="C8">
        <v>0.12934999999999999</v>
      </c>
      <c r="D8" s="15">
        <f t="shared" si="0"/>
        <v>6.5276787347437359E-2</v>
      </c>
      <c r="E8">
        <f t="shared" si="1"/>
        <v>2.2499999999999999E-2</v>
      </c>
      <c r="F8" s="15">
        <f t="shared" si="2"/>
        <v>8.7776787347437352E-2</v>
      </c>
      <c r="G8">
        <f t="shared" si="3"/>
        <v>95.474653775143963</v>
      </c>
      <c r="H8">
        <f t="shared" si="4"/>
        <v>572.84792265086378</v>
      </c>
      <c r="I8">
        <f t="shared" si="5"/>
        <v>0.63314287038012051</v>
      </c>
      <c r="J8">
        <f t="shared" si="6"/>
        <v>362.69457803845717</v>
      </c>
    </row>
    <row r="9" spans="1:10">
      <c r="A9">
        <v>7</v>
      </c>
      <c r="B9" s="1">
        <v>45550</v>
      </c>
      <c r="C9">
        <v>0.1205</v>
      </c>
      <c r="D9" s="15">
        <f t="shared" si="0"/>
        <v>6.0929009015429525E-2</v>
      </c>
      <c r="E9">
        <f t="shared" si="1"/>
        <v>2.2499999999999999E-2</v>
      </c>
      <c r="F9" s="15">
        <f t="shared" si="2"/>
        <v>8.3429009015429517E-2</v>
      </c>
      <c r="G9">
        <f t="shared" si="3"/>
        <v>90.745583100724474</v>
      </c>
      <c r="H9">
        <f t="shared" si="4"/>
        <v>635.21908170507129</v>
      </c>
      <c r="I9">
        <f t="shared" si="5"/>
        <v>0.58670349355273155</v>
      </c>
      <c r="J9">
        <f t="shared" si="6"/>
        <v>372.68525440772333</v>
      </c>
    </row>
    <row r="10" spans="1:10">
      <c r="A10">
        <v>8</v>
      </c>
      <c r="B10" s="1">
        <v>45731</v>
      </c>
      <c r="C10">
        <v>0.1171</v>
      </c>
      <c r="D10" s="15">
        <f t="shared" si="0"/>
        <v>5.878892963944593E-2</v>
      </c>
      <c r="E10">
        <f t="shared" si="1"/>
        <v>2.2499999999999999E-2</v>
      </c>
      <c r="F10" s="15">
        <f t="shared" si="2"/>
        <v>8.1288929639445923E-2</v>
      </c>
      <c r="G10">
        <f t="shared" si="3"/>
        <v>88.417822611329839</v>
      </c>
      <c r="H10">
        <f t="shared" si="4"/>
        <v>707.34258089063871</v>
      </c>
      <c r="I10">
        <f t="shared" si="5"/>
        <v>0.54367032379330094</v>
      </c>
      <c r="J10">
        <f t="shared" si="6"/>
        <v>384.5611699856027</v>
      </c>
    </row>
    <row r="11" spans="1:10">
      <c r="A11">
        <v>9</v>
      </c>
      <c r="B11" s="1">
        <v>45915</v>
      </c>
      <c r="C11">
        <v>0.11559999999999999</v>
      </c>
      <c r="D11" s="15">
        <f t="shared" si="0"/>
        <v>5.8514671397432938E-2</v>
      </c>
      <c r="E11">
        <f t="shared" si="1"/>
        <v>2.2499999999999999E-2</v>
      </c>
      <c r="F11" s="15">
        <f t="shared" si="2"/>
        <v>8.101467139743293E-2</v>
      </c>
      <c r="G11">
        <f t="shared" si="3"/>
        <v>88.119512414608636</v>
      </c>
      <c r="H11">
        <f t="shared" si="4"/>
        <v>793.07561173147769</v>
      </c>
      <c r="I11">
        <f t="shared" si="5"/>
        <v>0.5037935247047356</v>
      </c>
      <c r="J11">
        <f t="shared" si="6"/>
        <v>399.54635779156553</v>
      </c>
    </row>
    <row r="12" spans="1:10">
      <c r="A12">
        <v>10</v>
      </c>
      <c r="B12" s="1">
        <v>46096</v>
      </c>
      <c r="C12">
        <v>0.1152</v>
      </c>
      <c r="D12" s="15">
        <f t="shared" si="0"/>
        <v>5.7859551036805845E-2</v>
      </c>
      <c r="E12">
        <f t="shared" si="1"/>
        <v>2.2499999999999999E-2</v>
      </c>
      <c r="F12" s="15">
        <f t="shared" si="2"/>
        <v>8.0359551036805837E-2</v>
      </c>
      <c r="G12">
        <f t="shared" si="3"/>
        <v>87.406939176260948</v>
      </c>
      <c r="H12">
        <f t="shared" si="4"/>
        <v>874.06939176260948</v>
      </c>
      <c r="I12">
        <f t="shared" si="5"/>
        <v>0.46684158473751219</v>
      </c>
      <c r="J12">
        <f t="shared" si="6"/>
        <v>408.05194002101001</v>
      </c>
    </row>
    <row r="13" spans="1:10">
      <c r="A13">
        <v>11</v>
      </c>
      <c r="B13" s="1">
        <v>46280</v>
      </c>
      <c r="C13">
        <v>0.115</v>
      </c>
      <c r="D13" s="15">
        <f t="shared" si="0"/>
        <v>5.867589752307123E-2</v>
      </c>
      <c r="E13">
        <f t="shared" si="1"/>
        <v>2.2499999999999999E-2</v>
      </c>
      <c r="F13" s="15">
        <f t="shared" si="2"/>
        <v>8.1175897523071222E-2</v>
      </c>
      <c r="G13">
        <f t="shared" si="3"/>
        <v>88.294877781580823</v>
      </c>
      <c r="H13">
        <f t="shared" si="4"/>
        <v>971.24365559738908</v>
      </c>
      <c r="I13">
        <f t="shared" si="5"/>
        <v>0.43259997310994258</v>
      </c>
      <c r="J13">
        <f t="shared" si="6"/>
        <v>420.15997929463288</v>
      </c>
    </row>
    <row r="14" spans="1:10">
      <c r="A14">
        <v>12</v>
      </c>
      <c r="B14" s="1">
        <v>46461</v>
      </c>
      <c r="C14">
        <v>0.11484999999999999</v>
      </c>
      <c r="D14" s="15">
        <f t="shared" si="0"/>
        <v>5.7688266126721288E-2</v>
      </c>
      <c r="E14">
        <f t="shared" si="1"/>
        <v>2.2499999999999999E-2</v>
      </c>
      <c r="F14" s="15">
        <f t="shared" si="2"/>
        <v>8.018826612672128E-2</v>
      </c>
      <c r="G14">
        <f t="shared" si="3"/>
        <v>87.220632887532247</v>
      </c>
      <c r="H14">
        <f t="shared" si="4"/>
        <v>1046.647594650387</v>
      </c>
      <c r="I14">
        <f t="shared" si="5"/>
        <v>0.40086989431317793</v>
      </c>
      <c r="J14">
        <f t="shared" si="6"/>
        <v>419.56951065064254</v>
      </c>
    </row>
    <row r="15" spans="1:10">
      <c r="A15">
        <v>13</v>
      </c>
      <c r="B15" s="1">
        <v>46645</v>
      </c>
      <c r="C15">
        <v>0.11459999999999999</v>
      </c>
      <c r="D15" s="15">
        <f t="shared" si="0"/>
        <v>5.8932753535372973E-2</v>
      </c>
      <c r="E15">
        <f t="shared" si="1"/>
        <v>2.2499999999999999E-2</v>
      </c>
      <c r="F15" s="15">
        <f t="shared" si="2"/>
        <v>8.1432753535372965E-2</v>
      </c>
      <c r="G15">
        <f t="shared" si="3"/>
        <v>88.574259604334316</v>
      </c>
      <c r="H15">
        <f t="shared" si="4"/>
        <v>1151.465374856346</v>
      </c>
      <c r="I15">
        <f t="shared" si="5"/>
        <v>0.3714671339700209</v>
      </c>
      <c r="J15">
        <f t="shared" si="6"/>
        <v>427.73154266360262</v>
      </c>
    </row>
    <row r="16" spans="1:10">
      <c r="A16">
        <v>14</v>
      </c>
      <c r="B16" s="1">
        <v>46827</v>
      </c>
      <c r="C16">
        <v>0.115</v>
      </c>
      <c r="D16" s="15">
        <f t="shared" si="0"/>
        <v>5.8218688600747637E-2</v>
      </c>
      <c r="E16">
        <f t="shared" si="1"/>
        <v>2.2499999999999999E-2</v>
      </c>
      <c r="F16" s="15">
        <f t="shared" si="2"/>
        <v>8.0718688600747629E-2</v>
      </c>
      <c r="G16">
        <f t="shared" si="3"/>
        <v>87.797572458831098</v>
      </c>
      <c r="H16">
        <f t="shared" si="4"/>
        <v>1229.1660144236353</v>
      </c>
      <c r="I16">
        <f t="shared" si="5"/>
        <v>0.34422098934698009</v>
      </c>
      <c r="J16">
        <f t="shared" si="6"/>
        <v>423.10474155658812</v>
      </c>
    </row>
    <row r="17" spans="1:12">
      <c r="A17">
        <v>15</v>
      </c>
      <c r="B17" s="1">
        <v>47011</v>
      </c>
      <c r="C17">
        <v>0.115</v>
      </c>
      <c r="D17" s="15">
        <f t="shared" si="0"/>
        <v>5.9133303984902241E-2</v>
      </c>
      <c r="E17">
        <f t="shared" si="1"/>
        <v>2.2499999999999999E-2</v>
      </c>
      <c r="F17" s="15">
        <f t="shared" si="2"/>
        <v>8.1633303984902233E-2</v>
      </c>
      <c r="G17">
        <f t="shared" si="3"/>
        <v>88.792397967697596</v>
      </c>
      <c r="H17">
        <f t="shared" si="4"/>
        <v>1331.885969515464</v>
      </c>
      <c r="I17">
        <f t="shared" si="5"/>
        <v>0.31897327831047445</v>
      </c>
      <c r="J17">
        <f t="shared" si="6"/>
        <v>424.83603403207218</v>
      </c>
    </row>
    <row r="18" spans="1:12">
      <c r="A18">
        <v>16</v>
      </c>
      <c r="B18" s="1">
        <v>47192</v>
      </c>
      <c r="C18">
        <v>0.1159</v>
      </c>
      <c r="D18" s="15">
        <f t="shared" si="0"/>
        <v>5.820204279949226E-2</v>
      </c>
      <c r="E18">
        <f t="shared" si="1"/>
        <v>2.2499999999999999E-2</v>
      </c>
      <c r="F18" s="15">
        <f t="shared" si="2"/>
        <v>8.0702042799492252E-2</v>
      </c>
      <c r="G18">
        <f t="shared" si="3"/>
        <v>87.779466850734778</v>
      </c>
      <c r="H18">
        <f t="shared" si="4"/>
        <v>1404.4714696117564</v>
      </c>
      <c r="I18">
        <f t="shared" si="5"/>
        <v>0.29557742097351269</v>
      </c>
      <c r="J18">
        <f t="shared" si="6"/>
        <v>415.13005481872216</v>
      </c>
    </row>
    <row r="19" spans="1:12">
      <c r="I19" t="s">
        <v>4</v>
      </c>
      <c r="J19">
        <f>SUM(J3:J18)</f>
        <v>5532.5806414707267</v>
      </c>
    </row>
    <row r="20" spans="1:12">
      <c r="A20" t="s">
        <v>98</v>
      </c>
      <c r="B20" s="8">
        <v>1000</v>
      </c>
      <c r="I20" t="s">
        <v>5</v>
      </c>
      <c r="J20">
        <f>(A18*B20)*I18</f>
        <v>4729.238735576203</v>
      </c>
    </row>
    <row r="21" spans="1:12">
      <c r="A21" t="s">
        <v>90</v>
      </c>
      <c r="B21">
        <v>1087.698202</v>
      </c>
      <c r="I21" t="s">
        <v>6</v>
      </c>
      <c r="J21">
        <f>SUM(J19:J20)</f>
        <v>10261.81937704693</v>
      </c>
    </row>
    <row r="22" spans="1:12">
      <c r="A22" t="s">
        <v>101</v>
      </c>
      <c r="B22">
        <v>7.9153059999999997E-2</v>
      </c>
      <c r="I22" t="s">
        <v>89</v>
      </c>
      <c r="J22">
        <f>(J21/B21)/2</f>
        <v>4.7172181392678851</v>
      </c>
    </row>
    <row r="23" spans="1:12">
      <c r="A23" t="s">
        <v>119</v>
      </c>
      <c r="B23">
        <f>G5/B21</f>
        <v>9.2363363092107048E-2</v>
      </c>
      <c r="I23" t="s">
        <v>18</v>
      </c>
      <c r="J23">
        <f>J22/(1+B22)</f>
        <v>4.3712225022721851</v>
      </c>
    </row>
    <row r="24" spans="1:12">
      <c r="A24" t="s">
        <v>19</v>
      </c>
      <c r="B24" t="s">
        <v>154</v>
      </c>
    </row>
    <row r="26" spans="1:12">
      <c r="L26" s="6"/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5A55F-E463-4EE9-8A1C-AD5656F69323}">
  <dimension ref="A1:N67"/>
  <sheetViews>
    <sheetView topLeftCell="A49" workbookViewId="0">
      <selection activeCell="B67" sqref="B67"/>
    </sheetView>
  </sheetViews>
  <sheetFormatPr defaultRowHeight="15"/>
  <cols>
    <col min="2" max="2" width="10.7109375" bestFit="1" customWidth="1"/>
    <col min="4" max="4" width="10.7109375" bestFit="1" customWidth="1"/>
    <col min="6" max="6" width="10.5703125" bestFit="1" customWidth="1"/>
    <col min="14" max="14" width="10" bestFit="1" customWidth="1"/>
  </cols>
  <sheetData>
    <row r="1" spans="1:10">
      <c r="A1" t="s">
        <v>96</v>
      </c>
      <c r="B1" t="s">
        <v>0</v>
      </c>
      <c r="C1" t="s">
        <v>121</v>
      </c>
      <c r="D1" t="s">
        <v>141</v>
      </c>
      <c r="E1" t="s">
        <v>116</v>
      </c>
      <c r="F1" t="s">
        <v>142</v>
      </c>
      <c r="G1" t="s">
        <v>107</v>
      </c>
      <c r="H1" t="s">
        <v>12</v>
      </c>
      <c r="I1" t="s">
        <v>3</v>
      </c>
      <c r="J1" t="s">
        <v>102</v>
      </c>
    </row>
    <row r="2" spans="1:10">
      <c r="A2">
        <v>0</v>
      </c>
      <c r="B2" s="1">
        <v>44176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</v>
      </c>
      <c r="B3" s="1">
        <v>44192</v>
      </c>
      <c r="C3">
        <v>1.9E-2</v>
      </c>
      <c r="D3" s="15">
        <f>(1+C3)^(NETWORKDAYS.INTL(B2,B3)/252)-1</f>
        <v>8.2192210350329198E-4</v>
      </c>
      <c r="E3">
        <f>2.45/100</f>
        <v>2.4500000000000001E-2</v>
      </c>
      <c r="F3" s="15">
        <f>D3+E3</f>
        <v>2.5321922103503293E-2</v>
      </c>
      <c r="G3">
        <f>$B$64*F3</f>
        <v>25.321922103503294</v>
      </c>
      <c r="H3">
        <f>A3*G3</f>
        <v>25.321922103503294</v>
      </c>
      <c r="I3">
        <f>(1+$B$66)^(-A3)</f>
        <v>0.96947542634766248</v>
      </c>
      <c r="J3">
        <f>H3*I3</f>
        <v>24.548981227236155</v>
      </c>
    </row>
    <row r="4" spans="1:10">
      <c r="A4">
        <v>2</v>
      </c>
      <c r="B4" s="1">
        <v>44223</v>
      </c>
      <c r="C4">
        <v>1.9E-2</v>
      </c>
      <c r="D4" s="15">
        <f t="shared" ref="D4:D62" si="0">(1+C4)^(NETWORKDAYS.INTL(B3,B4)/252)-1</f>
        <v>1.7193348861830327E-3</v>
      </c>
      <c r="E4">
        <f t="shared" ref="E4:E62" si="1">2.45/100</f>
        <v>2.4500000000000001E-2</v>
      </c>
      <c r="F4" s="15">
        <f t="shared" ref="F4:F62" si="2">D4+E4</f>
        <v>2.6219334886183034E-2</v>
      </c>
      <c r="G4">
        <f t="shared" ref="G4:G62" si="3">$B$64*F4</f>
        <v>26.219334886183034</v>
      </c>
      <c r="H4">
        <f t="shared" ref="H4:H62" si="4">A4*G4</f>
        <v>52.438669772366069</v>
      </c>
      <c r="I4">
        <f t="shared" ref="I4:I61" si="5">(1+$B$66)^(-A4)</f>
        <v>0.93988260229198206</v>
      </c>
      <c r="J4">
        <f t="shared" ref="J4:J62" si="6">H4*I4</f>
        <v>49.286193406381322</v>
      </c>
    </row>
    <row r="5" spans="1:10">
      <c r="A5">
        <v>3</v>
      </c>
      <c r="B5" s="1">
        <v>44254</v>
      </c>
      <c r="C5">
        <v>1.9E-2</v>
      </c>
      <c r="D5" s="15">
        <f t="shared" si="0"/>
        <v>1.7193348861830327E-3</v>
      </c>
      <c r="E5">
        <f t="shared" si="1"/>
        <v>2.4500000000000001E-2</v>
      </c>
      <c r="F5" s="15">
        <f t="shared" si="2"/>
        <v>2.6219334886183034E-2</v>
      </c>
      <c r="G5">
        <f t="shared" si="3"/>
        <v>26.219334886183034</v>
      </c>
      <c r="H5">
        <f t="shared" si="4"/>
        <v>78.658004658549103</v>
      </c>
      <c r="I5">
        <f t="shared" si="5"/>
        <v>0.91119308657376974</v>
      </c>
      <c r="J5">
        <f t="shared" si="6"/>
        <v>71.672630048557323</v>
      </c>
    </row>
    <row r="6" spans="1:10">
      <c r="A6">
        <v>4</v>
      </c>
      <c r="B6" s="1">
        <v>44282</v>
      </c>
      <c r="C6">
        <v>1.9E-2</v>
      </c>
      <c r="D6" s="15">
        <f t="shared" si="0"/>
        <v>1.4949062791549395E-3</v>
      </c>
      <c r="E6">
        <f t="shared" si="1"/>
        <v>2.4500000000000001E-2</v>
      </c>
      <c r="F6" s="15">
        <f t="shared" si="2"/>
        <v>2.599490627915494E-2</v>
      </c>
      <c r="G6">
        <f t="shared" si="3"/>
        <v>25.994906279154939</v>
      </c>
      <c r="H6">
        <f t="shared" si="4"/>
        <v>103.97962511661976</v>
      </c>
      <c r="I6">
        <f t="shared" si="5"/>
        <v>0.88337930609114812</v>
      </c>
      <c r="J6">
        <f t="shared" si="6"/>
        <v>91.853449083137278</v>
      </c>
    </row>
    <row r="7" spans="1:10">
      <c r="A7">
        <v>5</v>
      </c>
      <c r="B7" s="1">
        <v>44313</v>
      </c>
      <c r="C7">
        <v>2.6499999999999999E-2</v>
      </c>
      <c r="D7" s="15">
        <f t="shared" si="0"/>
        <v>2.2859781765183218E-3</v>
      </c>
      <c r="E7">
        <f t="shared" si="1"/>
        <v>2.4500000000000001E-2</v>
      </c>
      <c r="F7" s="15">
        <f t="shared" si="2"/>
        <v>2.6785978176518323E-2</v>
      </c>
      <c r="G7">
        <f t="shared" si="3"/>
        <v>26.785978176518324</v>
      </c>
      <c r="H7">
        <f t="shared" si="4"/>
        <v>133.92989088259162</v>
      </c>
      <c r="I7">
        <f t="shared" si="5"/>
        <v>0.85641452939941798</v>
      </c>
      <c r="J7">
        <f t="shared" si="6"/>
        <v>114.6995044727301</v>
      </c>
    </row>
    <row r="8" spans="1:10">
      <c r="A8">
        <v>6</v>
      </c>
      <c r="B8" s="1">
        <v>44343</v>
      </c>
      <c r="C8">
        <v>3.4000000000000002E-2</v>
      </c>
      <c r="D8" s="15">
        <f t="shared" si="0"/>
        <v>3.0562475367668096E-3</v>
      </c>
      <c r="E8">
        <f t="shared" si="1"/>
        <v>2.4500000000000001E-2</v>
      </c>
      <c r="F8" s="15">
        <f t="shared" si="2"/>
        <v>2.7556247536766811E-2</v>
      </c>
      <c r="G8">
        <f t="shared" si="3"/>
        <v>27.556247536766811</v>
      </c>
      <c r="H8">
        <f t="shared" si="4"/>
        <v>165.33748522060085</v>
      </c>
      <c r="I8">
        <f t="shared" si="5"/>
        <v>0.83027284101983367</v>
      </c>
      <c r="J8">
        <f t="shared" si="6"/>
        <v>137.27522358118304</v>
      </c>
    </row>
    <row r="9" spans="1:10">
      <c r="A9">
        <v>7</v>
      </c>
      <c r="B9" s="1">
        <v>44374</v>
      </c>
      <c r="C9">
        <v>3.4000000000000002E-2</v>
      </c>
      <c r="D9" s="15">
        <f t="shared" si="0"/>
        <v>2.9231731862369159E-3</v>
      </c>
      <c r="E9">
        <f t="shared" si="1"/>
        <v>2.4500000000000001E-2</v>
      </c>
      <c r="F9" s="15">
        <f t="shared" si="2"/>
        <v>2.7423173186236917E-2</v>
      </c>
      <c r="G9">
        <f t="shared" si="3"/>
        <v>27.423173186236916</v>
      </c>
      <c r="H9">
        <f t="shared" si="4"/>
        <v>191.96221230365842</v>
      </c>
      <c r="I9">
        <f t="shared" si="5"/>
        <v>0.80492911653258814</v>
      </c>
      <c r="J9">
        <f t="shared" si="6"/>
        <v>154.5159739572249</v>
      </c>
    </row>
    <row r="10" spans="1:10">
      <c r="A10">
        <v>8</v>
      </c>
      <c r="B10" s="1">
        <v>44404</v>
      </c>
      <c r="C10">
        <v>4.1500000000000002E-2</v>
      </c>
      <c r="D10" s="15">
        <f t="shared" si="0"/>
        <v>3.5561637462793172E-3</v>
      </c>
      <c r="E10">
        <f t="shared" si="1"/>
        <v>2.4500000000000001E-2</v>
      </c>
      <c r="F10" s="15">
        <f t="shared" si="2"/>
        <v>2.8056163746279318E-2</v>
      </c>
      <c r="G10">
        <f t="shared" si="3"/>
        <v>28.056163746279317</v>
      </c>
      <c r="H10">
        <f t="shared" si="4"/>
        <v>224.44930997023454</v>
      </c>
      <c r="I10">
        <f t="shared" si="5"/>
        <v>0.78035899843007828</v>
      </c>
      <c r="J10">
        <f t="shared" si="6"/>
        <v>175.1510387266944</v>
      </c>
    </row>
    <row r="11" spans="1:10">
      <c r="A11">
        <v>9</v>
      </c>
      <c r="B11" s="1">
        <v>44435</v>
      </c>
      <c r="C11">
        <v>5.1499999999999997E-2</v>
      </c>
      <c r="D11" s="15">
        <f t="shared" si="0"/>
        <v>4.7940947098326081E-3</v>
      </c>
      <c r="E11">
        <f t="shared" si="1"/>
        <v>2.4500000000000001E-2</v>
      </c>
      <c r="F11" s="15">
        <f t="shared" si="2"/>
        <v>2.9294094709832609E-2</v>
      </c>
      <c r="G11">
        <f t="shared" si="3"/>
        <v>29.29409470983261</v>
      </c>
      <c r="H11">
        <f t="shared" si="4"/>
        <v>263.64685238849347</v>
      </c>
      <c r="I11">
        <f t="shared" si="5"/>
        <v>0.75653887270723508</v>
      </c>
      <c r="J11">
        <f t="shared" si="6"/>
        <v>199.45909249880165</v>
      </c>
    </row>
    <row r="12" spans="1:10">
      <c r="A12">
        <v>10</v>
      </c>
      <c r="B12" s="1">
        <v>44466</v>
      </c>
      <c r="C12">
        <v>5.1499999999999997E-2</v>
      </c>
      <c r="D12" s="15">
        <f t="shared" si="0"/>
        <v>4.393710497214709E-3</v>
      </c>
      <c r="E12">
        <f t="shared" si="1"/>
        <v>2.4500000000000001E-2</v>
      </c>
      <c r="F12" s="15">
        <f t="shared" si="2"/>
        <v>2.889371049721471E-2</v>
      </c>
      <c r="G12">
        <f t="shared" si="3"/>
        <v>28.893710497214709</v>
      </c>
      <c r="H12">
        <f t="shared" si="4"/>
        <v>288.9371049721471</v>
      </c>
      <c r="I12">
        <f t="shared" si="5"/>
        <v>0.73344584616642672</v>
      </c>
      <c r="J12">
        <f t="shared" si="6"/>
        <v>211.91971944517408</v>
      </c>
    </row>
    <row r="13" spans="1:10">
      <c r="A13">
        <v>11</v>
      </c>
      <c r="B13" s="1">
        <v>44496</v>
      </c>
      <c r="C13">
        <v>6.1499999999999999E-2</v>
      </c>
      <c r="D13" s="15">
        <f t="shared" si="0"/>
        <v>5.462121420143129E-3</v>
      </c>
      <c r="E13">
        <f t="shared" si="1"/>
        <v>2.4500000000000001E-2</v>
      </c>
      <c r="F13" s="15">
        <f t="shared" si="2"/>
        <v>2.996212142014313E-2</v>
      </c>
      <c r="G13">
        <f t="shared" si="3"/>
        <v>29.962121420143131</v>
      </c>
      <c r="H13">
        <f t="shared" si="4"/>
        <v>329.58333562157446</v>
      </c>
      <c r="I13">
        <f t="shared" si="5"/>
        <v>0.71105772441511861</v>
      </c>
      <c r="J13">
        <f t="shared" si="6"/>
        <v>234.35277663222104</v>
      </c>
    </row>
    <row r="14" spans="1:10">
      <c r="A14">
        <v>12</v>
      </c>
      <c r="B14" s="1">
        <v>44527</v>
      </c>
      <c r="C14">
        <v>7.6499999999999999E-2</v>
      </c>
      <c r="D14" s="15">
        <f t="shared" si="0"/>
        <v>6.7506433656188136E-3</v>
      </c>
      <c r="E14">
        <f t="shared" si="1"/>
        <v>2.4500000000000001E-2</v>
      </c>
      <c r="F14" s="15">
        <f t="shared" si="2"/>
        <v>3.1250643365618815E-2</v>
      </c>
      <c r="G14">
        <f t="shared" si="3"/>
        <v>31.250643365618814</v>
      </c>
      <c r="H14">
        <f t="shared" si="4"/>
        <v>375.00772038742576</v>
      </c>
      <c r="I14">
        <f t="shared" si="5"/>
        <v>0.68935299053514587</v>
      </c>
      <c r="J14">
        <f t="shared" si="6"/>
        <v>258.51269352283975</v>
      </c>
    </row>
    <row r="15" spans="1:10">
      <c r="A15">
        <v>13</v>
      </c>
      <c r="B15" s="1">
        <v>44557</v>
      </c>
      <c r="C15">
        <v>9.1499999999999998E-2</v>
      </c>
      <c r="D15" s="15">
        <f t="shared" si="0"/>
        <v>7.3227559539175147E-3</v>
      </c>
      <c r="E15">
        <f t="shared" si="1"/>
        <v>2.4500000000000001E-2</v>
      </c>
      <c r="F15" s="15">
        <f t="shared" si="2"/>
        <v>3.1822755953917516E-2</v>
      </c>
      <c r="G15">
        <f t="shared" si="3"/>
        <v>31.822755953917515</v>
      </c>
      <c r="H15">
        <f t="shared" si="4"/>
        <v>413.69582740092767</v>
      </c>
      <c r="I15">
        <f t="shared" si="5"/>
        <v>0.66831078440309666</v>
      </c>
      <c r="J15">
        <f t="shared" si="6"/>
        <v>276.47738291460206</v>
      </c>
    </row>
    <row r="16" spans="1:10">
      <c r="A16">
        <v>14</v>
      </c>
      <c r="B16" s="1">
        <v>44588</v>
      </c>
      <c r="C16">
        <v>9.1499999999999998E-2</v>
      </c>
      <c r="D16" s="15">
        <f t="shared" si="0"/>
        <v>8.3732321876786031E-3</v>
      </c>
      <c r="E16">
        <f t="shared" si="1"/>
        <v>2.4500000000000001E-2</v>
      </c>
      <c r="F16" s="15">
        <f t="shared" si="2"/>
        <v>3.2873232187678604E-2</v>
      </c>
      <c r="G16">
        <f t="shared" si="3"/>
        <v>32.873232187678603</v>
      </c>
      <c r="H16">
        <f t="shared" si="4"/>
        <v>460.22525062750043</v>
      </c>
      <c r="I16">
        <f t="shared" si="5"/>
        <v>0.64791088264193297</v>
      </c>
      <c r="J16">
        <f t="shared" si="6"/>
        <v>298.18494834816863</v>
      </c>
    </row>
    <row r="17" spans="1:10">
      <c r="A17">
        <v>15</v>
      </c>
      <c r="B17" s="1">
        <v>44619</v>
      </c>
      <c r="C17">
        <v>0.1065</v>
      </c>
      <c r="D17" s="15">
        <f t="shared" si="0"/>
        <v>8.8742293650108106E-3</v>
      </c>
      <c r="E17">
        <f t="shared" si="1"/>
        <v>2.4500000000000001E-2</v>
      </c>
      <c r="F17" s="15">
        <f t="shared" si="2"/>
        <v>3.3374229365010812E-2</v>
      </c>
      <c r="G17">
        <f t="shared" si="3"/>
        <v>33.374229365010812</v>
      </c>
      <c r="H17">
        <f t="shared" si="4"/>
        <v>500.61344047516218</v>
      </c>
      <c r="I17">
        <f t="shared" si="5"/>
        <v>0.6281336791845783</v>
      </c>
      <c r="J17">
        <f t="shared" si="6"/>
        <v>314.45216221491353</v>
      </c>
    </row>
    <row r="18" spans="1:10">
      <c r="A18">
        <v>16</v>
      </c>
      <c r="B18" s="1">
        <v>44647</v>
      </c>
      <c r="C18">
        <v>0.1065</v>
      </c>
      <c r="D18" s="15">
        <f t="shared" si="0"/>
        <v>8.0642374811124018E-3</v>
      </c>
      <c r="E18">
        <f t="shared" si="1"/>
        <v>2.4500000000000001E-2</v>
      </c>
      <c r="F18" s="15">
        <f t="shared" si="2"/>
        <v>3.2564237481112403E-2</v>
      </c>
      <c r="G18">
        <f t="shared" si="3"/>
        <v>32.5642374811124</v>
      </c>
      <c r="H18">
        <f t="shared" si="4"/>
        <v>521.0277996977984</v>
      </c>
      <c r="I18">
        <f t="shared" si="5"/>
        <v>0.60896016643079498</v>
      </c>
      <c r="J18">
        <f t="shared" si="6"/>
        <v>317.28517561904221</v>
      </c>
    </row>
    <row r="19" spans="1:10">
      <c r="A19">
        <v>17</v>
      </c>
      <c r="B19" s="1">
        <v>44678</v>
      </c>
      <c r="C19">
        <v>0.11650000000000001</v>
      </c>
      <c r="D19" s="15">
        <f t="shared" si="0"/>
        <v>1.0108576217904508E-2</v>
      </c>
      <c r="E19">
        <f t="shared" si="1"/>
        <v>2.4500000000000001E-2</v>
      </c>
      <c r="F19" s="15">
        <f t="shared" si="2"/>
        <v>3.4608576217904509E-2</v>
      </c>
      <c r="G19">
        <f t="shared" si="3"/>
        <v>34.608576217904506</v>
      </c>
      <c r="H19">
        <f t="shared" si="4"/>
        <v>588.34579570437666</v>
      </c>
      <c r="I19">
        <f t="shared" si="5"/>
        <v>0.59037191697923841</v>
      </c>
      <c r="J19">
        <f t="shared" si="6"/>
        <v>347.3428352566682</v>
      </c>
    </row>
    <row r="20" spans="1:10">
      <c r="A20">
        <v>18</v>
      </c>
      <c r="B20" s="1">
        <v>44708</v>
      </c>
      <c r="C20">
        <v>0.1265</v>
      </c>
      <c r="D20" s="15">
        <f t="shared" si="0"/>
        <v>1.0930962173528735E-2</v>
      </c>
      <c r="E20">
        <f t="shared" si="1"/>
        <v>2.4500000000000001E-2</v>
      </c>
      <c r="F20" s="15">
        <f t="shared" si="2"/>
        <v>3.5430962173528736E-2</v>
      </c>
      <c r="G20">
        <f t="shared" si="3"/>
        <v>35.430962173528734</v>
      </c>
      <c r="H20">
        <f t="shared" si="4"/>
        <v>637.75731912351716</v>
      </c>
      <c r="I20">
        <f t="shared" si="5"/>
        <v>0.57235106591713403</v>
      </c>
      <c r="J20">
        <f t="shared" si="6"/>
        <v>365.02108139679888</v>
      </c>
    </row>
    <row r="21" spans="1:10">
      <c r="A21">
        <v>19</v>
      </c>
      <c r="B21" s="1">
        <v>44739</v>
      </c>
      <c r="C21">
        <v>0.1265</v>
      </c>
      <c r="D21" s="15">
        <f t="shared" si="0"/>
        <v>1.0453227758123074E-2</v>
      </c>
      <c r="E21">
        <f t="shared" si="1"/>
        <v>2.4500000000000001E-2</v>
      </c>
      <c r="F21" s="15">
        <f t="shared" si="2"/>
        <v>3.4953227758123075E-2</v>
      </c>
      <c r="G21">
        <f t="shared" si="3"/>
        <v>34.953227758123077</v>
      </c>
      <c r="H21">
        <f t="shared" si="4"/>
        <v>664.11132740433845</v>
      </c>
      <c r="I21">
        <f t="shared" si="5"/>
        <v>0.55488029365055258</v>
      </c>
      <c r="J21">
        <f t="shared" si="6"/>
        <v>368.50228836677758</v>
      </c>
    </row>
    <row r="22" spans="1:10">
      <c r="A22">
        <v>20</v>
      </c>
      <c r="B22" s="1">
        <v>44769</v>
      </c>
      <c r="C22">
        <v>0.13150000000000001</v>
      </c>
      <c r="D22" s="15">
        <f t="shared" si="0"/>
        <v>1.1339670363958332E-2</v>
      </c>
      <c r="E22">
        <f t="shared" si="1"/>
        <v>2.4500000000000001E-2</v>
      </c>
      <c r="F22" s="15">
        <f t="shared" si="2"/>
        <v>3.5839670363958333E-2</v>
      </c>
      <c r="G22">
        <f t="shared" si="3"/>
        <v>35.839670363958334</v>
      </c>
      <c r="H22">
        <f t="shared" si="4"/>
        <v>716.79340727916667</v>
      </c>
      <c r="I22">
        <f t="shared" si="5"/>
        <v>0.53794280925878568</v>
      </c>
      <c r="J22">
        <f t="shared" si="6"/>
        <v>385.59385916993182</v>
      </c>
    </row>
    <row r="23" spans="1:10">
      <c r="A23">
        <v>21</v>
      </c>
      <c r="B23" s="1">
        <v>44800</v>
      </c>
      <c r="C23">
        <v>0.13650000000000001</v>
      </c>
      <c r="D23" s="15">
        <f t="shared" si="0"/>
        <v>1.1746740629071661E-2</v>
      </c>
      <c r="E23">
        <f t="shared" si="1"/>
        <v>2.4500000000000001E-2</v>
      </c>
      <c r="F23" s="15">
        <f t="shared" si="2"/>
        <v>3.6246740629071662E-2</v>
      </c>
      <c r="G23">
        <f t="shared" si="3"/>
        <v>36.24674062907166</v>
      </c>
      <c r="H23">
        <f t="shared" si="4"/>
        <v>761.18155321050483</v>
      </c>
      <c r="I23">
        <f t="shared" si="5"/>
        <v>0.5215223343568206</v>
      </c>
      <c r="J23">
        <f t="shared" si="6"/>
        <v>396.97318049969294</v>
      </c>
    </row>
    <row r="24" spans="1:10">
      <c r="A24">
        <v>22</v>
      </c>
      <c r="B24" s="1">
        <v>44831</v>
      </c>
      <c r="C24">
        <v>0.13650000000000001</v>
      </c>
      <c r="D24" s="15">
        <f t="shared" si="0"/>
        <v>1.1233155156775698E-2</v>
      </c>
      <c r="E24">
        <f t="shared" si="1"/>
        <v>2.4500000000000001E-2</v>
      </c>
      <c r="F24" s="15">
        <f t="shared" si="2"/>
        <v>3.5733155156775699E-2</v>
      </c>
      <c r="G24">
        <f t="shared" si="3"/>
        <v>35.733155156775702</v>
      </c>
      <c r="H24">
        <f t="shared" si="4"/>
        <v>786.1294134490654</v>
      </c>
      <c r="I24">
        <f t="shared" si="5"/>
        <v>0.50560308745040694</v>
      </c>
      <c r="J24">
        <f t="shared" si="6"/>
        <v>397.46945857542494</v>
      </c>
    </row>
    <row r="25" spans="1:10">
      <c r="A25">
        <v>23</v>
      </c>
      <c r="B25" s="1">
        <v>44861</v>
      </c>
      <c r="C25">
        <v>0.13650000000000001</v>
      </c>
      <c r="D25" s="15">
        <f t="shared" si="0"/>
        <v>1.1746740629071661E-2</v>
      </c>
      <c r="E25">
        <f t="shared" si="1"/>
        <v>2.4500000000000001E-2</v>
      </c>
      <c r="F25" s="15">
        <f t="shared" si="2"/>
        <v>3.6246740629071662E-2</v>
      </c>
      <c r="G25">
        <f t="shared" si="3"/>
        <v>36.24674062907166</v>
      </c>
      <c r="H25">
        <f t="shared" si="4"/>
        <v>833.67503446864816</v>
      </c>
      <c r="I25">
        <f t="shared" si="5"/>
        <v>0.49016976876867763</v>
      </c>
      <c r="J25">
        <f t="shared" si="6"/>
        <v>408.64229887371664</v>
      </c>
    </row>
    <row r="26" spans="1:10">
      <c r="A26">
        <v>24</v>
      </c>
      <c r="B26" s="1">
        <v>44892</v>
      </c>
      <c r="C26">
        <v>0.13650000000000001</v>
      </c>
      <c r="D26" s="15">
        <f t="shared" si="0"/>
        <v>1.1233155156775698E-2</v>
      </c>
      <c r="E26">
        <f t="shared" si="1"/>
        <v>2.4500000000000001E-2</v>
      </c>
      <c r="F26" s="15">
        <f t="shared" si="2"/>
        <v>3.5733155156775699E-2</v>
      </c>
      <c r="G26">
        <f t="shared" si="3"/>
        <v>35.733155156775702</v>
      </c>
      <c r="H26">
        <f t="shared" si="4"/>
        <v>857.5957237626169</v>
      </c>
      <c r="I26">
        <f t="shared" si="5"/>
        <v>0.47520754555974898</v>
      </c>
      <c r="J26">
        <f t="shared" si="6"/>
        <v>407.53595897176967</v>
      </c>
    </row>
    <row r="27" spans="1:10">
      <c r="A27">
        <v>25</v>
      </c>
      <c r="B27" s="1">
        <v>44922</v>
      </c>
      <c r="C27">
        <v>0.13655999999999999</v>
      </c>
      <c r="D27" s="15">
        <f t="shared" si="0"/>
        <v>1.1237815788507577E-2</v>
      </c>
      <c r="E27">
        <f t="shared" si="1"/>
        <v>2.4500000000000001E-2</v>
      </c>
      <c r="F27" s="15">
        <f t="shared" si="2"/>
        <v>3.5737815788507578E-2</v>
      </c>
      <c r="G27">
        <f t="shared" si="3"/>
        <v>35.737815788507575</v>
      </c>
      <c r="H27">
        <f t="shared" si="4"/>
        <v>893.44539471268934</v>
      </c>
      <c r="I27">
        <f t="shared" si="5"/>
        <v>0.46070203783516384</v>
      </c>
      <c r="J27">
        <f t="shared" si="6"/>
        <v>411.61211403857828</v>
      </c>
    </row>
    <row r="28" spans="1:10">
      <c r="A28">
        <v>26</v>
      </c>
      <c r="B28" s="1">
        <v>44953</v>
      </c>
      <c r="C28">
        <v>0.13672000000000001</v>
      </c>
      <c r="D28" s="15">
        <f t="shared" si="0"/>
        <v>1.2279247224994849E-2</v>
      </c>
      <c r="E28">
        <f t="shared" si="1"/>
        <v>2.4500000000000001E-2</v>
      </c>
      <c r="F28" s="15">
        <f t="shared" si="2"/>
        <v>3.677924722499485E-2</v>
      </c>
      <c r="G28">
        <f t="shared" si="3"/>
        <v>36.779247224994847</v>
      </c>
      <c r="H28">
        <f t="shared" si="4"/>
        <v>956.26042784986601</v>
      </c>
      <c r="I28">
        <f t="shared" si="5"/>
        <v>0.44663930454948253</v>
      </c>
      <c r="J28">
        <f t="shared" si="6"/>
        <v>427.10349246305475</v>
      </c>
    </row>
    <row r="29" spans="1:10">
      <c r="A29">
        <v>27</v>
      </c>
      <c r="B29" s="1">
        <v>44984</v>
      </c>
      <c r="C29">
        <v>0.13683999999999999</v>
      </c>
      <c r="D29" s="15">
        <f t="shared" si="0"/>
        <v>1.1259562434521975E-2</v>
      </c>
      <c r="E29">
        <f t="shared" si="1"/>
        <v>2.4500000000000001E-2</v>
      </c>
      <c r="F29" s="15">
        <f t="shared" si="2"/>
        <v>3.5759562434521976E-2</v>
      </c>
      <c r="G29">
        <f t="shared" si="3"/>
        <v>35.759562434521975</v>
      </c>
      <c r="H29">
        <f t="shared" si="4"/>
        <v>965.50818573209335</v>
      </c>
      <c r="I29">
        <f t="shared" si="5"/>
        <v>0.43300583020173289</v>
      </c>
      <c r="J29">
        <f t="shared" si="6"/>
        <v>418.070673529494</v>
      </c>
    </row>
    <row r="30" spans="1:10">
      <c r="A30">
        <v>28</v>
      </c>
      <c r="B30" s="1">
        <v>45012</v>
      </c>
      <c r="C30">
        <v>0.13705000000000001</v>
      </c>
      <c r="D30" s="15">
        <f t="shared" si="0"/>
        <v>1.0760582162355092E-2</v>
      </c>
      <c r="E30">
        <f t="shared" si="1"/>
        <v>2.4500000000000001E-2</v>
      </c>
      <c r="F30" s="15">
        <f t="shared" si="2"/>
        <v>3.5260582162355093E-2</v>
      </c>
      <c r="G30">
        <f t="shared" si="3"/>
        <v>35.260582162355092</v>
      </c>
      <c r="H30">
        <f t="shared" si="4"/>
        <v>987.29630054594259</v>
      </c>
      <c r="I30">
        <f t="shared" si="5"/>
        <v>0.41978851184584864</v>
      </c>
      <c r="J30">
        <f t="shared" si="6"/>
        <v>414.45564475709295</v>
      </c>
    </row>
    <row r="31" spans="1:10">
      <c r="A31">
        <v>29</v>
      </c>
      <c r="B31" s="1">
        <v>45043</v>
      </c>
      <c r="C31">
        <v>0.13700000000000001</v>
      </c>
      <c r="D31" s="15">
        <f t="shared" si="0"/>
        <v>1.2302991951690156E-2</v>
      </c>
      <c r="E31">
        <f t="shared" si="1"/>
        <v>2.4500000000000001E-2</v>
      </c>
      <c r="F31" s="15">
        <f t="shared" si="2"/>
        <v>3.6802991951690157E-2</v>
      </c>
      <c r="G31">
        <f t="shared" si="3"/>
        <v>36.80299195169016</v>
      </c>
      <c r="H31">
        <f t="shared" si="4"/>
        <v>1067.2867665990148</v>
      </c>
      <c r="I31">
        <f t="shared" si="5"/>
        <v>0.4069746464976049</v>
      </c>
      <c r="J31">
        <f t="shared" si="6"/>
        <v>434.35865454820578</v>
      </c>
    </row>
    <row r="32" spans="1:10">
      <c r="A32">
        <v>30</v>
      </c>
      <c r="B32" s="1">
        <v>45073</v>
      </c>
      <c r="C32">
        <v>0.13694999999999999</v>
      </c>
      <c r="D32" s="15">
        <f t="shared" si="0"/>
        <v>1.1268104422277991E-2</v>
      </c>
      <c r="E32">
        <f t="shared" si="1"/>
        <v>2.4500000000000001E-2</v>
      </c>
      <c r="F32" s="15">
        <f t="shared" si="2"/>
        <v>3.5768104422277992E-2</v>
      </c>
      <c r="G32">
        <f t="shared" si="3"/>
        <v>35.768104422277993</v>
      </c>
      <c r="H32">
        <f t="shared" si="4"/>
        <v>1073.0431326683397</v>
      </c>
      <c r="I32">
        <f t="shared" si="5"/>
        <v>0.39455191892595476</v>
      </c>
      <c r="J32">
        <f t="shared" si="6"/>
        <v>423.37122708461129</v>
      </c>
    </row>
    <row r="33" spans="1:10">
      <c r="A33">
        <v>31</v>
      </c>
      <c r="B33" s="1">
        <v>45104</v>
      </c>
      <c r="C33">
        <v>0.13658000000000001</v>
      </c>
      <c r="D33" s="15">
        <f t="shared" si="0"/>
        <v>1.1239369282516343E-2</v>
      </c>
      <c r="E33">
        <f t="shared" si="1"/>
        <v>2.4500000000000001E-2</v>
      </c>
      <c r="F33" s="15">
        <f t="shared" si="2"/>
        <v>3.5739369282516344E-2</v>
      </c>
      <c r="G33">
        <f t="shared" si="3"/>
        <v>35.739369282516343</v>
      </c>
      <c r="H33">
        <f t="shared" si="4"/>
        <v>1107.9204477580067</v>
      </c>
      <c r="I33">
        <f t="shared" si="5"/>
        <v>0.38250838981702834</v>
      </c>
      <c r="J33">
        <f t="shared" si="6"/>
        <v>423.78886651727623</v>
      </c>
    </row>
    <row r="34" spans="1:10">
      <c r="A34">
        <v>32</v>
      </c>
      <c r="B34" s="1">
        <v>45134</v>
      </c>
      <c r="C34">
        <v>0.1361</v>
      </c>
      <c r="D34" s="15">
        <f t="shared" si="0"/>
        <v>1.1714234959099068E-2</v>
      </c>
      <c r="E34">
        <f t="shared" si="1"/>
        <v>2.4500000000000001E-2</v>
      </c>
      <c r="F34" s="15">
        <f t="shared" si="2"/>
        <v>3.6214234959099069E-2</v>
      </c>
      <c r="G34">
        <f t="shared" si="3"/>
        <v>36.214234959099066</v>
      </c>
      <c r="H34">
        <f t="shared" si="4"/>
        <v>1158.8555186911701</v>
      </c>
      <c r="I34">
        <f t="shared" si="5"/>
        <v>0.37083248429942151</v>
      </c>
      <c r="J34">
        <f t="shared" si="6"/>
        <v>429.74127094034128</v>
      </c>
    </row>
    <row r="35" spans="1:10">
      <c r="A35">
        <v>33</v>
      </c>
      <c r="B35" s="1">
        <v>45165</v>
      </c>
      <c r="C35">
        <v>0.13525000000000001</v>
      </c>
      <c r="D35" s="15">
        <f t="shared" si="0"/>
        <v>1.1136007552672966E-2</v>
      </c>
      <c r="E35">
        <f t="shared" si="1"/>
        <v>2.4500000000000001E-2</v>
      </c>
      <c r="F35" s="15">
        <f t="shared" si="2"/>
        <v>3.5636007552672967E-2</v>
      </c>
      <c r="G35">
        <f t="shared" si="3"/>
        <v>35.636007552672964</v>
      </c>
      <c r="H35">
        <f t="shared" si="4"/>
        <v>1175.9882492382078</v>
      </c>
      <c r="I35">
        <f t="shared" si="5"/>
        <v>0.35951298081974453</v>
      </c>
      <c r="J35">
        <f t="shared" si="6"/>
        <v>422.78304089262076</v>
      </c>
    </row>
    <row r="36" spans="1:10">
      <c r="A36">
        <v>34</v>
      </c>
      <c r="B36" s="1">
        <v>45196</v>
      </c>
      <c r="C36">
        <v>0.13413</v>
      </c>
      <c r="D36" s="15">
        <f t="shared" si="0"/>
        <v>1.1553992635894739E-2</v>
      </c>
      <c r="E36">
        <f t="shared" si="1"/>
        <v>2.4500000000000001E-2</v>
      </c>
      <c r="F36" s="15">
        <f t="shared" si="2"/>
        <v>3.605399263589474E-2</v>
      </c>
      <c r="G36">
        <f t="shared" si="3"/>
        <v>36.053992635894737</v>
      </c>
      <c r="H36">
        <f t="shared" si="4"/>
        <v>1225.835749620421</v>
      </c>
      <c r="I36">
        <f t="shared" si="5"/>
        <v>0.34853900035774082</v>
      </c>
      <c r="J36">
        <f t="shared" si="6"/>
        <v>427.25156677548341</v>
      </c>
    </row>
    <row r="37" spans="1:10">
      <c r="A37">
        <v>35</v>
      </c>
      <c r="B37" s="1">
        <v>45226</v>
      </c>
      <c r="C37">
        <v>0.13305</v>
      </c>
      <c r="D37" s="15">
        <f t="shared" si="0"/>
        <v>1.1466036677710623E-2</v>
      </c>
      <c r="E37">
        <f t="shared" si="1"/>
        <v>2.4500000000000001E-2</v>
      </c>
      <c r="F37" s="15">
        <f t="shared" si="2"/>
        <v>3.5966036677710624E-2</v>
      </c>
      <c r="G37">
        <f t="shared" si="3"/>
        <v>35.966036677710626</v>
      </c>
      <c r="H37">
        <f t="shared" si="4"/>
        <v>1258.8112837198719</v>
      </c>
      <c r="I37">
        <f t="shared" si="5"/>
        <v>0.33789999597060888</v>
      </c>
      <c r="J37">
        <f t="shared" si="6"/>
        <v>425.35232769670171</v>
      </c>
    </row>
    <row r="38" spans="1:10">
      <c r="A38">
        <v>36</v>
      </c>
      <c r="B38" s="1">
        <v>45257</v>
      </c>
      <c r="C38">
        <v>0.13150999999999999</v>
      </c>
      <c r="D38" s="15">
        <f t="shared" si="0"/>
        <v>1.0844757768022406E-2</v>
      </c>
      <c r="E38">
        <f t="shared" si="1"/>
        <v>2.4500000000000001E-2</v>
      </c>
      <c r="F38" s="15">
        <f t="shared" si="2"/>
        <v>3.5344757768022407E-2</v>
      </c>
      <c r="G38">
        <f t="shared" si="3"/>
        <v>35.344757768022404</v>
      </c>
      <c r="H38">
        <f t="shared" si="4"/>
        <v>1272.4112796488066</v>
      </c>
      <c r="I38">
        <f t="shared" si="5"/>
        <v>0.32758574265647949</v>
      </c>
      <c r="J38">
        <f t="shared" si="6"/>
        <v>416.82379400823572</v>
      </c>
    </row>
    <row r="39" spans="1:10">
      <c r="A39">
        <v>37</v>
      </c>
      <c r="B39" s="1">
        <v>45287</v>
      </c>
      <c r="C39">
        <v>0.13150999999999999</v>
      </c>
      <c r="D39" s="15">
        <f t="shared" si="0"/>
        <v>1.1340486134532979E-2</v>
      </c>
      <c r="E39">
        <f t="shared" si="1"/>
        <v>2.4500000000000001E-2</v>
      </c>
      <c r="F39" s="15">
        <f t="shared" si="2"/>
        <v>3.584048613453298E-2</v>
      </c>
      <c r="G39">
        <f t="shared" si="3"/>
        <v>35.840486134532981</v>
      </c>
      <c r="H39">
        <f t="shared" si="4"/>
        <v>1326.0979869777202</v>
      </c>
      <c r="I39">
        <f t="shared" si="5"/>
        <v>0.31758632752730614</v>
      </c>
      <c r="J39">
        <f t="shared" si="6"/>
        <v>421.15058962560761</v>
      </c>
    </row>
    <row r="40" spans="1:10">
      <c r="A40">
        <v>38</v>
      </c>
      <c r="B40" s="1">
        <v>45318</v>
      </c>
      <c r="C40">
        <v>0.12934999999999999</v>
      </c>
      <c r="D40" s="15">
        <f t="shared" si="0"/>
        <v>1.1164127377955468E-2</v>
      </c>
      <c r="E40">
        <f t="shared" si="1"/>
        <v>2.4500000000000001E-2</v>
      </c>
      <c r="F40" s="15">
        <f t="shared" si="2"/>
        <v>3.5664127377955469E-2</v>
      </c>
      <c r="G40">
        <f t="shared" si="3"/>
        <v>35.664127377955467</v>
      </c>
      <c r="H40">
        <f t="shared" si="4"/>
        <v>1355.2368403623077</v>
      </c>
      <c r="I40">
        <f t="shared" si="5"/>
        <v>0.30789214028172357</v>
      </c>
      <c r="J40">
        <f t="shared" si="6"/>
        <v>417.26677136779148</v>
      </c>
    </row>
    <row r="41" spans="1:10">
      <c r="A41">
        <v>39</v>
      </c>
      <c r="B41" s="1">
        <v>45349</v>
      </c>
      <c r="C41">
        <v>0.12934999999999999</v>
      </c>
      <c r="D41" s="15">
        <f t="shared" si="0"/>
        <v>1.0676148831448184E-2</v>
      </c>
      <c r="E41">
        <f t="shared" si="1"/>
        <v>2.4500000000000001E-2</v>
      </c>
      <c r="F41" s="15">
        <f t="shared" si="2"/>
        <v>3.5176148831448185E-2</v>
      </c>
      <c r="G41">
        <f t="shared" si="3"/>
        <v>35.176148831448188</v>
      </c>
      <c r="H41">
        <f t="shared" si="4"/>
        <v>1371.8698044264793</v>
      </c>
      <c r="I41">
        <f t="shared" si="5"/>
        <v>0.29849386396871824</v>
      </c>
      <c r="J41">
        <f t="shared" si="6"/>
        <v>409.49471878526958</v>
      </c>
    </row>
    <row r="42" spans="1:10">
      <c r="A42">
        <v>40</v>
      </c>
      <c r="B42" s="1">
        <v>45378</v>
      </c>
      <c r="C42">
        <v>0.12934999999999999</v>
      </c>
      <c r="D42" s="15">
        <f t="shared" si="0"/>
        <v>1.0676148831448184E-2</v>
      </c>
      <c r="E42">
        <f t="shared" si="1"/>
        <v>2.4500000000000001E-2</v>
      </c>
      <c r="F42" s="15">
        <f t="shared" si="2"/>
        <v>3.5176148831448185E-2</v>
      </c>
      <c r="G42">
        <f t="shared" si="3"/>
        <v>35.176148831448188</v>
      </c>
      <c r="H42">
        <f t="shared" si="4"/>
        <v>1407.0459532579275</v>
      </c>
      <c r="I42">
        <f t="shared" si="5"/>
        <v>0.28938246603323431</v>
      </c>
      <c r="J42">
        <f t="shared" si="6"/>
        <v>407.174427775862</v>
      </c>
    </row>
    <row r="43" spans="1:10">
      <c r="A43">
        <v>41</v>
      </c>
      <c r="B43" s="1">
        <v>45409</v>
      </c>
      <c r="C43">
        <v>0.12570000000000001</v>
      </c>
      <c r="D43" s="15">
        <f t="shared" si="0"/>
        <v>1.0865415937064471E-2</v>
      </c>
      <c r="E43">
        <f t="shared" si="1"/>
        <v>2.4500000000000001E-2</v>
      </c>
      <c r="F43" s="15">
        <f t="shared" si="2"/>
        <v>3.5365415937064472E-2</v>
      </c>
      <c r="G43">
        <f t="shared" si="3"/>
        <v>35.365415937064469</v>
      </c>
      <c r="H43">
        <f t="shared" si="4"/>
        <v>1449.9820534196433</v>
      </c>
      <c r="I43">
        <f t="shared" si="5"/>
        <v>0.28054918963510778</v>
      </c>
      <c r="J43">
        <f t="shared" si="6"/>
        <v>406.79129007233047</v>
      </c>
    </row>
    <row r="44" spans="1:10">
      <c r="A44">
        <v>42</v>
      </c>
      <c r="B44" s="1">
        <v>45439</v>
      </c>
      <c r="C44">
        <v>0.12570000000000001</v>
      </c>
      <c r="D44" s="15">
        <f t="shared" si="0"/>
        <v>9.9159289226782299E-3</v>
      </c>
      <c r="E44">
        <f t="shared" si="1"/>
        <v>2.4500000000000001E-2</v>
      </c>
      <c r="F44" s="15">
        <f t="shared" si="2"/>
        <v>3.4415928922678231E-2</v>
      </c>
      <c r="G44">
        <f t="shared" si="3"/>
        <v>34.415928922678233</v>
      </c>
      <c r="H44">
        <f t="shared" si="4"/>
        <v>1445.4690147524857</v>
      </c>
      <c r="I44">
        <f t="shared" si="5"/>
        <v>0.27198554523298735</v>
      </c>
      <c r="J44">
        <f t="shared" si="6"/>
        <v>393.14667809484388</v>
      </c>
    </row>
    <row r="45" spans="1:10">
      <c r="A45">
        <v>43</v>
      </c>
      <c r="B45" s="1">
        <v>45470</v>
      </c>
      <c r="C45">
        <v>0.12570000000000001</v>
      </c>
      <c r="D45" s="15">
        <f t="shared" si="0"/>
        <v>1.134049414453453E-2</v>
      </c>
      <c r="E45">
        <f t="shared" si="1"/>
        <v>2.4500000000000001E-2</v>
      </c>
      <c r="F45" s="15">
        <f t="shared" si="2"/>
        <v>3.5840494144534531E-2</v>
      </c>
      <c r="G45">
        <f t="shared" si="3"/>
        <v>35.840494144534532</v>
      </c>
      <c r="H45">
        <f t="shared" si="4"/>
        <v>1541.1412482149849</v>
      </c>
      <c r="I45">
        <f t="shared" si="5"/>
        <v>0.26368330242515181</v>
      </c>
      <c r="J45">
        <f t="shared" si="6"/>
        <v>406.37321383294784</v>
      </c>
    </row>
    <row r="46" spans="1:10">
      <c r="A46">
        <v>44</v>
      </c>
      <c r="B46" s="1">
        <v>45500</v>
      </c>
      <c r="C46">
        <v>0.1205</v>
      </c>
      <c r="D46" s="15">
        <f t="shared" si="0"/>
        <v>9.9822327280356671E-3</v>
      </c>
      <c r="E46">
        <f t="shared" si="1"/>
        <v>2.4500000000000001E-2</v>
      </c>
      <c r="F46" s="15">
        <f t="shared" si="2"/>
        <v>3.4482232728035668E-2</v>
      </c>
      <c r="G46">
        <f t="shared" si="3"/>
        <v>34.482232728035669</v>
      </c>
      <c r="H46">
        <f t="shared" si="4"/>
        <v>1517.2182400335694</v>
      </c>
      <c r="I46">
        <f t="shared" si="5"/>
        <v>0.25563448203938371</v>
      </c>
      <c r="J46">
        <f t="shared" si="6"/>
        <v>387.85329893168688</v>
      </c>
    </row>
    <row r="47" spans="1:10">
      <c r="A47">
        <v>45</v>
      </c>
      <c r="B47" s="1">
        <v>45531</v>
      </c>
      <c r="C47">
        <v>0.1205</v>
      </c>
      <c r="D47" s="15">
        <f t="shared" si="0"/>
        <v>9.9822327280356671E-3</v>
      </c>
      <c r="E47">
        <f t="shared" si="1"/>
        <v>2.4500000000000001E-2</v>
      </c>
      <c r="F47" s="15">
        <f t="shared" si="2"/>
        <v>3.4482232728035668E-2</v>
      </c>
      <c r="G47">
        <f t="shared" si="3"/>
        <v>34.482232728035669</v>
      </c>
      <c r="H47">
        <f t="shared" si="4"/>
        <v>1551.7004727616052</v>
      </c>
      <c r="I47">
        <f t="shared" si="5"/>
        <v>0.24783134846429541</v>
      </c>
      <c r="J47">
        <f t="shared" si="6"/>
        <v>384.56002057719331</v>
      </c>
    </row>
    <row r="48" spans="1:10">
      <c r="A48">
        <v>46</v>
      </c>
      <c r="B48" s="1">
        <v>45562</v>
      </c>
      <c r="C48">
        <v>0.1205</v>
      </c>
      <c r="D48" s="15">
        <f t="shared" si="0"/>
        <v>1.0894634627940603E-2</v>
      </c>
      <c r="E48">
        <f t="shared" si="1"/>
        <v>2.4500000000000001E-2</v>
      </c>
      <c r="F48" s="15">
        <f t="shared" si="2"/>
        <v>3.5394634627940603E-2</v>
      </c>
      <c r="G48">
        <f t="shared" si="3"/>
        <v>35.394634627940604</v>
      </c>
      <c r="H48">
        <f t="shared" si="4"/>
        <v>1628.1531928852678</v>
      </c>
      <c r="I48">
        <f t="shared" si="5"/>
        <v>0.24026640221473894</v>
      </c>
      <c r="J48">
        <f t="shared" si="6"/>
        <v>391.19050990898319</v>
      </c>
    </row>
    <row r="49" spans="1:10">
      <c r="A49">
        <v>47</v>
      </c>
      <c r="B49" s="1">
        <v>45592</v>
      </c>
      <c r="C49">
        <v>0.11924999999999999</v>
      </c>
      <c r="D49" s="15">
        <f t="shared" si="0"/>
        <v>9.4324425574907611E-3</v>
      </c>
      <c r="E49">
        <f t="shared" si="1"/>
        <v>2.4500000000000001E-2</v>
      </c>
      <c r="F49" s="15">
        <f t="shared" si="2"/>
        <v>3.3932442557490762E-2</v>
      </c>
      <c r="G49">
        <f t="shared" si="3"/>
        <v>33.932442557490759</v>
      </c>
      <c r="H49">
        <f t="shared" si="4"/>
        <v>1594.8248002020657</v>
      </c>
      <c r="I49">
        <f t="shared" si="5"/>
        <v>0.23293237272415296</v>
      </c>
      <c r="J49">
        <f t="shared" si="6"/>
        <v>371.48632479039037</v>
      </c>
    </row>
    <row r="50" spans="1:10">
      <c r="A50">
        <v>48</v>
      </c>
      <c r="B50" s="1">
        <v>45623</v>
      </c>
      <c r="C50">
        <v>0.11924999999999999</v>
      </c>
      <c r="D50" s="15">
        <f t="shared" si="0"/>
        <v>1.0335397488504539E-2</v>
      </c>
      <c r="E50">
        <f t="shared" si="1"/>
        <v>2.4500000000000001E-2</v>
      </c>
      <c r="F50" s="15">
        <f t="shared" si="2"/>
        <v>3.4835397488504539E-2</v>
      </c>
      <c r="G50">
        <f t="shared" si="3"/>
        <v>34.83539748850454</v>
      </c>
      <c r="H50">
        <f t="shared" si="4"/>
        <v>1672.0990794482179</v>
      </c>
      <c r="I50">
        <f t="shared" si="5"/>
        <v>0.22582221135692085</v>
      </c>
      <c r="J50">
        <f t="shared" si="6"/>
        <v>377.59711172886824</v>
      </c>
    </row>
    <row r="51" spans="1:10">
      <c r="A51">
        <v>49</v>
      </c>
      <c r="B51" s="1">
        <v>45653</v>
      </c>
      <c r="C51">
        <v>0.11924999999999999</v>
      </c>
      <c r="D51" s="15">
        <f t="shared" si="0"/>
        <v>1.0335397488504539E-2</v>
      </c>
      <c r="E51">
        <f t="shared" si="1"/>
        <v>2.4500000000000001E-2</v>
      </c>
      <c r="F51" s="15">
        <f t="shared" si="2"/>
        <v>3.4835397488504539E-2</v>
      </c>
      <c r="G51">
        <f t="shared" si="3"/>
        <v>34.83539748850454</v>
      </c>
      <c r="H51">
        <f t="shared" si="4"/>
        <v>1706.9344769367224</v>
      </c>
      <c r="I51">
        <f t="shared" si="5"/>
        <v>0.2189290846340228</v>
      </c>
      <c r="J51">
        <f t="shared" si="6"/>
        <v>373.69760256601114</v>
      </c>
    </row>
    <row r="52" spans="1:10">
      <c r="A52">
        <v>50</v>
      </c>
      <c r="B52" s="1">
        <v>45684</v>
      </c>
      <c r="C52">
        <v>0.1171</v>
      </c>
      <c r="D52" s="15">
        <f t="shared" si="0"/>
        <v>9.7143127752068459E-3</v>
      </c>
      <c r="E52">
        <f t="shared" si="1"/>
        <v>2.4500000000000001E-2</v>
      </c>
      <c r="F52" s="15">
        <f t="shared" si="2"/>
        <v>3.4214312775206847E-2</v>
      </c>
      <c r="G52">
        <f t="shared" si="3"/>
        <v>34.214312775206849</v>
      </c>
      <c r="H52">
        <f t="shared" si="4"/>
        <v>1710.7156387603425</v>
      </c>
      <c r="I52">
        <f t="shared" si="5"/>
        <v>0.21224636766547278</v>
      </c>
      <c r="J52">
        <f t="shared" si="6"/>
        <v>363.09318043540179</v>
      </c>
    </row>
    <row r="53" spans="1:10">
      <c r="A53">
        <v>51</v>
      </c>
      <c r="B53" s="1">
        <v>45715</v>
      </c>
      <c r="C53">
        <v>0.1171</v>
      </c>
      <c r="D53" s="15">
        <f t="shared" si="0"/>
        <v>1.0602097805668675E-2</v>
      </c>
      <c r="E53">
        <f t="shared" si="1"/>
        <v>2.4500000000000001E-2</v>
      </c>
      <c r="F53" s="15">
        <f t="shared" si="2"/>
        <v>3.5102097805668676E-2</v>
      </c>
      <c r="G53">
        <f t="shared" si="3"/>
        <v>35.102097805668677</v>
      </c>
      <c r="H53">
        <f t="shared" si="4"/>
        <v>1790.2069880891027</v>
      </c>
      <c r="I53">
        <f t="shared" si="5"/>
        <v>0.20576763778322693</v>
      </c>
      <c r="J53">
        <f t="shared" si="6"/>
        <v>368.36666308212011</v>
      </c>
    </row>
    <row r="54" spans="1:10">
      <c r="A54">
        <v>52</v>
      </c>
      <c r="B54" s="1">
        <v>45743</v>
      </c>
      <c r="C54">
        <v>0.1171</v>
      </c>
      <c r="D54" s="15">
        <f t="shared" si="0"/>
        <v>9.2707127629658714E-3</v>
      </c>
      <c r="E54">
        <f t="shared" si="1"/>
        <v>2.4500000000000001E-2</v>
      </c>
      <c r="F54" s="15">
        <f t="shared" si="2"/>
        <v>3.3770712762965872E-2</v>
      </c>
      <c r="G54">
        <f t="shared" si="3"/>
        <v>33.770712762965871</v>
      </c>
      <c r="H54">
        <f t="shared" si="4"/>
        <v>1756.0770636742254</v>
      </c>
      <c r="I54">
        <f t="shared" si="5"/>
        <v>0.19948666836844534</v>
      </c>
      <c r="J54">
        <f t="shared" si="6"/>
        <v>350.31396283061349</v>
      </c>
    </row>
    <row r="55" spans="1:10">
      <c r="A55">
        <v>53</v>
      </c>
      <c r="B55" s="1">
        <v>45774</v>
      </c>
      <c r="C55">
        <v>0.11595</v>
      </c>
      <c r="D55" s="15">
        <f t="shared" si="0"/>
        <v>9.6235243351647792E-3</v>
      </c>
      <c r="E55">
        <f t="shared" si="1"/>
        <v>2.4500000000000001E-2</v>
      </c>
      <c r="F55" s="15">
        <f t="shared" si="2"/>
        <v>3.412352433516478E-2</v>
      </c>
      <c r="G55">
        <f t="shared" si="3"/>
        <v>34.123524335164781</v>
      </c>
      <c r="H55">
        <f t="shared" si="4"/>
        <v>1808.5467897637334</v>
      </c>
      <c r="I55">
        <f t="shared" si="5"/>
        <v>0.19339742286717329</v>
      </c>
      <c r="J55">
        <f t="shared" si="6"/>
        <v>349.76828827500549</v>
      </c>
    </row>
    <row r="56" spans="1:10">
      <c r="A56">
        <v>54</v>
      </c>
      <c r="B56" s="1">
        <v>45804</v>
      </c>
      <c r="C56">
        <v>0.11595</v>
      </c>
      <c r="D56" s="15">
        <f t="shared" si="0"/>
        <v>9.6235243351647792E-3</v>
      </c>
      <c r="E56">
        <f t="shared" si="1"/>
        <v>2.4500000000000001E-2</v>
      </c>
      <c r="F56" s="15">
        <f t="shared" si="2"/>
        <v>3.412352433516478E-2</v>
      </c>
      <c r="G56">
        <f t="shared" si="3"/>
        <v>34.123524335164781</v>
      </c>
      <c r="H56">
        <f t="shared" si="4"/>
        <v>1842.6703140988982</v>
      </c>
      <c r="I56">
        <f t="shared" si="5"/>
        <v>0.18749404898869204</v>
      </c>
      <c r="J56">
        <f t="shared" si="6"/>
        <v>345.48971814166737</v>
      </c>
    </row>
    <row r="57" spans="1:10">
      <c r="A57">
        <v>55</v>
      </c>
      <c r="B57" s="1">
        <v>45835</v>
      </c>
      <c r="C57">
        <v>0.11595</v>
      </c>
      <c r="D57" s="15">
        <f t="shared" si="0"/>
        <v>1.0502969194227996E-2</v>
      </c>
      <c r="E57">
        <f t="shared" si="1"/>
        <v>2.4500000000000001E-2</v>
      </c>
      <c r="F57" s="15">
        <f t="shared" si="2"/>
        <v>3.5002969194227997E-2</v>
      </c>
      <c r="G57">
        <f t="shared" si="3"/>
        <v>35.002969194227994</v>
      </c>
      <c r="H57">
        <f t="shared" si="4"/>
        <v>1925.1633056825397</v>
      </c>
      <c r="I57">
        <f t="shared" si="5"/>
        <v>0.18177087308096171</v>
      </c>
      <c r="J57">
        <f t="shared" si="6"/>
        <v>349.93861489734559</v>
      </c>
    </row>
    <row r="58" spans="1:10">
      <c r="A58">
        <v>56</v>
      </c>
      <c r="B58" s="1">
        <v>45865</v>
      </c>
      <c r="C58">
        <v>0.11559999999999999</v>
      </c>
      <c r="D58" s="15">
        <f t="shared" si="0"/>
        <v>9.1577089602106199E-3</v>
      </c>
      <c r="E58">
        <f t="shared" si="1"/>
        <v>2.4500000000000001E-2</v>
      </c>
      <c r="F58" s="15">
        <f t="shared" si="2"/>
        <v>3.3657708960210621E-2</v>
      </c>
      <c r="G58">
        <f t="shared" si="3"/>
        <v>33.65770896021062</v>
      </c>
      <c r="H58">
        <f t="shared" si="4"/>
        <v>1884.8317017717948</v>
      </c>
      <c r="I58">
        <f t="shared" si="5"/>
        <v>0.17622239467775225</v>
      </c>
      <c r="J58">
        <f t="shared" si="6"/>
        <v>332.14955605076864</v>
      </c>
    </row>
    <row r="59" spans="1:10">
      <c r="A59">
        <v>57</v>
      </c>
      <c r="B59" s="1">
        <v>45896</v>
      </c>
      <c r="C59">
        <v>0.11559999999999999</v>
      </c>
      <c r="D59" s="15">
        <f t="shared" si="0"/>
        <v>1.0034233531130976E-2</v>
      </c>
      <c r="E59">
        <f t="shared" si="1"/>
        <v>2.4500000000000001E-2</v>
      </c>
      <c r="F59" s="15">
        <f t="shared" si="2"/>
        <v>3.4534233531130977E-2</v>
      </c>
      <c r="G59">
        <f t="shared" si="3"/>
        <v>34.53423353113098</v>
      </c>
      <c r="H59">
        <f t="shared" si="4"/>
        <v>1968.4513112744658</v>
      </c>
      <c r="I59">
        <f t="shared" si="5"/>
        <v>0.17084328121221987</v>
      </c>
      <c r="J59">
        <f t="shared" si="6"/>
        <v>336.29668092462651</v>
      </c>
    </row>
    <row r="60" spans="1:10">
      <c r="A60">
        <v>58</v>
      </c>
      <c r="B60" s="1">
        <v>45927</v>
      </c>
      <c r="C60">
        <v>0.11559999999999999</v>
      </c>
      <c r="D60" s="15">
        <f t="shared" si="0"/>
        <v>1.0034233531130976E-2</v>
      </c>
      <c r="E60">
        <f t="shared" si="1"/>
        <v>2.4500000000000001E-2</v>
      </c>
      <c r="F60" s="15">
        <f t="shared" si="2"/>
        <v>3.4534233531130977E-2</v>
      </c>
      <c r="G60">
        <f t="shared" si="3"/>
        <v>34.53423353113098</v>
      </c>
      <c r="H60">
        <f t="shared" si="4"/>
        <v>2002.9855448055969</v>
      </c>
      <c r="I60">
        <f t="shared" si="5"/>
        <v>0.16562836289185051</v>
      </c>
      <c r="J60">
        <f t="shared" si="6"/>
        <v>331.75121668219231</v>
      </c>
    </row>
    <row r="61" spans="1:10">
      <c r="A61">
        <v>59</v>
      </c>
      <c r="B61" s="1">
        <v>45957</v>
      </c>
      <c r="C61">
        <v>0.11544</v>
      </c>
      <c r="D61" s="15">
        <f t="shared" si="0"/>
        <v>9.1456470019048997E-3</v>
      </c>
      <c r="E61">
        <f t="shared" si="1"/>
        <v>2.4500000000000001E-2</v>
      </c>
      <c r="F61" s="15">
        <f t="shared" si="2"/>
        <v>3.3645647001904901E-2</v>
      </c>
      <c r="G61">
        <f t="shared" si="3"/>
        <v>33.645647001904898</v>
      </c>
      <c r="H61">
        <f t="shared" si="4"/>
        <v>1985.093173112389</v>
      </c>
      <c r="I61">
        <f t="shared" si="5"/>
        <v>0.16057262772984207</v>
      </c>
      <c r="J61">
        <f t="shared" si="6"/>
        <v>318.75162709522658</v>
      </c>
    </row>
    <row r="62" spans="1:10">
      <c r="A62">
        <v>60</v>
      </c>
      <c r="B62" s="1">
        <v>45988</v>
      </c>
      <c r="C62">
        <v>0.11544</v>
      </c>
      <c r="D62" s="15">
        <f t="shared" si="0"/>
        <v>1.045897822421904E-2</v>
      </c>
      <c r="E62">
        <f t="shared" si="1"/>
        <v>2.4500000000000001E-2</v>
      </c>
      <c r="F62" s="15">
        <f t="shared" si="2"/>
        <v>3.4958978224219041E-2</v>
      </c>
      <c r="G62">
        <f t="shared" si="3"/>
        <v>34.958978224219038</v>
      </c>
      <c r="H62">
        <f t="shared" si="4"/>
        <v>2097.5386934531425</v>
      </c>
      <c r="I62">
        <f>(1+$B$66)^(-A62)</f>
        <v>0.15567121672815321</v>
      </c>
      <c r="J62">
        <f t="shared" si="6"/>
        <v>326.52640054423148</v>
      </c>
    </row>
    <row r="63" spans="1:10">
      <c r="I63" t="s">
        <v>4</v>
      </c>
      <c r="J63">
        <f>SUM(J3:J62)</f>
        <v>20001.669047078372</v>
      </c>
    </row>
    <row r="64" spans="1:10">
      <c r="A64" t="s">
        <v>98</v>
      </c>
      <c r="B64" s="8">
        <v>1000</v>
      </c>
      <c r="I64" t="s">
        <v>5</v>
      </c>
      <c r="J64">
        <f>(A62*B64)*I62</f>
        <v>9340.2730036891917</v>
      </c>
    </row>
    <row r="65" spans="1:14">
      <c r="A65" t="s">
        <v>90</v>
      </c>
      <c r="B65">
        <v>1017.8073910000001</v>
      </c>
      <c r="I65" t="s">
        <v>6</v>
      </c>
      <c r="J65">
        <f>SUM(J63:J64)</f>
        <v>29341.942050767564</v>
      </c>
    </row>
    <row r="66" spans="1:14" ht="18">
      <c r="A66" t="s">
        <v>101</v>
      </c>
      <c r="B66">
        <v>3.1485659999999999E-2</v>
      </c>
      <c r="I66" t="s">
        <v>89</v>
      </c>
      <c r="J66">
        <f>(J65/B65)/12</f>
        <v>2.4023816875230017</v>
      </c>
      <c r="N66" s="16"/>
    </row>
    <row r="67" spans="1:14">
      <c r="A67" t="s">
        <v>119</v>
      </c>
      <c r="B67">
        <f>G25/B65</f>
        <v>3.5612573606347155E-2</v>
      </c>
      <c r="I67" t="s">
        <v>18</v>
      </c>
      <c r="J67">
        <f>J66/(1+B66)</f>
        <v>2.3290500107611791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D7E99-6FA4-4AB1-8C32-3FDAA9A0C5A9}">
  <dimension ref="A1:I26"/>
  <sheetViews>
    <sheetView topLeftCell="A10" workbookViewId="0">
      <selection activeCell="B26" sqref="B26"/>
    </sheetView>
  </sheetViews>
  <sheetFormatPr defaultRowHeight="15"/>
  <cols>
    <col min="2" max="2" width="10.5703125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44454</v>
      </c>
      <c r="C2">
        <f>(1+$B$22)^(1/2)-1</f>
        <v>2.6645021416847881E-2</v>
      </c>
      <c r="D2">
        <v>1.0572316033153661</v>
      </c>
      <c r="E2">
        <f>$B$21*D2</f>
        <v>1057.2316033153661</v>
      </c>
      <c r="F2">
        <f>C2*E2</f>
        <v>28.169958712906354</v>
      </c>
      <c r="G2">
        <f>A2*F2</f>
        <v>28.169958712906354</v>
      </c>
      <c r="H2">
        <f>(1+$B$25)^(-A2)</f>
        <v>0.9416472144323933</v>
      </c>
      <c r="I2">
        <f>G2*H2</f>
        <v>26.526163152683797</v>
      </c>
    </row>
    <row r="3" spans="1:9">
      <c r="A3">
        <v>2</v>
      </c>
      <c r="B3" s="1">
        <v>44635</v>
      </c>
      <c r="C3">
        <f t="shared" ref="C3:C19" si="0">(1+$B$22)^(1/2)-1</f>
        <v>2.6645021416847881E-2</v>
      </c>
      <c r="D3">
        <v>1.1233439961311942</v>
      </c>
      <c r="E3">
        <f t="shared" ref="E3:E19" si="1">$B$21*D3</f>
        <v>1123.3439961311942</v>
      </c>
      <c r="F3">
        <f t="shared" ref="F3:F19" si="2">C3*E3</f>
        <v>29.931524835403152</v>
      </c>
      <c r="G3">
        <f t="shared" ref="G3:G19" si="3">A3*F3</f>
        <v>59.863049670806305</v>
      </c>
      <c r="H3">
        <f t="shared" ref="H3:H19" si="4">(1+$B$25)^(-A3)</f>
        <v>0.88669947644828573</v>
      </c>
      <c r="I3">
        <f t="shared" ref="I3:I19" si="5">G3*H3</f>
        <v>53.080534801701674</v>
      </c>
    </row>
    <row r="4" spans="1:9">
      <c r="A4">
        <v>3</v>
      </c>
      <c r="B4" s="1">
        <v>44819</v>
      </c>
      <c r="C4">
        <f t="shared" si="0"/>
        <v>2.6645021416847881E-2</v>
      </c>
      <c r="D4">
        <v>1.1330202692517155</v>
      </c>
      <c r="E4">
        <f t="shared" si="1"/>
        <v>1133.0202692517155</v>
      </c>
      <c r="F4">
        <f t="shared" si="2"/>
        <v>30.189349339934711</v>
      </c>
      <c r="G4">
        <f t="shared" si="3"/>
        <v>90.568048019804138</v>
      </c>
      <c r="H4">
        <f t="shared" si="4"/>
        <v>0.83495809203618976</v>
      </c>
      <c r="I4">
        <f t="shared" si="5"/>
        <v>75.620524574057683</v>
      </c>
    </row>
    <row r="5" spans="1:9">
      <c r="A5">
        <v>4</v>
      </c>
      <c r="B5" s="1">
        <v>45000</v>
      </c>
      <c r="C5">
        <f t="shared" si="0"/>
        <v>2.6645021416847881E-2</v>
      </c>
      <c r="D5">
        <v>1.1996216257499195</v>
      </c>
      <c r="E5">
        <f t="shared" si="1"/>
        <v>1199.6216257499195</v>
      </c>
      <c r="F5">
        <f t="shared" si="2"/>
        <v>31.963943910220479</v>
      </c>
      <c r="G5">
        <f t="shared" si="3"/>
        <v>127.85577564088192</v>
      </c>
      <c r="H5">
        <f t="shared" si="4"/>
        <v>0.78623596153366404</v>
      </c>
      <c r="I5">
        <f t="shared" si="5"/>
        <v>100.52480869864121</v>
      </c>
    </row>
    <row r="6" spans="1:9">
      <c r="A6">
        <v>5</v>
      </c>
      <c r="B6" s="1">
        <v>45184</v>
      </c>
      <c r="C6">
        <f t="shared" si="0"/>
        <v>2.6645021416847881E-2</v>
      </c>
      <c r="D6">
        <v>1.2304738051982265</v>
      </c>
      <c r="E6">
        <f t="shared" si="1"/>
        <v>1230.4738051982265</v>
      </c>
      <c r="F6">
        <f t="shared" si="2"/>
        <v>32.786000892377054</v>
      </c>
      <c r="G6">
        <f t="shared" si="3"/>
        <v>163.93000446188526</v>
      </c>
      <c r="H6">
        <f t="shared" si="4"/>
        <v>0.74035690306474911</v>
      </c>
      <c r="I6">
        <f t="shared" si="5"/>
        <v>121.36671042279187</v>
      </c>
    </row>
    <row r="7" spans="1:9">
      <c r="A7">
        <v>6</v>
      </c>
      <c r="B7" s="1">
        <v>45366</v>
      </c>
      <c r="C7">
        <f t="shared" si="0"/>
        <v>2.6645021416847881E-2</v>
      </c>
      <c r="D7">
        <v>1.2798099127141558</v>
      </c>
      <c r="E7">
        <f t="shared" si="1"/>
        <v>1279.8099127141559</v>
      </c>
      <c r="F7">
        <f t="shared" si="2"/>
        <v>34.100562533762897</v>
      </c>
      <c r="G7">
        <f t="shared" si="3"/>
        <v>204.60337520257738</v>
      </c>
      <c r="H7">
        <f t="shared" si="4"/>
        <v>0.69715501545671454</v>
      </c>
      <c r="I7">
        <f t="shared" si="5"/>
        <v>142.64026920184881</v>
      </c>
    </row>
    <row r="8" spans="1:9">
      <c r="A8">
        <v>7</v>
      </c>
      <c r="B8" s="1">
        <v>45550</v>
      </c>
      <c r="C8">
        <f t="shared" si="0"/>
        <v>2.6645021416847881E-2</v>
      </c>
      <c r="D8">
        <v>1.3063741978627945</v>
      </c>
      <c r="E8">
        <f t="shared" si="1"/>
        <v>1306.3741978627945</v>
      </c>
      <c r="F8">
        <f t="shared" si="2"/>
        <v>34.808368480471628</v>
      </c>
      <c r="G8">
        <f t="shared" si="3"/>
        <v>243.65857936330139</v>
      </c>
      <c r="H8">
        <f t="shared" si="4"/>
        <v>0.65647407833238725</v>
      </c>
      <c r="I8">
        <f t="shared" si="5"/>
        <v>159.9555413153021</v>
      </c>
    </row>
    <row r="9" spans="1:9">
      <c r="A9">
        <v>8</v>
      </c>
      <c r="B9" s="1">
        <v>45731</v>
      </c>
      <c r="C9">
        <f t="shared" si="0"/>
        <v>2.6645021416847881E-2</v>
      </c>
      <c r="D9">
        <v>1.3570176770541775</v>
      </c>
      <c r="E9">
        <f t="shared" si="1"/>
        <v>1357.0176770541775</v>
      </c>
      <c r="F9">
        <f t="shared" si="2"/>
        <v>36.157765068149722</v>
      </c>
      <c r="G9">
        <f t="shared" si="3"/>
        <v>289.26212054519777</v>
      </c>
      <c r="H9">
        <f t="shared" si="4"/>
        <v>0.61816698720876528</v>
      </c>
      <c r="I9">
        <f t="shared" si="5"/>
        <v>178.8122935710436</v>
      </c>
    </row>
    <row r="10" spans="1:9">
      <c r="A10">
        <v>9</v>
      </c>
      <c r="B10" s="1">
        <v>45915</v>
      </c>
      <c r="C10">
        <f t="shared" si="0"/>
        <v>2.6645021416847881E-2</v>
      </c>
      <c r="D10">
        <v>1.3843317266994091</v>
      </c>
      <c r="E10">
        <f t="shared" si="1"/>
        <v>1384.331726699409</v>
      </c>
      <c r="F10">
        <f t="shared" si="2"/>
        <v>36.885548505927758</v>
      </c>
      <c r="G10">
        <f t="shared" si="3"/>
        <v>331.96993655334984</v>
      </c>
      <c r="H10">
        <f t="shared" si="4"/>
        <v>0.58209522155919879</v>
      </c>
      <c r="I10">
        <f t="shared" si="5"/>
        <v>193.23811376901534</v>
      </c>
    </row>
    <row r="11" spans="1:9">
      <c r="A11">
        <v>10</v>
      </c>
      <c r="B11" s="1">
        <v>46096</v>
      </c>
      <c r="C11">
        <f t="shared" si="0"/>
        <v>2.6645021416847881E-2</v>
      </c>
      <c r="D11">
        <v>1.4378937788193999</v>
      </c>
      <c r="E11">
        <f t="shared" si="1"/>
        <v>1437.8937788194</v>
      </c>
      <c r="F11">
        <f t="shared" si="2"/>
        <v>38.31271053179524</v>
      </c>
      <c r="G11">
        <f t="shared" si="3"/>
        <v>383.12710531795238</v>
      </c>
      <c r="H11">
        <f t="shared" si="4"/>
        <v>0.54812834391562637</v>
      </c>
      <c r="I11">
        <f t="shared" si="5"/>
        <v>210.00282574711701</v>
      </c>
    </row>
    <row r="12" spans="1:9">
      <c r="A12">
        <v>11</v>
      </c>
      <c r="B12" s="1">
        <v>46280</v>
      </c>
      <c r="C12">
        <f t="shared" si="0"/>
        <v>2.6645021416847881E-2</v>
      </c>
      <c r="D12">
        <v>1.46680560592289</v>
      </c>
      <c r="E12">
        <f t="shared" si="1"/>
        <v>1466.80560592289</v>
      </c>
      <c r="F12">
        <f t="shared" si="2"/>
        <v>39.083066784167933</v>
      </c>
      <c r="G12">
        <f t="shared" si="3"/>
        <v>429.91373462584727</v>
      </c>
      <c r="H12">
        <f t="shared" si="4"/>
        <v>0.51614352819959042</v>
      </c>
      <c r="I12">
        <f t="shared" si="5"/>
        <v>221.89719181124724</v>
      </c>
    </row>
    <row r="13" spans="1:9">
      <c r="A13">
        <v>12</v>
      </c>
      <c r="B13" s="1">
        <v>46461</v>
      </c>
      <c r="C13">
        <f t="shared" si="0"/>
        <v>2.6645021416847881E-2</v>
      </c>
      <c r="D13">
        <v>1.5238737721100382</v>
      </c>
      <c r="E13">
        <f t="shared" si="1"/>
        <v>1523.8737721100381</v>
      </c>
      <c r="F13">
        <f t="shared" si="2"/>
        <v>40.603649294444729</v>
      </c>
      <c r="G13">
        <f t="shared" si="3"/>
        <v>487.24379153333678</v>
      </c>
      <c r="H13">
        <f t="shared" si="4"/>
        <v>0.48602511557645189</v>
      </c>
      <c r="I13">
        <f t="shared" si="5"/>
        <v>236.81272009389863</v>
      </c>
    </row>
    <row r="14" spans="1:9">
      <c r="A14">
        <v>13</v>
      </c>
      <c r="B14" s="1">
        <v>46645</v>
      </c>
      <c r="C14">
        <f t="shared" si="0"/>
        <v>2.6645021416847881E-2</v>
      </c>
      <c r="D14">
        <v>1.5546893085665905</v>
      </c>
      <c r="E14">
        <f t="shared" si="1"/>
        <v>1554.6893085665904</v>
      </c>
      <c r="F14">
        <f t="shared" si="2"/>
        <v>41.424729923301221</v>
      </c>
      <c r="G14">
        <f t="shared" si="3"/>
        <v>538.52148900291593</v>
      </c>
      <c r="H14">
        <f t="shared" si="4"/>
        <v>0.45766419622674781</v>
      </c>
      <c r="I14">
        <f t="shared" si="5"/>
        <v>246.46200441535092</v>
      </c>
    </row>
    <row r="15" spans="1:9">
      <c r="A15">
        <v>14</v>
      </c>
      <c r="B15" s="1">
        <v>46827</v>
      </c>
      <c r="C15">
        <f t="shared" si="0"/>
        <v>2.6645021416847881E-2</v>
      </c>
      <c r="D15">
        <v>1.6155522159000371</v>
      </c>
      <c r="E15">
        <f t="shared" si="1"/>
        <v>1615.552215900037</v>
      </c>
      <c r="F15">
        <f t="shared" si="2"/>
        <v>43.046423392692539</v>
      </c>
      <c r="G15">
        <f t="shared" si="3"/>
        <v>602.64992749769556</v>
      </c>
      <c r="H15">
        <f t="shared" si="4"/>
        <v>0.43095821552235741</v>
      </c>
      <c r="I15">
        <f t="shared" si="5"/>
        <v>259.71693733908495</v>
      </c>
    </row>
    <row r="16" spans="1:9">
      <c r="A16">
        <v>15</v>
      </c>
      <c r="B16" s="1">
        <v>47011</v>
      </c>
      <c r="C16">
        <f t="shared" si="0"/>
        <v>2.6645021416847881E-2</v>
      </c>
      <c r="D16">
        <v>1.6484234483856808</v>
      </c>
      <c r="E16">
        <f t="shared" si="1"/>
        <v>1648.4234483856808</v>
      </c>
      <c r="F16">
        <f t="shared" si="2"/>
        <v>43.922278086270701</v>
      </c>
      <c r="G16">
        <f t="shared" si="3"/>
        <v>658.83417129406052</v>
      </c>
      <c r="H16">
        <f t="shared" si="4"/>
        <v>0.40581060318338286</v>
      </c>
      <c r="I16">
        <f t="shared" si="5"/>
        <v>267.36189245066686</v>
      </c>
    </row>
    <row r="17" spans="1:9">
      <c r="A17">
        <v>16</v>
      </c>
      <c r="B17" s="1">
        <v>47192</v>
      </c>
      <c r="C17">
        <f t="shared" si="0"/>
        <v>2.6645021416847881E-2</v>
      </c>
      <c r="D17">
        <v>1.7133019609549955</v>
      </c>
      <c r="E17">
        <f t="shared" si="1"/>
        <v>1713.3019609549956</v>
      </c>
      <c r="F17">
        <f t="shared" si="2"/>
        <v>45.650967443173329</v>
      </c>
      <c r="G17">
        <f t="shared" si="3"/>
        <v>730.41547909077326</v>
      </c>
      <c r="H17">
        <f t="shared" si="4"/>
        <v>0.38213042407476183</v>
      </c>
      <c r="I17">
        <f t="shared" si="5"/>
        <v>279.11397677572751</v>
      </c>
    </row>
    <row r="18" spans="1:9">
      <c r="A18">
        <v>17</v>
      </c>
      <c r="B18" s="1">
        <v>47376</v>
      </c>
      <c r="C18">
        <f t="shared" si="0"/>
        <v>2.6645021416847881E-2</v>
      </c>
      <c r="D18">
        <v>1.7483468068138746</v>
      </c>
      <c r="E18">
        <f t="shared" si="1"/>
        <v>1748.3468068138745</v>
      </c>
      <c r="F18">
        <f t="shared" si="2"/>
        <v>46.584738111633293</v>
      </c>
      <c r="G18">
        <f t="shared" si="3"/>
        <v>791.94054789776601</v>
      </c>
      <c r="H18">
        <f t="shared" si="4"/>
        <v>0.35983204937986862</v>
      </c>
      <c r="I18">
        <f t="shared" si="5"/>
        <v>284.96559033706916</v>
      </c>
    </row>
    <row r="19" spans="1:9">
      <c r="A19">
        <v>18</v>
      </c>
      <c r="B19" s="1">
        <v>47557</v>
      </c>
      <c r="C19">
        <f t="shared" si="0"/>
        <v>2.6645021416847881E-2</v>
      </c>
      <c r="D19">
        <v>1.8174546493936128</v>
      </c>
      <c r="E19">
        <f t="shared" si="1"/>
        <v>1817.4546493936127</v>
      </c>
      <c r="F19">
        <f t="shared" si="2"/>
        <v>48.426118057242569</v>
      </c>
      <c r="G19">
        <f t="shared" si="3"/>
        <v>871.67012503036619</v>
      </c>
      <c r="H19">
        <f t="shared" si="4"/>
        <v>0.33883484696205268</v>
      </c>
      <c r="I19">
        <f t="shared" si="5"/>
        <v>295.35221341605745</v>
      </c>
    </row>
    <row r="20" spans="1:9">
      <c r="H20" t="s">
        <v>4</v>
      </c>
      <c r="I20">
        <f>SUM(I2:I19)</f>
        <v>3353.4503118933058</v>
      </c>
    </row>
    <row r="21" spans="1:9">
      <c r="A21" t="s">
        <v>98</v>
      </c>
      <c r="B21" s="8">
        <v>1000</v>
      </c>
      <c r="H21" t="s">
        <v>5</v>
      </c>
      <c r="I21">
        <f>(A19*B23)*H19</f>
        <v>11084.705423779606</v>
      </c>
    </row>
    <row r="22" spans="1:9">
      <c r="A22" t="s">
        <v>79</v>
      </c>
      <c r="B22" s="10">
        <v>5.3999999999999999E-2</v>
      </c>
      <c r="H22" t="s">
        <v>6</v>
      </c>
      <c r="I22">
        <f>SUM(I20:I21)</f>
        <v>14438.155735672912</v>
      </c>
    </row>
    <row r="23" spans="1:9">
      <c r="A23" t="s">
        <v>111</v>
      </c>
      <c r="B23">
        <f>B21*D19</f>
        <v>1817.4546493936127</v>
      </c>
      <c r="H23" t="s">
        <v>89</v>
      </c>
      <c r="I23">
        <f>(I22/B24)/2</f>
        <v>7.2190778678364556</v>
      </c>
    </row>
    <row r="24" spans="1:9">
      <c r="A24" t="s">
        <v>90</v>
      </c>
      <c r="B24">
        <v>1000</v>
      </c>
      <c r="H24" t="s">
        <v>18</v>
      </c>
      <c r="I24">
        <f>I23/(1+B25)</f>
        <v>6.7978245650187397</v>
      </c>
    </row>
    <row r="25" spans="1:9">
      <c r="A25" t="s">
        <v>101</v>
      </c>
      <c r="B25">
        <v>6.1968839999999997E-2</v>
      </c>
    </row>
    <row r="26" spans="1:9">
      <c r="A26" t="s">
        <v>119</v>
      </c>
      <c r="B26">
        <f>F4/B24</f>
        <v>3.0189349339934713E-2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F4968-0EC7-45A4-AE71-66BF79851B8C}">
  <dimension ref="A1:M18"/>
  <sheetViews>
    <sheetView workbookViewId="0">
      <selection activeCell="B17" sqref="B17"/>
    </sheetView>
  </sheetViews>
  <sheetFormatPr defaultRowHeight="15"/>
  <cols>
    <col min="2" max="2" width="10.7109375" bestFit="1" customWidth="1"/>
    <col min="4" max="4" width="10.7109375" bestFit="1" customWidth="1"/>
    <col min="6" max="6" width="9.5703125" bestFit="1" customWidth="1"/>
    <col min="9" max="9" width="9.5703125" bestFit="1" customWidth="1"/>
  </cols>
  <sheetData>
    <row r="1" spans="1:10">
      <c r="A1" t="s">
        <v>96</v>
      </c>
      <c r="B1" t="s">
        <v>0</v>
      </c>
      <c r="C1" t="s">
        <v>121</v>
      </c>
      <c r="D1" t="s">
        <v>141</v>
      </c>
      <c r="E1" t="s">
        <v>116</v>
      </c>
      <c r="F1" t="s">
        <v>142</v>
      </c>
      <c r="G1" t="s">
        <v>107</v>
      </c>
      <c r="H1" t="s">
        <v>12</v>
      </c>
      <c r="I1" t="s">
        <v>3</v>
      </c>
      <c r="J1" t="s">
        <v>102</v>
      </c>
    </row>
    <row r="2" spans="1:10">
      <c r="A2">
        <v>0</v>
      </c>
      <c r="B2" s="1">
        <v>44294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</v>
      </c>
      <c r="B3" s="1">
        <v>44475</v>
      </c>
      <c r="C3">
        <v>6.1499999999999999E-2</v>
      </c>
      <c r="D3" s="14">
        <f>(1+C3)^(NETWORKDAYS.INTL(B2,B3)/252)-1</f>
        <v>3.1267729046084769E-2</v>
      </c>
      <c r="E3">
        <f>1.9/100</f>
        <v>1.9E-2</v>
      </c>
      <c r="F3" s="14">
        <f>D3+E3</f>
        <v>5.0267729046084772E-2</v>
      </c>
      <c r="G3">
        <f>$B$14*F3</f>
        <v>50.267729046084774</v>
      </c>
      <c r="H3">
        <f>A3*G3</f>
        <v>50.267729046084774</v>
      </c>
      <c r="I3" s="13">
        <f>(1+$B$16)^(-A3)</f>
        <v>0.93000032624411433</v>
      </c>
      <c r="J3">
        <f>H3*I3</f>
        <v>46.749004412409583</v>
      </c>
    </row>
    <row r="4" spans="1:10">
      <c r="A4">
        <v>2</v>
      </c>
      <c r="B4" s="1">
        <v>44657</v>
      </c>
      <c r="C4">
        <v>0.11650000000000001</v>
      </c>
      <c r="D4" s="14">
        <f t="shared" ref="D4:D12" si="0">(1+C4)^(NETWORKDAYS.INTL(B3,B4)/252)-1</f>
        <v>5.8958502313748662E-2</v>
      </c>
      <c r="E4">
        <f t="shared" ref="E4:E12" si="1">1.9/100</f>
        <v>1.9E-2</v>
      </c>
      <c r="F4" s="14">
        <f t="shared" ref="F4:F12" si="2">D4+E4</f>
        <v>7.7958502313748665E-2</v>
      </c>
      <c r="G4">
        <f t="shared" ref="G4:G12" si="3">$B$14*F4</f>
        <v>77.958502313748667</v>
      </c>
      <c r="H4">
        <f t="shared" ref="H4:H12" si="4">A4*G4</f>
        <v>155.91700462749733</v>
      </c>
      <c r="I4" s="13">
        <f t="shared" ref="I4:I12" si="5">(1+$B$16)^(-A4)</f>
        <v>0.86490060681415915</v>
      </c>
      <c r="J4">
        <f t="shared" ref="J4:J12" si="6">H4*I4</f>
        <v>134.85271191496849</v>
      </c>
    </row>
    <row r="5" spans="1:10">
      <c r="A5">
        <v>3</v>
      </c>
      <c r="B5" s="1">
        <v>44840</v>
      </c>
      <c r="C5">
        <v>0.13650000000000001</v>
      </c>
      <c r="D5" s="14">
        <f t="shared" si="0"/>
        <v>6.9320276311037654E-2</v>
      </c>
      <c r="E5">
        <f t="shared" si="1"/>
        <v>1.9E-2</v>
      </c>
      <c r="F5" s="14">
        <f t="shared" si="2"/>
        <v>8.8320276311037657E-2</v>
      </c>
      <c r="G5">
        <f t="shared" si="3"/>
        <v>88.320276311037659</v>
      </c>
      <c r="H5">
        <f t="shared" si="4"/>
        <v>264.96082893311296</v>
      </c>
      <c r="I5" s="13">
        <f t="shared" si="5"/>
        <v>0.80435784650590048</v>
      </c>
      <c r="J5">
        <f t="shared" si="6"/>
        <v>213.12332176905704</v>
      </c>
    </row>
    <row r="6" spans="1:10">
      <c r="A6">
        <v>4</v>
      </c>
      <c r="B6" s="1">
        <v>45022</v>
      </c>
      <c r="C6">
        <v>0.13700000000000001</v>
      </c>
      <c r="D6" s="14">
        <f t="shared" si="0"/>
        <v>6.9021871708573102E-2</v>
      </c>
      <c r="E6">
        <f t="shared" si="1"/>
        <v>1.9E-2</v>
      </c>
      <c r="F6" s="14">
        <f t="shared" si="2"/>
        <v>8.8021871708573104E-2</v>
      </c>
      <c r="G6">
        <f t="shared" si="3"/>
        <v>88.021871708573102</v>
      </c>
      <c r="H6">
        <f t="shared" si="4"/>
        <v>352.08748683429241</v>
      </c>
      <c r="I6" s="13">
        <f t="shared" si="5"/>
        <v>0.7480530596675008</v>
      </c>
      <c r="J6">
        <f t="shared" si="6"/>
        <v>263.38012179703333</v>
      </c>
    </row>
    <row r="7" spans="1:10">
      <c r="A7">
        <v>5</v>
      </c>
      <c r="B7" s="1">
        <v>45205</v>
      </c>
      <c r="C7">
        <v>0.13305</v>
      </c>
      <c r="D7" s="14">
        <f t="shared" si="0"/>
        <v>6.7618724809447084E-2</v>
      </c>
      <c r="E7">
        <f t="shared" si="1"/>
        <v>1.9E-2</v>
      </c>
      <c r="F7" s="14">
        <f t="shared" si="2"/>
        <v>8.6618724809447087E-2</v>
      </c>
      <c r="G7">
        <f t="shared" si="3"/>
        <v>86.618724809447087</v>
      </c>
      <c r="H7">
        <f t="shared" si="4"/>
        <v>433.09362404723544</v>
      </c>
      <c r="I7" s="13">
        <f t="shared" si="5"/>
        <v>0.69568958953868376</v>
      </c>
      <c r="J7">
        <f t="shared" si="6"/>
        <v>301.29872554524223</v>
      </c>
    </row>
    <row r="8" spans="1:10">
      <c r="A8">
        <v>6</v>
      </c>
      <c r="B8" s="1">
        <v>45388</v>
      </c>
      <c r="C8">
        <v>0.12570000000000001</v>
      </c>
      <c r="D8" s="14">
        <f t="shared" si="0"/>
        <v>6.3485625154833025E-2</v>
      </c>
      <c r="E8">
        <f t="shared" si="1"/>
        <v>1.9E-2</v>
      </c>
      <c r="F8" s="14">
        <f t="shared" si="2"/>
        <v>8.2485625154833028E-2</v>
      </c>
      <c r="G8">
        <f t="shared" si="3"/>
        <v>82.485625154833031</v>
      </c>
      <c r="H8">
        <f t="shared" si="4"/>
        <v>494.91375092899818</v>
      </c>
      <c r="I8" s="13">
        <f t="shared" si="5"/>
        <v>0.64699154523560987</v>
      </c>
      <c r="J8">
        <f t="shared" si="6"/>
        <v>320.2050124719043</v>
      </c>
    </row>
    <row r="9" spans="1:10">
      <c r="A9">
        <v>7</v>
      </c>
      <c r="B9" s="1">
        <v>45571</v>
      </c>
      <c r="C9">
        <v>0.11924999999999999</v>
      </c>
      <c r="D9" s="14">
        <f t="shared" si="0"/>
        <v>5.9839672449477188E-2</v>
      </c>
      <c r="E9">
        <f t="shared" si="1"/>
        <v>1.9E-2</v>
      </c>
      <c r="F9" s="14">
        <f t="shared" si="2"/>
        <v>7.8839672449477191E-2</v>
      </c>
      <c r="G9">
        <f t="shared" si="3"/>
        <v>78.839672449477192</v>
      </c>
      <c r="H9">
        <f t="shared" si="4"/>
        <v>551.8777071463403</v>
      </c>
      <c r="I9" s="13">
        <f t="shared" si="5"/>
        <v>0.60170234814630086</v>
      </c>
      <c r="J9">
        <f t="shared" si="6"/>
        <v>332.06611227954954</v>
      </c>
    </row>
    <row r="10" spans="1:10">
      <c r="A10">
        <v>8</v>
      </c>
      <c r="B10" s="1">
        <v>45753</v>
      </c>
      <c r="C10">
        <v>0.11595</v>
      </c>
      <c r="D10" s="14">
        <f t="shared" si="0"/>
        <v>5.8226502516244949E-2</v>
      </c>
      <c r="E10">
        <f t="shared" si="1"/>
        <v>1.9E-2</v>
      </c>
      <c r="F10" s="14">
        <f t="shared" si="2"/>
        <v>7.7226502516244952E-2</v>
      </c>
      <c r="G10">
        <f t="shared" si="3"/>
        <v>77.226502516244949</v>
      </c>
      <c r="H10">
        <f t="shared" si="4"/>
        <v>617.81202012995959</v>
      </c>
      <c r="I10" s="13">
        <f t="shared" si="5"/>
        <v>0.55958338007790953</v>
      </c>
      <c r="J10">
        <f t="shared" si="6"/>
        <v>345.7173384770843</v>
      </c>
    </row>
    <row r="11" spans="1:10">
      <c r="A11">
        <v>9</v>
      </c>
      <c r="B11" s="1">
        <v>45936</v>
      </c>
      <c r="C11">
        <v>0.11544</v>
      </c>
      <c r="D11" s="14">
        <f t="shared" si="0"/>
        <v>5.8435750126872632E-2</v>
      </c>
      <c r="E11">
        <f t="shared" si="1"/>
        <v>1.9E-2</v>
      </c>
      <c r="F11" s="14">
        <f t="shared" si="2"/>
        <v>7.7435750126872635E-2</v>
      </c>
      <c r="G11">
        <f t="shared" si="3"/>
        <v>77.435750126872634</v>
      </c>
      <c r="H11">
        <f t="shared" si="4"/>
        <v>696.92175114185375</v>
      </c>
      <c r="I11" s="13">
        <f t="shared" si="5"/>
        <v>0.52041272603324007</v>
      </c>
      <c r="J11">
        <f t="shared" si="6"/>
        <v>362.68694834359144</v>
      </c>
    </row>
    <row r="12" spans="1:10">
      <c r="A12">
        <v>10</v>
      </c>
      <c r="B12" s="1">
        <v>46118</v>
      </c>
      <c r="C12">
        <v>0.11496000000000001</v>
      </c>
      <c r="D12" s="14">
        <f t="shared" si="0"/>
        <v>5.8198953695461908E-2</v>
      </c>
      <c r="E12">
        <f t="shared" si="1"/>
        <v>1.9E-2</v>
      </c>
      <c r="F12" s="14">
        <f t="shared" si="2"/>
        <v>7.7198953695461911E-2</v>
      </c>
      <c r="G12">
        <f t="shared" si="3"/>
        <v>77.19895369546191</v>
      </c>
      <c r="H12">
        <f t="shared" si="4"/>
        <v>771.9895369546191</v>
      </c>
      <c r="I12" s="13">
        <f t="shared" si="5"/>
        <v>0.48398400499250227</v>
      </c>
      <c r="J12">
        <f t="shared" si="6"/>
        <v>373.63058790760391</v>
      </c>
    </row>
    <row r="13" spans="1:10">
      <c r="I13" t="s">
        <v>4</v>
      </c>
      <c r="J13">
        <f>SUM(J3:J12)</f>
        <v>2693.709884918444</v>
      </c>
    </row>
    <row r="14" spans="1:10">
      <c r="A14" t="s">
        <v>98</v>
      </c>
      <c r="B14" s="8">
        <v>1000</v>
      </c>
      <c r="I14" t="s">
        <v>5</v>
      </c>
      <c r="J14">
        <f>(A12*B14)*I12</f>
        <v>4839.8400499250229</v>
      </c>
    </row>
    <row r="15" spans="1:10">
      <c r="A15" t="s">
        <v>90</v>
      </c>
      <c r="B15">
        <v>1016.6466390000001</v>
      </c>
      <c r="I15" t="s">
        <v>6</v>
      </c>
      <c r="J15">
        <f>SUM(J13:J14)</f>
        <v>7533.5499348434669</v>
      </c>
    </row>
    <row r="16" spans="1:10">
      <c r="A16" t="s">
        <v>101</v>
      </c>
      <c r="B16">
        <v>7.5268440000000006E-2</v>
      </c>
      <c r="I16" t="s">
        <v>89</v>
      </c>
      <c r="J16">
        <f>(J15/B15)/2</f>
        <v>3.7050975461118241</v>
      </c>
    </row>
    <row r="17" spans="1:13">
      <c r="A17" t="s">
        <v>119</v>
      </c>
      <c r="B17">
        <f>G5/B15</f>
        <v>8.6874114291974419E-2</v>
      </c>
      <c r="I17" t="s">
        <v>18</v>
      </c>
      <c r="J17">
        <f>J16/(1+B16)</f>
        <v>3.445741926650264</v>
      </c>
    </row>
    <row r="18" spans="1:13">
      <c r="M18" s="6"/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51DF8-36BA-4281-9CC8-E5A6B75E0020}">
  <dimension ref="A1:M55"/>
  <sheetViews>
    <sheetView topLeftCell="A49" workbookViewId="0">
      <selection activeCell="B55" sqref="B55"/>
    </sheetView>
  </sheetViews>
  <sheetFormatPr defaultRowHeight="15"/>
  <cols>
    <col min="2" max="2" width="11.28515625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45031</v>
      </c>
      <c r="C2">
        <f>(1+$B$51)^(1/2)-1</f>
        <v>2.8058364101960942E-2</v>
      </c>
      <c r="D2">
        <v>1.2019703270662097</v>
      </c>
      <c r="E2">
        <f>$B$50*D2</f>
        <v>1201.9703270662096</v>
      </c>
      <c r="F2">
        <f>C2*E2</f>
        <v>33.72532107657679</v>
      </c>
      <c r="G2">
        <f>A2*F2</f>
        <v>33.72532107657679</v>
      </c>
      <c r="H2">
        <f>(1+$B$54)^(-A2)</f>
        <v>0.94039551304951108</v>
      </c>
      <c r="I2">
        <f>G2*H2</f>
        <v>31.71514061656692</v>
      </c>
    </row>
    <row r="3" spans="1:9">
      <c r="A3">
        <v>2</v>
      </c>
      <c r="B3" s="1">
        <v>45214</v>
      </c>
      <c r="C3">
        <f t="shared" ref="C3:C48" si="0">(1+$B$51)^(1/2)-1</f>
        <v>2.8058364101960942E-2</v>
      </c>
      <c r="D3">
        <v>1.2206924067778471</v>
      </c>
      <c r="E3">
        <f t="shared" ref="E3:E48" si="1">$B$50*D3</f>
        <v>1220.6924067778471</v>
      </c>
      <c r="F3">
        <f t="shared" ref="F3:F48" si="2">C3*E3</f>
        <v>34.25063200587185</v>
      </c>
      <c r="G3">
        <f t="shared" ref="G3:G48" si="3">A3*F3</f>
        <v>68.5012640117437</v>
      </c>
      <c r="H3">
        <f t="shared" ref="H3:H48" si="4">(1+$B$54)^(-A3)</f>
        <v>0.88434372096365321</v>
      </c>
      <c r="I3">
        <f t="shared" ref="I3:I48" si="5">G3*H3</f>
        <v>60.578662706859014</v>
      </c>
    </row>
    <row r="4" spans="1:9">
      <c r="A4">
        <v>3</v>
      </c>
      <c r="B4" s="1">
        <v>45397</v>
      </c>
      <c r="C4">
        <f t="shared" si="0"/>
        <v>2.8058364101960942E-2</v>
      </c>
      <c r="D4">
        <v>1.2781028128047094</v>
      </c>
      <c r="E4">
        <f t="shared" si="1"/>
        <v>1278.1028128047094</v>
      </c>
      <c r="F4">
        <f t="shared" si="2"/>
        <v>35.861474081414961</v>
      </c>
      <c r="G4">
        <f t="shared" si="3"/>
        <v>107.58442224424488</v>
      </c>
      <c r="H4">
        <f t="shared" si="4"/>
        <v>0.83163286718772844</v>
      </c>
      <c r="I4">
        <f t="shared" si="5"/>
        <v>89.470741535716598</v>
      </c>
    </row>
    <row r="5" spans="1:9">
      <c r="A5">
        <v>4</v>
      </c>
      <c r="B5" s="1">
        <v>45580</v>
      </c>
      <c r="C5">
        <f t="shared" si="0"/>
        <v>2.8058364101960942E-2</v>
      </c>
      <c r="D5">
        <v>1.2958075506802778</v>
      </c>
      <c r="E5">
        <f t="shared" si="1"/>
        <v>1295.8075506802777</v>
      </c>
      <c r="F5">
        <f t="shared" si="2"/>
        <v>36.358240063057437</v>
      </c>
      <c r="G5">
        <f t="shared" si="3"/>
        <v>145.43296025222975</v>
      </c>
      <c r="H5">
        <f t="shared" si="4"/>
        <v>0.78206381680783976</v>
      </c>
      <c r="I5">
        <f t="shared" si="5"/>
        <v>113.73785598452164</v>
      </c>
    </row>
    <row r="6" spans="1:9">
      <c r="A6">
        <v>5</v>
      </c>
      <c r="B6" s="1">
        <v>45762</v>
      </c>
      <c r="C6">
        <f t="shared" si="0"/>
        <v>2.8058364101960942E-2</v>
      </c>
      <c r="D6">
        <v>1.3548862596303726</v>
      </c>
      <c r="E6">
        <f t="shared" si="1"/>
        <v>1354.8862596303725</v>
      </c>
      <c r="F6">
        <f t="shared" si="2"/>
        <v>38.015891989452975</v>
      </c>
      <c r="G6">
        <f t="shared" si="3"/>
        <v>190.07945994726487</v>
      </c>
      <c r="H6">
        <f t="shared" si="4"/>
        <v>0.73544930424446742</v>
      </c>
      <c r="I6">
        <f t="shared" si="5"/>
        <v>139.79380656938005</v>
      </c>
    </row>
    <row r="7" spans="1:9">
      <c r="A7">
        <v>6</v>
      </c>
      <c r="B7" s="1">
        <v>45945</v>
      </c>
      <c r="C7">
        <f t="shared" si="0"/>
        <v>2.8058364101960942E-2</v>
      </c>
      <c r="D7">
        <v>1.3730876890915831</v>
      </c>
      <c r="E7">
        <f t="shared" si="1"/>
        <v>1373.0876890915831</v>
      </c>
      <c r="F7">
        <f t="shared" si="2"/>
        <v>38.526594324451786</v>
      </c>
      <c r="G7">
        <f t="shared" si="3"/>
        <v>231.1595659467107</v>
      </c>
      <c r="H7">
        <f t="shared" si="4"/>
        <v>0.69161322578688189</v>
      </c>
      <c r="I7">
        <f t="shared" si="5"/>
        <v>159.87301307590005</v>
      </c>
    </row>
    <row r="8" spans="1:9">
      <c r="A8">
        <v>7</v>
      </c>
      <c r="B8" s="1">
        <v>46127</v>
      </c>
      <c r="C8">
        <f t="shared" si="0"/>
        <v>2.8058364101960942E-2</v>
      </c>
      <c r="D8">
        <v>1.4356239891551554</v>
      </c>
      <c r="E8">
        <f t="shared" si="1"/>
        <v>1435.6239891551554</v>
      </c>
      <c r="F8">
        <f t="shared" si="2"/>
        <v>40.281260601224979</v>
      </c>
      <c r="G8">
        <f t="shared" si="3"/>
        <v>281.96882420857486</v>
      </c>
      <c r="H8">
        <f t="shared" si="4"/>
        <v>0.65038997429568213</v>
      </c>
      <c r="I8">
        <f t="shared" si="5"/>
        <v>183.38969632919873</v>
      </c>
    </row>
    <row r="9" spans="1:9">
      <c r="A9">
        <v>8</v>
      </c>
      <c r="B9" s="1">
        <v>46310</v>
      </c>
      <c r="C9">
        <f t="shared" si="0"/>
        <v>2.8058364101960942E-2</v>
      </c>
      <c r="D9">
        <v>1.4548900329269907</v>
      </c>
      <c r="E9">
        <f t="shared" si="1"/>
        <v>1454.8900329269907</v>
      </c>
      <c r="F9">
        <f t="shared" si="2"/>
        <v>40.821834272179451</v>
      </c>
      <c r="G9">
        <f t="shared" si="3"/>
        <v>326.57467417743561</v>
      </c>
      <c r="H9">
        <f t="shared" si="4"/>
        <v>0.61162381356004625</v>
      </c>
      <c r="I9">
        <f t="shared" si="5"/>
        <v>199.74084763253273</v>
      </c>
    </row>
    <row r="10" spans="1:9">
      <c r="A10">
        <v>9</v>
      </c>
      <c r="B10" s="1">
        <v>46492</v>
      </c>
      <c r="C10">
        <f t="shared" si="0"/>
        <v>2.8058364101960942E-2</v>
      </c>
      <c r="D10">
        <v>1.5215341760006351</v>
      </c>
      <c r="E10">
        <f t="shared" si="1"/>
        <v>1521.5341760006352</v>
      </c>
      <c r="F10">
        <f t="shared" si="2"/>
        <v>42.691759903802946</v>
      </c>
      <c r="G10">
        <f t="shared" si="3"/>
        <v>384.22583913422653</v>
      </c>
      <c r="H10">
        <f t="shared" si="4"/>
        <v>0.57516828994609825</v>
      </c>
      <c r="I10">
        <f t="shared" si="5"/>
        <v>220.99451884793771</v>
      </c>
    </row>
    <row r="11" spans="1:9">
      <c r="A11">
        <v>10</v>
      </c>
      <c r="B11" s="1">
        <v>46675</v>
      </c>
      <c r="C11">
        <f t="shared" si="0"/>
        <v>2.8058364101960942E-2</v>
      </c>
      <c r="D11">
        <v>1.5420694208496879</v>
      </c>
      <c r="E11">
        <f t="shared" si="1"/>
        <v>1542.069420849688</v>
      </c>
      <c r="F11">
        <f t="shared" si="2"/>
        <v>43.267945280700587</v>
      </c>
      <c r="G11">
        <f t="shared" si="3"/>
        <v>432.67945280700587</v>
      </c>
      <c r="H11">
        <f t="shared" si="4"/>
        <v>0.54088567911367103</v>
      </c>
      <c r="I11">
        <f t="shared" si="5"/>
        <v>234.03011967004895</v>
      </c>
    </row>
    <row r="12" spans="1:9">
      <c r="A12">
        <v>11</v>
      </c>
      <c r="B12" s="1">
        <v>46858</v>
      </c>
      <c r="C12">
        <f t="shared" si="0"/>
        <v>2.8058364101960942E-2</v>
      </c>
      <c r="D12">
        <v>1.6131479093298178</v>
      </c>
      <c r="E12">
        <f t="shared" si="1"/>
        <v>1613.1479093298178</v>
      </c>
      <c r="F12">
        <f t="shared" si="2"/>
        <v>45.262291390293107</v>
      </c>
      <c r="G12">
        <f t="shared" si="3"/>
        <v>497.8852052932242</v>
      </c>
      <c r="H12">
        <f t="shared" si="4"/>
        <v>0.50864646571123395</v>
      </c>
      <c r="I12">
        <f t="shared" si="5"/>
        <v>253.24755000231065</v>
      </c>
    </row>
    <row r="13" spans="1:9">
      <c r="A13">
        <v>12</v>
      </c>
      <c r="B13" s="1">
        <v>47041</v>
      </c>
      <c r="C13">
        <f t="shared" si="0"/>
        <v>2.8058364101960942E-2</v>
      </c>
      <c r="D13">
        <v>1.6350537763621456</v>
      </c>
      <c r="E13">
        <f t="shared" si="1"/>
        <v>1635.0537763621455</v>
      </c>
      <c r="F13">
        <f t="shared" si="2"/>
        <v>45.876934183455298</v>
      </c>
      <c r="G13">
        <f t="shared" si="3"/>
        <v>550.5232102014636</v>
      </c>
      <c r="H13">
        <f t="shared" si="4"/>
        <v>0.47832885408333642</v>
      </c>
      <c r="I13">
        <f t="shared" si="5"/>
        <v>263.33113628194582</v>
      </c>
    </row>
    <row r="14" spans="1:9">
      <c r="A14">
        <v>13</v>
      </c>
      <c r="B14" s="1">
        <v>47223</v>
      </c>
      <c r="C14">
        <f t="shared" si="0"/>
        <v>2.8058364101960942E-2</v>
      </c>
      <c r="D14">
        <v>1.7108217868503233</v>
      </c>
      <c r="E14">
        <f t="shared" si="1"/>
        <v>1710.8217868503232</v>
      </c>
      <c r="F14">
        <f t="shared" si="2"/>
        <v>48.00286060901378</v>
      </c>
      <c r="G14">
        <f t="shared" si="3"/>
        <v>624.03718791717915</v>
      </c>
      <c r="H14">
        <f t="shared" si="4"/>
        <v>0.4498183081420839</v>
      </c>
      <c r="I14">
        <f t="shared" si="5"/>
        <v>280.7033520866492</v>
      </c>
    </row>
    <row r="15" spans="1:9">
      <c r="A15">
        <v>14</v>
      </c>
      <c r="B15" s="1">
        <v>47406</v>
      </c>
      <c r="C15">
        <f t="shared" si="0"/>
        <v>2.8058364101960942E-2</v>
      </c>
      <c r="D15">
        <v>1.7341768454229485</v>
      </c>
      <c r="E15">
        <f t="shared" si="1"/>
        <v>1734.1768454229484</v>
      </c>
      <c r="F15">
        <f t="shared" si="2"/>
        <v>48.658165346067122</v>
      </c>
      <c r="G15">
        <f t="shared" si="3"/>
        <v>681.21431484493974</v>
      </c>
      <c r="H15">
        <f t="shared" si="4"/>
        <v>0.42300711866433804</v>
      </c>
      <c r="I15">
        <f t="shared" si="5"/>
        <v>288.15850451545919</v>
      </c>
    </row>
    <row r="16" spans="1:9">
      <c r="A16">
        <v>15</v>
      </c>
      <c r="B16" s="1">
        <v>47588</v>
      </c>
      <c r="C16">
        <f t="shared" si="0"/>
        <v>2.8058364101960942E-2</v>
      </c>
      <c r="D16">
        <v>1.814883204141009</v>
      </c>
      <c r="E16">
        <f t="shared" si="1"/>
        <v>1814.8832041410089</v>
      </c>
      <c r="F16">
        <f t="shared" si="2"/>
        <v>50.922653744321934</v>
      </c>
      <c r="G16">
        <f t="shared" si="3"/>
        <v>763.83980616482904</v>
      </c>
      <c r="H16">
        <f t="shared" si="4"/>
        <v>0.39779399637994561</v>
      </c>
      <c r="I16">
        <f t="shared" si="5"/>
        <v>303.85088908839037</v>
      </c>
    </row>
    <row r="17" spans="1:9">
      <c r="A17">
        <v>16</v>
      </c>
      <c r="B17" s="1">
        <v>47771</v>
      </c>
      <c r="C17">
        <f t="shared" si="0"/>
        <v>2.8058364101960942E-2</v>
      </c>
      <c r="D17">
        <v>1.8397638415431699</v>
      </c>
      <c r="E17">
        <f t="shared" si="1"/>
        <v>1839.7638415431697</v>
      </c>
      <c r="F17">
        <f t="shared" si="2"/>
        <v>51.620763727640636</v>
      </c>
      <c r="G17">
        <f t="shared" si="3"/>
        <v>825.93221964225017</v>
      </c>
      <c r="H17">
        <f t="shared" si="4"/>
        <v>0.37408368931373426</v>
      </c>
      <c r="I17">
        <f t="shared" si="5"/>
        <v>308.96777184685442</v>
      </c>
    </row>
    <row r="18" spans="1:9">
      <c r="A18">
        <v>17</v>
      </c>
      <c r="B18" s="1">
        <v>47953</v>
      </c>
      <c r="C18">
        <f t="shared" si="0"/>
        <v>2.8058364101960942E-2</v>
      </c>
      <c r="D18">
        <v>1.9256839924957017</v>
      </c>
      <c r="E18">
        <f t="shared" si="1"/>
        <v>1925.6839924957017</v>
      </c>
      <c r="F18">
        <f t="shared" si="2"/>
        <v>54.031542606762223</v>
      </c>
      <c r="G18">
        <f t="shared" si="3"/>
        <v>918.53622431495774</v>
      </c>
      <c r="H18">
        <f t="shared" si="4"/>
        <v>0.35178662293564306</v>
      </c>
      <c r="I18">
        <f t="shared" si="5"/>
        <v>323.12875639581529</v>
      </c>
    </row>
    <row r="19" spans="1:9">
      <c r="A19">
        <v>18</v>
      </c>
      <c r="B19" s="1">
        <v>48136</v>
      </c>
      <c r="C19">
        <f t="shared" si="0"/>
        <v>2.8058364101960942E-2</v>
      </c>
      <c r="D19">
        <v>1.9521810000443531</v>
      </c>
      <c r="E19">
        <f t="shared" si="1"/>
        <v>1952.1810000443531</v>
      </c>
      <c r="F19">
        <f t="shared" si="2"/>
        <v>54.77500529217469</v>
      </c>
      <c r="G19">
        <f t="shared" si="3"/>
        <v>985.9500952591444</v>
      </c>
      <c r="H19">
        <f t="shared" si="4"/>
        <v>0.33081856175951896</v>
      </c>
      <c r="I19">
        <f t="shared" si="5"/>
        <v>326.17059248029085</v>
      </c>
    </row>
    <row r="20" spans="1:9">
      <c r="A20">
        <v>19</v>
      </c>
      <c r="B20" s="1">
        <v>48319</v>
      </c>
      <c r="C20">
        <f t="shared" si="0"/>
        <v>2.8058364101960942E-2</v>
      </c>
      <c r="D20">
        <v>2.0436086519198602</v>
      </c>
      <c r="E20">
        <f t="shared" si="1"/>
        <v>2043.6086519198602</v>
      </c>
      <c r="F20">
        <f t="shared" si="2"/>
        <v>57.340315637484998</v>
      </c>
      <c r="G20">
        <f t="shared" si="3"/>
        <v>1089.4659971122151</v>
      </c>
      <c r="H20">
        <f t="shared" si="4"/>
        <v>0.31110029111214421</v>
      </c>
      <c r="I20">
        <f t="shared" si="5"/>
        <v>338.93318885839255</v>
      </c>
    </row>
    <row r="21" spans="1:9">
      <c r="A21">
        <v>20</v>
      </c>
      <c r="B21" s="1">
        <v>48502</v>
      </c>
      <c r="C21">
        <f t="shared" si="0"/>
        <v>2.8058364101960942E-2</v>
      </c>
      <c r="D21">
        <v>2.0718054477299357</v>
      </c>
      <c r="E21">
        <f t="shared" si="1"/>
        <v>2071.8054477299356</v>
      </c>
      <c r="F21">
        <f t="shared" si="2"/>
        <v>58.131471600832739</v>
      </c>
      <c r="G21">
        <f t="shared" si="3"/>
        <v>1162.6294320166548</v>
      </c>
      <c r="H21">
        <f t="shared" si="4"/>
        <v>0.29255731787025707</v>
      </c>
      <c r="I21">
        <f t="shared" si="5"/>
        <v>340.13574830781295</v>
      </c>
    </row>
    <row r="22" spans="1:9">
      <c r="A22">
        <v>21</v>
      </c>
      <c r="B22" s="1">
        <v>48684</v>
      </c>
      <c r="C22">
        <f t="shared" si="0"/>
        <v>2.8058364101960942E-2</v>
      </c>
      <c r="D22">
        <v>2.1690588748594037</v>
      </c>
      <c r="E22">
        <f t="shared" si="1"/>
        <v>2169.0588748594037</v>
      </c>
      <c r="F22">
        <f t="shared" si="2"/>
        <v>60.860243669394883</v>
      </c>
      <c r="G22">
        <f t="shared" si="3"/>
        <v>1278.0651170572926</v>
      </c>
      <c r="H22">
        <f t="shared" si="4"/>
        <v>0.27511958903498934</v>
      </c>
      <c r="I22">
        <f t="shared" si="5"/>
        <v>351.62074976475787</v>
      </c>
    </row>
    <row r="23" spans="1:9">
      <c r="A23">
        <v>22</v>
      </c>
      <c r="B23" s="1">
        <v>48867</v>
      </c>
      <c r="C23">
        <f t="shared" si="0"/>
        <v>2.8058364101960942E-2</v>
      </c>
      <c r="D23">
        <v>2.1990536788146824</v>
      </c>
      <c r="E23">
        <f t="shared" si="1"/>
        <v>2199.0536788146824</v>
      </c>
      <c r="F23">
        <f t="shared" si="2"/>
        <v>61.701848799939029</v>
      </c>
      <c r="G23">
        <f t="shared" si="3"/>
        <v>1357.4406735986586</v>
      </c>
      <c r="H23">
        <f t="shared" si="4"/>
        <v>0.25872122708052947</v>
      </c>
      <c r="I23">
        <f t="shared" si="5"/>
        <v>351.19871676246544</v>
      </c>
    </row>
    <row r="24" spans="1:9">
      <c r="A24">
        <v>23</v>
      </c>
      <c r="B24" s="1">
        <v>49049</v>
      </c>
      <c r="C24">
        <f t="shared" si="0"/>
        <v>2.8058364101960942E-2</v>
      </c>
      <c r="D24">
        <v>2.30248043444593</v>
      </c>
      <c r="E24">
        <f t="shared" si="1"/>
        <v>2302.4804344459299</v>
      </c>
      <c r="F24">
        <f t="shared" si="2"/>
        <v>64.603834367325106</v>
      </c>
      <c r="G24">
        <f t="shared" si="3"/>
        <v>1485.8881904484774</v>
      </c>
      <c r="H24">
        <f t="shared" si="4"/>
        <v>0.24330028107719356</v>
      </c>
      <c r="I24">
        <f t="shared" si="5"/>
        <v>361.51701438539709</v>
      </c>
    </row>
    <row r="25" spans="1:9">
      <c r="A25">
        <v>24</v>
      </c>
      <c r="B25" s="1">
        <v>49232</v>
      </c>
      <c r="C25">
        <f t="shared" si="0"/>
        <v>2.8058364101960942E-2</v>
      </c>
      <c r="D25">
        <v>2.3343804016702512</v>
      </c>
      <c r="E25">
        <f t="shared" si="1"/>
        <v>2334.3804016702511</v>
      </c>
      <c r="F25">
        <f t="shared" si="2"/>
        <v>65.498895262545744</v>
      </c>
      <c r="G25">
        <f t="shared" si="3"/>
        <v>1571.9734863010979</v>
      </c>
      <c r="H25">
        <f t="shared" si="4"/>
        <v>0.22879849264867769</v>
      </c>
      <c r="I25">
        <f t="shared" si="5"/>
        <v>359.66516414937797</v>
      </c>
    </row>
    <row r="26" spans="1:9">
      <c r="A26">
        <v>25</v>
      </c>
      <c r="B26" s="1">
        <v>49414</v>
      </c>
      <c r="C26">
        <f t="shared" si="0"/>
        <v>2.8058364101960942E-2</v>
      </c>
      <c r="D26">
        <v>2.4443518763416807</v>
      </c>
      <c r="E26">
        <f t="shared" si="1"/>
        <v>2444.3518763416805</v>
      </c>
      <c r="F26">
        <f t="shared" si="2"/>
        <v>68.584514939706281</v>
      </c>
      <c r="G26">
        <f t="shared" si="3"/>
        <v>1714.6128734926569</v>
      </c>
      <c r="H26">
        <f t="shared" si="4"/>
        <v>0.21516107587930802</v>
      </c>
      <c r="I26">
        <f t="shared" si="5"/>
        <v>368.9179505771919</v>
      </c>
    </row>
    <row r="27" spans="1:9">
      <c r="A27">
        <v>26</v>
      </c>
      <c r="B27" s="1">
        <v>49597</v>
      </c>
      <c r="C27">
        <f t="shared" si="0"/>
        <v>2.8058364101960942E-2</v>
      </c>
      <c r="D27">
        <v>2.4782715577523091</v>
      </c>
      <c r="E27">
        <f t="shared" si="1"/>
        <v>2478.271557752309</v>
      </c>
      <c r="F27">
        <f t="shared" si="2"/>
        <v>69.536245710948208</v>
      </c>
      <c r="G27">
        <f t="shared" si="3"/>
        <v>1807.9423884846533</v>
      </c>
      <c r="H27">
        <f t="shared" si="4"/>
        <v>0.20233651033980668</v>
      </c>
      <c r="I27">
        <f t="shared" si="5"/>
        <v>365.81275378139986</v>
      </c>
    </row>
    <row r="28" spans="1:9">
      <c r="A28">
        <v>27</v>
      </c>
      <c r="B28" s="1">
        <v>49780</v>
      </c>
      <c r="C28">
        <f t="shared" si="0"/>
        <v>2.8058364101960942E-2</v>
      </c>
      <c r="D28">
        <v>2.5951855542113993</v>
      </c>
      <c r="E28">
        <f t="shared" si="1"/>
        <v>2595.1855542113994</v>
      </c>
      <c r="F28">
        <f t="shared" si="2"/>
        <v>72.816661192212749</v>
      </c>
      <c r="G28">
        <f t="shared" si="3"/>
        <v>1966.0498521897441</v>
      </c>
      <c r="H28">
        <f t="shared" si="4"/>
        <v>0.19027634644965022</v>
      </c>
      <c r="I28">
        <f t="shared" si="5"/>
        <v>374.09278281253938</v>
      </c>
    </row>
    <row r="29" spans="1:9">
      <c r="A29">
        <v>28</v>
      </c>
      <c r="B29" s="1">
        <v>49963</v>
      </c>
      <c r="C29">
        <f t="shared" si="0"/>
        <v>2.8058364101960942E-2</v>
      </c>
      <c r="D29">
        <v>2.6312476555354753</v>
      </c>
      <c r="E29">
        <f t="shared" si="1"/>
        <v>2631.2476555354751</v>
      </c>
      <c r="F29">
        <f t="shared" si="2"/>
        <v>73.828504761445473</v>
      </c>
      <c r="G29">
        <f t="shared" si="3"/>
        <v>2067.1981333204731</v>
      </c>
      <c r="H29">
        <f t="shared" si="4"/>
        <v>0.17893502244070533</v>
      </c>
      <c r="I29">
        <f t="shared" si="5"/>
        <v>369.89414437508304</v>
      </c>
    </row>
    <row r="30" spans="1:9">
      <c r="A30">
        <v>29</v>
      </c>
      <c r="B30" s="1">
        <v>50145</v>
      </c>
      <c r="C30">
        <f t="shared" si="0"/>
        <v>2.8058364101960942E-2</v>
      </c>
      <c r="D30">
        <v>2.7555292197360548</v>
      </c>
      <c r="E30">
        <f t="shared" si="1"/>
        <v>2755.529219736055</v>
      </c>
      <c r="F30">
        <f t="shared" si="2"/>
        <v>77.315642140946565</v>
      </c>
      <c r="G30">
        <f t="shared" si="3"/>
        <v>2242.1536220874505</v>
      </c>
      <c r="H30">
        <f t="shared" si="4"/>
        <v>0.16826969223065288</v>
      </c>
      <c r="I30">
        <f t="shared" si="5"/>
        <v>377.28649992249888</v>
      </c>
    </row>
    <row r="31" spans="1:9">
      <c r="A31">
        <v>30</v>
      </c>
      <c r="B31" s="1">
        <v>50328</v>
      </c>
      <c r="C31">
        <f t="shared" si="0"/>
        <v>2.8058364101960942E-2</v>
      </c>
      <c r="D31">
        <v>2.7938648579680816</v>
      </c>
      <c r="E31">
        <f t="shared" si="1"/>
        <v>2793.8648579680817</v>
      </c>
      <c r="F31">
        <f t="shared" si="2"/>
        <v>78.391277436541827</v>
      </c>
      <c r="G31">
        <f t="shared" si="3"/>
        <v>2351.738323096255</v>
      </c>
      <c r="H31">
        <f t="shared" si="4"/>
        <v>0.15824006355592815</v>
      </c>
      <c r="I31">
        <f t="shared" si="5"/>
        <v>372.13922171366329</v>
      </c>
    </row>
    <row r="32" spans="1:9">
      <c r="A32">
        <v>31</v>
      </c>
      <c r="B32" s="1">
        <v>50510</v>
      </c>
      <c r="C32">
        <f t="shared" si="0"/>
        <v>2.8058364101960942E-2</v>
      </c>
      <c r="D32">
        <v>2.9259674284414428</v>
      </c>
      <c r="E32">
        <f t="shared" si="1"/>
        <v>2925.9674284414427</v>
      </c>
      <c r="F32">
        <f t="shared" si="2"/>
        <v>82.097859457688344</v>
      </c>
      <c r="G32">
        <f t="shared" si="3"/>
        <v>2545.0336431883388</v>
      </c>
      <c r="H32">
        <f t="shared" si="4"/>
        <v>0.1488082457526643</v>
      </c>
      <c r="I32">
        <f t="shared" si="5"/>
        <v>378.72199182436884</v>
      </c>
    </row>
    <row r="33" spans="1:9">
      <c r="A33">
        <v>32</v>
      </c>
      <c r="B33" s="1">
        <v>50693</v>
      </c>
      <c r="C33">
        <f t="shared" si="0"/>
        <v>2.8058364101960942E-2</v>
      </c>
      <c r="D33">
        <v>2.9667164866779046</v>
      </c>
      <c r="E33">
        <f t="shared" si="1"/>
        <v>2966.7164866779044</v>
      </c>
      <c r="F33">
        <f t="shared" si="2"/>
        <v>83.241211370499002</v>
      </c>
      <c r="G33">
        <f t="shared" si="3"/>
        <v>2663.7187638559681</v>
      </c>
      <c r="H33">
        <f t="shared" si="4"/>
        <v>0.13993860661057445</v>
      </c>
      <c r="I33">
        <f t="shared" si="5"/>
        <v>372.75709221644598</v>
      </c>
    </row>
    <row r="34" spans="1:9">
      <c r="A34">
        <v>33</v>
      </c>
      <c r="B34" s="1">
        <v>50875</v>
      </c>
      <c r="C34">
        <f t="shared" si="0"/>
        <v>2.8058364101960942E-2</v>
      </c>
      <c r="D34">
        <v>3.107123303650877</v>
      </c>
      <c r="E34">
        <f t="shared" si="1"/>
        <v>3107.123303650877</v>
      </c>
      <c r="F34">
        <f t="shared" si="2"/>
        <v>87.18079696352406</v>
      </c>
      <c r="G34">
        <f t="shared" si="3"/>
        <v>2876.9662997962942</v>
      </c>
      <c r="H34">
        <f t="shared" si="4"/>
        <v>0.13159763775898486</v>
      </c>
      <c r="I34">
        <f t="shared" si="5"/>
        <v>378.60196896539975</v>
      </c>
    </row>
    <row r="35" spans="1:9">
      <c r="A35">
        <v>34</v>
      </c>
      <c r="B35" s="1">
        <v>51058</v>
      </c>
      <c r="C35">
        <f t="shared" si="0"/>
        <v>2.8058364101960942E-2</v>
      </c>
      <c r="D35">
        <v>3.1504348641923765</v>
      </c>
      <c r="E35">
        <f t="shared" si="1"/>
        <v>3150.4348641923766</v>
      </c>
      <c r="F35">
        <f t="shared" si="2"/>
        <v>88.396048499021575</v>
      </c>
      <c r="G35">
        <f t="shared" si="3"/>
        <v>3005.4656489667336</v>
      </c>
      <c r="H35">
        <f t="shared" si="4"/>
        <v>0.12375382807646428</v>
      </c>
      <c r="I35">
        <f t="shared" si="5"/>
        <v>371.93787921194826</v>
      </c>
    </row>
    <row r="36" spans="1:9">
      <c r="A36">
        <v>35</v>
      </c>
      <c r="B36" s="1">
        <v>51241</v>
      </c>
      <c r="C36">
        <f t="shared" si="0"/>
        <v>2.8058364101960942E-2</v>
      </c>
      <c r="D36">
        <v>3.2996605146557245</v>
      </c>
      <c r="E36">
        <f t="shared" si="1"/>
        <v>3299.6605146557245</v>
      </c>
      <c r="F36">
        <f t="shared" si="2"/>
        <v>92.583076133074144</v>
      </c>
      <c r="G36">
        <f t="shared" si="3"/>
        <v>3240.407664657595</v>
      </c>
      <c r="H36">
        <f t="shared" si="4"/>
        <v>0.11637754464580762</v>
      </c>
      <c r="I36">
        <f t="shared" si="5"/>
        <v>377.11068766430645</v>
      </c>
    </row>
    <row r="37" spans="1:9">
      <c r="A37">
        <v>36</v>
      </c>
      <c r="B37" s="1">
        <v>51424</v>
      </c>
      <c r="C37">
        <f t="shared" si="0"/>
        <v>2.8058364101960942E-2</v>
      </c>
      <c r="D37">
        <v>3.345693334864718</v>
      </c>
      <c r="E37">
        <f t="shared" si="1"/>
        <v>3345.6933348647181</v>
      </c>
      <c r="F37">
        <f t="shared" si="2"/>
        <v>93.874681763138199</v>
      </c>
      <c r="G37">
        <f t="shared" si="3"/>
        <v>3379.4885434729749</v>
      </c>
      <c r="H37">
        <f t="shared" si="4"/>
        <v>0.10944092080463665</v>
      </c>
      <c r="I37">
        <f t="shared" si="5"/>
        <v>369.85433804640269</v>
      </c>
    </row>
    <row r="38" spans="1:9">
      <c r="A38">
        <v>37</v>
      </c>
      <c r="B38" s="1">
        <v>51606</v>
      </c>
      <c r="C38">
        <f t="shared" si="0"/>
        <v>2.8058364101960942E-2</v>
      </c>
      <c r="D38">
        <v>3.5042854627742006</v>
      </c>
      <c r="E38">
        <f t="shared" si="1"/>
        <v>3504.2854627742008</v>
      </c>
      <c r="F38">
        <f t="shared" si="2"/>
        <v>98.32451743172723</v>
      </c>
      <c r="G38">
        <f t="shared" si="3"/>
        <v>3638.0071449739075</v>
      </c>
      <c r="H38">
        <f t="shared" si="4"/>
        <v>0.10291775086868719</v>
      </c>
      <c r="I38">
        <f t="shared" si="5"/>
        <v>374.41551300492858</v>
      </c>
    </row>
    <row r="39" spans="1:9">
      <c r="A39">
        <v>38</v>
      </c>
      <c r="B39" s="1">
        <v>51789</v>
      </c>
      <c r="C39">
        <f t="shared" si="0"/>
        <v>2.8058364101960942E-2</v>
      </c>
      <c r="D39">
        <v>3.5532085042804087</v>
      </c>
      <c r="E39">
        <f t="shared" si="1"/>
        <v>3553.2085042804088</v>
      </c>
      <c r="F39">
        <f t="shared" si="2"/>
        <v>99.697217943283746</v>
      </c>
      <c r="G39">
        <f t="shared" si="3"/>
        <v>3788.4942818447826</v>
      </c>
      <c r="H39">
        <f t="shared" si="4"/>
        <v>9.6783391130060861E-2</v>
      </c>
      <c r="I39">
        <f t="shared" si="5"/>
        <v>366.66332387378264</v>
      </c>
    </row>
    <row r="40" spans="1:9">
      <c r="A40">
        <v>39</v>
      </c>
      <c r="B40" s="1">
        <v>51971</v>
      </c>
      <c r="C40">
        <f t="shared" si="0"/>
        <v>2.8058364101960942E-2</v>
      </c>
      <c r="D40">
        <v>3.7217497756663871</v>
      </c>
      <c r="E40">
        <f t="shared" si="1"/>
        <v>3721.749775666387</v>
      </c>
      <c r="F40">
        <f t="shared" si="2"/>
        <v>104.42621030203894</v>
      </c>
      <c r="G40">
        <f t="shared" si="3"/>
        <v>4072.6222017795185</v>
      </c>
      <c r="H40">
        <f t="shared" si="4"/>
        <v>9.1014666756425083E-2</v>
      </c>
      <c r="I40">
        <f t="shared" si="5"/>
        <v>370.66835251978108</v>
      </c>
    </row>
    <row r="41" spans="1:9">
      <c r="A41">
        <v>40</v>
      </c>
      <c r="B41" s="1">
        <v>52154</v>
      </c>
      <c r="C41">
        <f t="shared" si="0"/>
        <v>2.8058364101960942E-2</v>
      </c>
      <c r="D41">
        <v>3.7737428087757499</v>
      </c>
      <c r="E41">
        <f t="shared" si="1"/>
        <v>3773.7428087757498</v>
      </c>
      <c r="F41">
        <f t="shared" si="2"/>
        <v>105.88504975578675</v>
      </c>
      <c r="G41">
        <f t="shared" si="3"/>
        <v>4235.4019902314703</v>
      </c>
      <c r="H41">
        <f t="shared" si="4"/>
        <v>8.5589784239438638E-2</v>
      </c>
      <c r="I41">
        <f t="shared" si="5"/>
        <v>362.50714251120053</v>
      </c>
    </row>
    <row r="42" spans="1:9">
      <c r="A42">
        <v>41</v>
      </c>
      <c r="B42" s="1">
        <v>52336</v>
      </c>
      <c r="C42">
        <f t="shared" si="0"/>
        <v>2.8058364101960942E-2</v>
      </c>
      <c r="D42">
        <v>3.9528529511725461</v>
      </c>
      <c r="E42">
        <f t="shared" si="1"/>
        <v>3952.852951172546</v>
      </c>
      <c r="F42">
        <f t="shared" si="2"/>
        <v>110.91058734551014</v>
      </c>
      <c r="G42">
        <f t="shared" si="3"/>
        <v>4547.3340811659154</v>
      </c>
      <c r="H42">
        <f t="shared" si="4"/>
        <v>8.0488249061643868E-2</v>
      </c>
      <c r="I42">
        <f t="shared" si="5"/>
        <v>366.00695809138369</v>
      </c>
    </row>
    <row r="43" spans="1:9">
      <c r="A43">
        <v>42</v>
      </c>
      <c r="B43" s="1">
        <v>52519</v>
      </c>
      <c r="C43">
        <f t="shared" si="0"/>
        <v>2.8058364101960942E-2</v>
      </c>
      <c r="D43">
        <v>4.0081071831209121</v>
      </c>
      <c r="E43">
        <f t="shared" si="1"/>
        <v>4008.1071831209119</v>
      </c>
      <c r="F43">
        <f t="shared" si="2"/>
        <v>112.46093070369159</v>
      </c>
      <c r="G43">
        <f t="shared" si="3"/>
        <v>4723.3590895550469</v>
      </c>
      <c r="H43">
        <f t="shared" si="4"/>
        <v>7.5690788270781406E-2</v>
      </c>
      <c r="I43">
        <f t="shared" si="5"/>
        <v>357.51477277438187</v>
      </c>
    </row>
    <row r="44" spans="1:9">
      <c r="A44">
        <v>43</v>
      </c>
      <c r="B44" s="1">
        <v>52702</v>
      </c>
      <c r="C44">
        <f t="shared" si="0"/>
        <v>2.8058364101960942E-2</v>
      </c>
      <c r="D44">
        <v>4.1984451606870978</v>
      </c>
      <c r="E44">
        <f t="shared" si="1"/>
        <v>4198.445160687098</v>
      </c>
      <c r="F44">
        <f t="shared" si="2"/>
        <v>117.80150298067451</v>
      </c>
      <c r="G44">
        <f t="shared" si="3"/>
        <v>5065.4646281690038</v>
      </c>
      <c r="H44">
        <f t="shared" si="4"/>
        <v>7.1179277669023405E-2</v>
      </c>
      <c r="I44">
        <f t="shared" si="5"/>
        <v>360.5561132910579</v>
      </c>
    </row>
    <row r="45" spans="1:9">
      <c r="A45">
        <v>44</v>
      </c>
      <c r="B45" s="1">
        <v>52885</v>
      </c>
      <c r="C45">
        <f t="shared" si="0"/>
        <v>2.8058364101960942E-2</v>
      </c>
      <c r="D45">
        <v>4.2571639094132134</v>
      </c>
      <c r="E45">
        <f t="shared" si="1"/>
        <v>4257.1639094132133</v>
      </c>
      <c r="F45">
        <f t="shared" si="2"/>
        <v>119.4490550120434</v>
      </c>
      <c r="G45">
        <f t="shared" si="3"/>
        <v>5255.7584205299099</v>
      </c>
      <c r="H45">
        <f t="shared" si="4"/>
        <v>6.6936673342054873E-2</v>
      </c>
      <c r="I45">
        <f t="shared" si="5"/>
        <v>351.80298455976487</v>
      </c>
    </row>
    <row r="46" spans="1:9">
      <c r="A46">
        <v>45</v>
      </c>
      <c r="B46" s="1">
        <v>53067</v>
      </c>
      <c r="C46">
        <f t="shared" si="0"/>
        <v>2.8058364101960942E-2</v>
      </c>
      <c r="D46">
        <v>4.4594303945197993</v>
      </c>
      <c r="E46">
        <f t="shared" si="1"/>
        <v>4459.4303945197989</v>
      </c>
      <c r="F46">
        <f t="shared" si="2"/>
        <v>125.12432169678785</v>
      </c>
      <c r="G46">
        <f t="shared" si="3"/>
        <v>5630.5944763554535</v>
      </c>
      <c r="H46">
        <f t="shared" si="4"/>
        <v>6.2946947269329229E-2</v>
      </c>
      <c r="I46">
        <f t="shared" si="5"/>
        <v>354.42873359812313</v>
      </c>
    </row>
    <row r="47" spans="1:9">
      <c r="A47">
        <v>46</v>
      </c>
      <c r="B47" s="1">
        <v>53250</v>
      </c>
      <c r="C47">
        <f t="shared" si="0"/>
        <v>2.8058364101960942E-2</v>
      </c>
      <c r="D47">
        <v>4.5218292653545866</v>
      </c>
      <c r="E47">
        <f t="shared" si="1"/>
        <v>4521.8292653545868</v>
      </c>
      <c r="F47">
        <f t="shared" si="2"/>
        <v>126.87513193422156</v>
      </c>
      <c r="G47">
        <f t="shared" si="3"/>
        <v>5836.2560689741913</v>
      </c>
      <c r="H47">
        <f t="shared" si="4"/>
        <v>5.9195026772241387E-2</v>
      </c>
      <c r="I47">
        <f t="shared" si="5"/>
        <v>345.47733425258355</v>
      </c>
    </row>
    <row r="48" spans="1:9">
      <c r="A48">
        <v>47</v>
      </c>
      <c r="B48" s="1">
        <v>53432</v>
      </c>
      <c r="C48">
        <f t="shared" si="0"/>
        <v>2.8058364101960942E-2</v>
      </c>
      <c r="D48">
        <v>4.7366705379053151</v>
      </c>
      <c r="E48">
        <f t="shared" si="1"/>
        <v>4736.6705379053155</v>
      </c>
      <c r="F48">
        <f t="shared" si="2"/>
        <v>132.90322658357854</v>
      </c>
      <c r="G48">
        <f t="shared" si="3"/>
        <v>6246.4516494281916</v>
      </c>
      <c r="H48">
        <f t="shared" si="4"/>
        <v>5.5666737571461483E-2</v>
      </c>
      <c r="I48">
        <f t="shared" si="5"/>
        <v>347.71958472154188</v>
      </c>
    </row>
    <row r="49" spans="1:13">
      <c r="H49" t="s">
        <v>4</v>
      </c>
      <c r="I49">
        <f>SUM(I2:I48)</f>
        <v>14318.841662204364</v>
      </c>
    </row>
    <row r="50" spans="1:13">
      <c r="A50" t="s">
        <v>98</v>
      </c>
      <c r="B50" s="8">
        <v>1000</v>
      </c>
      <c r="H50" t="s">
        <v>5</v>
      </c>
      <c r="I50">
        <f>(A48*B52)*H48</f>
        <v>12392.724802414279</v>
      </c>
    </row>
    <row r="51" spans="1:13">
      <c r="A51" t="s">
        <v>79</v>
      </c>
      <c r="B51" s="13">
        <v>5.6904000000000003E-2</v>
      </c>
      <c r="H51" t="s">
        <v>6</v>
      </c>
      <c r="I51">
        <f>SUM(I49:I50)</f>
        <v>26711.566464618641</v>
      </c>
    </row>
    <row r="52" spans="1:13">
      <c r="A52" t="s">
        <v>111</v>
      </c>
      <c r="B52">
        <f>B50*D48</f>
        <v>4736.6705379053155</v>
      </c>
      <c r="H52" t="s">
        <v>89</v>
      </c>
      <c r="I52">
        <f>(I51/B53)/2</f>
        <v>12.782798409657511</v>
      </c>
    </row>
    <row r="53" spans="1:13">
      <c r="A53" t="s">
        <v>90</v>
      </c>
      <c r="B53">
        <v>1044.8246779999999</v>
      </c>
      <c r="H53" t="s">
        <v>18</v>
      </c>
      <c r="I53">
        <f>I52/(1+B54)</f>
        <v>12.02088626865835</v>
      </c>
    </row>
    <row r="54" spans="1:13">
      <c r="A54" t="s">
        <v>101</v>
      </c>
      <c r="B54">
        <v>6.3382359999999999E-2</v>
      </c>
    </row>
    <row r="55" spans="1:13">
      <c r="A55" t="s">
        <v>119</v>
      </c>
      <c r="B55">
        <f>F2/B53</f>
        <v>3.2278449951176201E-2</v>
      </c>
      <c r="M55" s="6"/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90873-61E3-4219-98A6-444551926B2E}">
  <dimension ref="A1:M42"/>
  <sheetViews>
    <sheetView topLeftCell="A25" workbookViewId="0">
      <selection activeCell="B39" sqref="B39"/>
    </sheetView>
  </sheetViews>
  <sheetFormatPr defaultRowHeight="15"/>
  <cols>
    <col min="2" max="2" width="10.42578125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44515</v>
      </c>
      <c r="C2">
        <f>(1+$B$34)^(1/2)-1</f>
        <v>2.3525769094261628E-2</v>
      </c>
      <c r="D2">
        <v>1.0673503290509789</v>
      </c>
      <c r="E2">
        <f>$B$33*D2</f>
        <v>1067.3503290509789</v>
      </c>
      <c r="F2">
        <f>C2*E2</f>
        <v>25.110237383937498</v>
      </c>
      <c r="G2">
        <f>A2*F2</f>
        <v>25.110237383937498</v>
      </c>
      <c r="H2">
        <f>(1+$B$37)^(-A2)</f>
        <v>0.9450299424704518</v>
      </c>
      <c r="I2">
        <f>G2*H2</f>
        <v>23.729926190361841</v>
      </c>
    </row>
    <row r="3" spans="1:9">
      <c r="A3">
        <v>2</v>
      </c>
      <c r="B3" s="1">
        <v>44696</v>
      </c>
      <c r="C3">
        <f t="shared" ref="C3:C31" si="0">(1+$B$34)^(1/2)-1</f>
        <v>2.3525769094261628E-2</v>
      </c>
      <c r="D3">
        <v>1.1265849909369807</v>
      </c>
      <c r="E3">
        <f t="shared" ref="E3:E31" si="1">$B$33*D3</f>
        <v>1126.5849909369808</v>
      </c>
      <c r="F3">
        <f t="shared" ref="F3:F31" si="2">C3*E3</f>
        <v>26.50377836184424</v>
      </c>
      <c r="G3">
        <f t="shared" ref="G3:G31" si="3">A3*F3</f>
        <v>53.007556723688481</v>
      </c>
      <c r="H3">
        <f t="shared" ref="H3:H31" si="4">(1+$B$37)^(-A3)</f>
        <v>0.89308159216570537</v>
      </c>
      <c r="I3">
        <f t="shared" ref="I3:I31" si="5">G3*H3</f>
        <v>47.340073155605651</v>
      </c>
    </row>
    <row r="4" spans="1:9">
      <c r="A4">
        <v>3</v>
      </c>
      <c r="B4" s="1">
        <v>44880</v>
      </c>
      <c r="C4">
        <f t="shared" si="0"/>
        <v>2.3525769094261628E-2</v>
      </c>
      <c r="D4">
        <v>1.1334301444707062</v>
      </c>
      <c r="E4">
        <f t="shared" si="1"/>
        <v>1133.4301444707062</v>
      </c>
      <c r="F4">
        <f t="shared" si="2"/>
        <v>26.66481586329343</v>
      </c>
      <c r="G4">
        <f t="shared" si="3"/>
        <v>79.994447589880295</v>
      </c>
      <c r="H4">
        <f t="shared" si="4"/>
        <v>0.84398884566577603</v>
      </c>
      <c r="I4">
        <f t="shared" si="5"/>
        <v>67.514421481054484</v>
      </c>
    </row>
    <row r="5" spans="1:9">
      <c r="A5">
        <v>4</v>
      </c>
      <c r="B5" s="1">
        <v>45061</v>
      </c>
      <c r="C5">
        <f t="shared" si="0"/>
        <v>2.3525769094261628E-2</v>
      </c>
      <c r="D5">
        <v>1.203227896459347</v>
      </c>
      <c r="E5">
        <f t="shared" si="1"/>
        <v>1203.227896459347</v>
      </c>
      <c r="F5">
        <f t="shared" si="2"/>
        <v>28.306861659876734</v>
      </c>
      <c r="G5">
        <f t="shared" si="3"/>
        <v>113.22744663950694</v>
      </c>
      <c r="H5">
        <f t="shared" si="4"/>
        <v>0.79759473026523131</v>
      </c>
      <c r="I5">
        <f t="shared" si="5"/>
        <v>90.309614761058413</v>
      </c>
    </row>
    <row r="6" spans="1:9">
      <c r="A6">
        <v>5</v>
      </c>
      <c r="B6" s="1">
        <v>45245</v>
      </c>
      <c r="C6">
        <f t="shared" si="0"/>
        <v>2.3525769094261628E-2</v>
      </c>
      <c r="D6">
        <v>1.2250434406353299</v>
      </c>
      <c r="E6">
        <f t="shared" si="1"/>
        <v>1225.0434406353299</v>
      </c>
      <c r="F6">
        <f t="shared" si="2"/>
        <v>28.820089114826576</v>
      </c>
      <c r="G6">
        <f t="shared" si="3"/>
        <v>144.10044557413289</v>
      </c>
      <c r="H6">
        <f t="shared" si="4"/>
        <v>0.75375090205728712</v>
      </c>
      <c r="I6">
        <f t="shared" si="5"/>
        <v>108.61584083835967</v>
      </c>
    </row>
    <row r="7" spans="1:9">
      <c r="A7">
        <v>6</v>
      </c>
      <c r="B7" s="1">
        <v>45427</v>
      </c>
      <c r="C7">
        <f t="shared" si="0"/>
        <v>2.3525769094261628E-2</v>
      </c>
      <c r="D7">
        <v>1.2788581318744949</v>
      </c>
      <c r="E7">
        <f t="shared" si="1"/>
        <v>1278.858131874495</v>
      </c>
      <c r="F7">
        <f t="shared" si="2"/>
        <v>30.086121114798157</v>
      </c>
      <c r="G7">
        <f t="shared" si="3"/>
        <v>180.51672668878894</v>
      </c>
      <c r="H7">
        <f t="shared" si="4"/>
        <v>0.71231717160824914</v>
      </c>
      <c r="I7">
        <f t="shared" si="5"/>
        <v>128.58516418293749</v>
      </c>
    </row>
    <row r="8" spans="1:9">
      <c r="A8">
        <v>7</v>
      </c>
      <c r="B8" s="1">
        <v>45611</v>
      </c>
      <c r="C8">
        <f t="shared" si="0"/>
        <v>2.3525769094261628E-2</v>
      </c>
      <c r="D8">
        <v>1.3001672081289597</v>
      </c>
      <c r="E8">
        <f t="shared" si="1"/>
        <v>1300.1672081289596</v>
      </c>
      <c r="F8">
        <f t="shared" si="2"/>
        <v>30.587433522372702</v>
      </c>
      <c r="G8">
        <f t="shared" si="3"/>
        <v>214.11203465660893</v>
      </c>
      <c r="H8">
        <f t="shared" si="4"/>
        <v>0.67316105570565865</v>
      </c>
      <c r="I8">
        <f t="shared" si="5"/>
        <v>144.13188328872943</v>
      </c>
    </row>
    <row r="9" spans="1:9">
      <c r="A9">
        <v>8</v>
      </c>
      <c r="B9" s="1">
        <v>45792</v>
      </c>
      <c r="C9">
        <f t="shared" si="0"/>
        <v>2.3525769094261628E-2</v>
      </c>
      <c r="D9">
        <v>1.3555370789447352</v>
      </c>
      <c r="E9">
        <f t="shared" si="1"/>
        <v>1355.5370789447352</v>
      </c>
      <c r="F9">
        <f t="shared" si="2"/>
        <v>31.890052317963736</v>
      </c>
      <c r="G9">
        <f t="shared" si="3"/>
        <v>255.12041854370989</v>
      </c>
      <c r="H9">
        <f t="shared" si="4"/>
        <v>0.6361573537468671</v>
      </c>
      <c r="I9">
        <f t="shared" si="5"/>
        <v>162.29673034755965</v>
      </c>
    </row>
    <row r="10" spans="1:9">
      <c r="A10">
        <v>9</v>
      </c>
      <c r="B10" s="1">
        <v>45976</v>
      </c>
      <c r="C10">
        <f t="shared" si="0"/>
        <v>2.3525769094261628E-2</v>
      </c>
      <c r="D10">
        <v>1.3776982031208873</v>
      </c>
      <c r="E10">
        <f t="shared" si="1"/>
        <v>1377.6982031208872</v>
      </c>
      <c r="F10">
        <f t="shared" si="2"/>
        <v>32.411409808201149</v>
      </c>
      <c r="G10">
        <f t="shared" si="3"/>
        <v>291.70268827381034</v>
      </c>
      <c r="H10">
        <f t="shared" si="4"/>
        <v>0.60118774741355663</v>
      </c>
      <c r="I10">
        <f t="shared" si="5"/>
        <v>175.36808207781093</v>
      </c>
    </row>
    <row r="11" spans="1:9">
      <c r="A11">
        <v>10</v>
      </c>
      <c r="B11" s="1">
        <v>46157</v>
      </c>
      <c r="C11">
        <f t="shared" si="0"/>
        <v>2.3525769094261628E-2</v>
      </c>
      <c r="D11">
        <v>1.4363083001749648</v>
      </c>
      <c r="E11">
        <f t="shared" si="1"/>
        <v>1436.3083001749649</v>
      </c>
      <c r="F11">
        <f t="shared" si="2"/>
        <v>33.790257418087641</v>
      </c>
      <c r="G11">
        <f t="shared" si="3"/>
        <v>337.9025741808764</v>
      </c>
      <c r="H11">
        <f t="shared" si="4"/>
        <v>0.56814042235217399</v>
      </c>
      <c r="I11">
        <f t="shared" si="5"/>
        <v>191.97611120900993</v>
      </c>
    </row>
    <row r="12" spans="1:9">
      <c r="A12">
        <v>11</v>
      </c>
      <c r="B12" s="1">
        <v>46341</v>
      </c>
      <c r="C12">
        <f t="shared" si="0"/>
        <v>2.3525769094261628E-2</v>
      </c>
      <c r="D12">
        <v>1.4598283660858109</v>
      </c>
      <c r="E12">
        <f t="shared" si="1"/>
        <v>1459.828366085811</v>
      </c>
      <c r="F12">
        <f t="shared" si="2"/>
        <v>34.343585057788026</v>
      </c>
      <c r="G12">
        <f t="shared" si="3"/>
        <v>377.77943563566828</v>
      </c>
      <c r="H12">
        <f t="shared" si="4"/>
        <v>0.5369097106506131</v>
      </c>
      <c r="I12">
        <f t="shared" si="5"/>
        <v>202.83344747689858</v>
      </c>
    </row>
    <row r="13" spans="1:9">
      <c r="A13">
        <v>12</v>
      </c>
      <c r="B13" s="1">
        <v>46522</v>
      </c>
      <c r="C13">
        <f t="shared" si="0"/>
        <v>2.3525769094261628E-2</v>
      </c>
      <c r="D13">
        <v>1.5222901837586658</v>
      </c>
      <c r="E13">
        <f t="shared" si="1"/>
        <v>1522.2901837586658</v>
      </c>
      <c r="F13">
        <f t="shared" si="2"/>
        <v>35.813047357567477</v>
      </c>
      <c r="G13">
        <f t="shared" si="3"/>
        <v>429.7565682908097</v>
      </c>
      <c r="H13">
        <f t="shared" si="4"/>
        <v>0.5073957529679759</v>
      </c>
      <c r="I13">
        <f t="shared" si="5"/>
        <v>218.05665756084875</v>
      </c>
    </row>
    <row r="14" spans="1:9">
      <c r="A14">
        <v>13</v>
      </c>
      <c r="B14" s="1">
        <v>46706</v>
      </c>
      <c r="C14">
        <f t="shared" si="0"/>
        <v>2.3525769094261628E-2</v>
      </c>
      <c r="D14">
        <v>1.5473649624347117</v>
      </c>
      <c r="E14">
        <f t="shared" si="1"/>
        <v>1547.3649624347117</v>
      </c>
      <c r="F14">
        <f t="shared" si="2"/>
        <v>36.402950810789847</v>
      </c>
      <c r="G14">
        <f t="shared" si="3"/>
        <v>473.23836054026799</v>
      </c>
      <c r="H14">
        <f t="shared" si="4"/>
        <v>0.47950417923707778</v>
      </c>
      <c r="I14">
        <f t="shared" si="5"/>
        <v>226.91977165436151</v>
      </c>
    </row>
    <row r="15" spans="1:9">
      <c r="A15">
        <v>14</v>
      </c>
      <c r="B15" s="1">
        <v>46888</v>
      </c>
      <c r="C15">
        <f t="shared" si="0"/>
        <v>2.3525769094261628E-2</v>
      </c>
      <c r="D15">
        <v>1.6139849084252975</v>
      </c>
      <c r="E15">
        <f t="shared" si="1"/>
        <v>1613.9849084252976</v>
      </c>
      <c r="F15">
        <f t="shared" si="2"/>
        <v>37.970236277236552</v>
      </c>
      <c r="G15">
        <f t="shared" si="3"/>
        <v>531.58330788131173</v>
      </c>
      <c r="H15">
        <f t="shared" si="4"/>
        <v>0.45314580691875683</v>
      </c>
      <c r="I15">
        <f t="shared" si="5"/>
        <v>240.88474699441895</v>
      </c>
    </row>
    <row r="16" spans="1:9">
      <c r="A16">
        <v>15</v>
      </c>
      <c r="B16" s="1">
        <v>47072</v>
      </c>
      <c r="C16">
        <f t="shared" si="0"/>
        <v>2.3525769094261628E-2</v>
      </c>
      <c r="D16">
        <v>1.6407247267325711</v>
      </c>
      <c r="E16">
        <f t="shared" si="1"/>
        <v>1640.7247267325711</v>
      </c>
      <c r="F16">
        <f t="shared" si="2"/>
        <v>38.599311068355973</v>
      </c>
      <c r="G16">
        <f t="shared" si="3"/>
        <v>578.9896660253396</v>
      </c>
      <c r="H16">
        <f t="shared" si="4"/>
        <v>0.42823635584315922</v>
      </c>
      <c r="I16">
        <f t="shared" si="5"/>
        <v>247.94442464953926</v>
      </c>
    </row>
    <row r="17" spans="1:9">
      <c r="A17">
        <v>16</v>
      </c>
      <c r="B17" s="1">
        <v>47253</v>
      </c>
      <c r="C17">
        <f t="shared" si="0"/>
        <v>2.3525769094261628E-2</v>
      </c>
      <c r="D17">
        <v>1.7117419349075904</v>
      </c>
      <c r="E17">
        <f t="shared" si="1"/>
        <v>1711.7419349075903</v>
      </c>
      <c r="F17">
        <f t="shared" si="2"/>
        <v>40.270045509600585</v>
      </c>
      <c r="G17">
        <f t="shared" si="3"/>
        <v>644.32072815360937</v>
      </c>
      <c r="H17">
        <f t="shared" si="4"/>
        <v>0.40469617872621666</v>
      </c>
      <c r="I17">
        <f t="shared" si="5"/>
        <v>260.75413655785917</v>
      </c>
    </row>
    <row r="18" spans="1:9">
      <c r="A18">
        <v>17</v>
      </c>
      <c r="B18" s="1">
        <v>47437</v>
      </c>
      <c r="C18">
        <f t="shared" si="0"/>
        <v>2.3525769094261628E-2</v>
      </c>
      <c r="D18">
        <v>1.7402395339540044</v>
      </c>
      <c r="E18">
        <f t="shared" si="1"/>
        <v>1740.2395339540044</v>
      </c>
      <c r="F18">
        <f t="shared" si="2"/>
        <v>40.940473444507376</v>
      </c>
      <c r="G18">
        <f t="shared" si="3"/>
        <v>695.98804855662536</v>
      </c>
      <c r="H18">
        <f t="shared" si="4"/>
        <v>0.38245000649964822</v>
      </c>
      <c r="I18">
        <f t="shared" si="5"/>
        <v>266.18063369415887</v>
      </c>
    </row>
    <row r="19" spans="1:9">
      <c r="A19">
        <v>18</v>
      </c>
      <c r="B19" s="1">
        <v>47618</v>
      </c>
      <c r="C19">
        <f t="shared" si="0"/>
        <v>2.3525769094261628E-2</v>
      </c>
      <c r="D19">
        <v>1.8158870770702746</v>
      </c>
      <c r="E19">
        <f t="shared" si="1"/>
        <v>1815.8870770702747</v>
      </c>
      <c r="F19">
        <f t="shared" si="2"/>
        <v>42.720140076408953</v>
      </c>
      <c r="G19">
        <f t="shared" si="3"/>
        <v>768.96252137536112</v>
      </c>
      <c r="H19">
        <f t="shared" si="4"/>
        <v>0.36142670764018642</v>
      </c>
      <c r="I19">
        <f t="shared" si="5"/>
        <v>277.92359239939321</v>
      </c>
    </row>
    <row r="20" spans="1:9">
      <c r="A20">
        <v>19</v>
      </c>
      <c r="B20" s="1">
        <v>47802</v>
      </c>
      <c r="C20">
        <f t="shared" si="0"/>
        <v>2.3525769094261628E-2</v>
      </c>
      <c r="D20">
        <v>1.8462373335470617</v>
      </c>
      <c r="E20">
        <f t="shared" si="1"/>
        <v>1846.2373335470616</v>
      </c>
      <c r="F20">
        <f t="shared" si="2"/>
        <v>43.43415320223346</v>
      </c>
      <c r="G20">
        <f t="shared" si="3"/>
        <v>825.24891084243575</v>
      </c>
      <c r="H20">
        <f t="shared" si="4"/>
        <v>0.34155906072849013</v>
      </c>
      <c r="I20">
        <f t="shared" si="5"/>
        <v>281.87124285455184</v>
      </c>
    </row>
    <row r="21" spans="1:9">
      <c r="A21">
        <v>20</v>
      </c>
      <c r="B21" s="1">
        <v>47983</v>
      </c>
      <c r="C21">
        <f t="shared" si="0"/>
        <v>2.3525769094261628E-2</v>
      </c>
      <c r="D21">
        <v>1.9267732816519296</v>
      </c>
      <c r="E21">
        <f t="shared" si="1"/>
        <v>1926.7732816519297</v>
      </c>
      <c r="F21">
        <f t="shared" si="2"/>
        <v>45.328823321136021</v>
      </c>
      <c r="G21">
        <f t="shared" si="3"/>
        <v>906.57646642272039</v>
      </c>
      <c r="H21">
        <f t="shared" si="4"/>
        <v>0.32278353951050665</v>
      </c>
      <c r="I21">
        <f t="shared" si="5"/>
        <v>292.62796066885369</v>
      </c>
    </row>
    <row r="22" spans="1:9">
      <c r="A22">
        <v>21</v>
      </c>
      <c r="B22" s="1">
        <v>48167</v>
      </c>
      <c r="C22">
        <f t="shared" si="0"/>
        <v>2.3525769094261628E-2</v>
      </c>
      <c r="D22">
        <v>1.959085813035681</v>
      </c>
      <c r="E22">
        <f t="shared" si="1"/>
        <v>1959.085813035681</v>
      </c>
      <c r="F22">
        <f t="shared" si="2"/>
        <v>46.089000473321235</v>
      </c>
      <c r="G22">
        <f t="shared" si="3"/>
        <v>967.86900993974598</v>
      </c>
      <c r="H22">
        <f t="shared" si="4"/>
        <v>0.30504010977402291</v>
      </c>
      <c r="I22">
        <f t="shared" si="5"/>
        <v>295.23886903889496</v>
      </c>
    </row>
    <row r="23" spans="1:9">
      <c r="A23">
        <v>22</v>
      </c>
      <c r="B23" s="1">
        <v>48349</v>
      </c>
      <c r="C23">
        <f t="shared" si="0"/>
        <v>2.3525769094261628E-2</v>
      </c>
      <c r="D23">
        <v>2.0447853576222732</v>
      </c>
      <c r="E23">
        <f t="shared" si="1"/>
        <v>2044.7853576222733</v>
      </c>
      <c r="F23">
        <f t="shared" si="2"/>
        <v>48.105148170748791</v>
      </c>
      <c r="G23">
        <f t="shared" si="3"/>
        <v>1058.3132597564734</v>
      </c>
      <c r="H23">
        <f t="shared" si="4"/>
        <v>0.28827203739092516</v>
      </c>
      <c r="I23">
        <f t="shared" si="5"/>
        <v>305.08211958782999</v>
      </c>
    </row>
    <row r="24" spans="1:9">
      <c r="A24">
        <v>23</v>
      </c>
      <c r="B24" s="1">
        <v>48533</v>
      </c>
      <c r="C24">
        <f t="shared" si="0"/>
        <v>2.3525769094261628E-2</v>
      </c>
      <c r="D24">
        <v>2.0791643938059594</v>
      </c>
      <c r="E24">
        <f t="shared" si="1"/>
        <v>2079.1643938059592</v>
      </c>
      <c r="F24">
        <f t="shared" si="2"/>
        <v>48.913941437689445</v>
      </c>
      <c r="G24">
        <f t="shared" si="3"/>
        <v>1125.0206530668572</v>
      </c>
      <c r="H24">
        <f t="shared" si="4"/>
        <v>0.2724257069113859</v>
      </c>
      <c r="I24">
        <f t="shared" si="5"/>
        <v>306.48454670164762</v>
      </c>
    </row>
    <row r="25" spans="1:9">
      <c r="A25">
        <v>24</v>
      </c>
      <c r="B25" s="1">
        <v>48714</v>
      </c>
      <c r="C25">
        <f t="shared" si="0"/>
        <v>2.3525769094261628E-2</v>
      </c>
      <c r="D25">
        <v>2.1703257826948512</v>
      </c>
      <c r="E25">
        <f t="shared" si="1"/>
        <v>2170.3257826948511</v>
      </c>
      <c r="F25">
        <f t="shared" si="2"/>
        <v>51.058583223001705</v>
      </c>
      <c r="G25">
        <f t="shared" si="3"/>
        <v>1225.4059973520409</v>
      </c>
      <c r="H25">
        <f t="shared" si="4"/>
        <v>0.25745045012993917</v>
      </c>
      <c r="I25">
        <f t="shared" si="5"/>
        <v>315.48132561020998</v>
      </c>
    </row>
    <row r="26" spans="1:9">
      <c r="A26">
        <v>25</v>
      </c>
      <c r="B26" s="1">
        <v>48898</v>
      </c>
      <c r="C26">
        <f t="shared" si="0"/>
        <v>2.3525769094261628E-2</v>
      </c>
      <c r="D26">
        <v>2.2068924018188381</v>
      </c>
      <c r="E26">
        <f t="shared" si="1"/>
        <v>2206.8924018188382</v>
      </c>
      <c r="F26">
        <f t="shared" si="2"/>
        <v>51.918841061070438</v>
      </c>
      <c r="G26">
        <f t="shared" si="3"/>
        <v>1297.9710265267609</v>
      </c>
      <c r="H26">
        <f t="shared" si="4"/>
        <v>0.24329838407528834</v>
      </c>
      <c r="I26">
        <f t="shared" si="5"/>
        <v>315.79425333050415</v>
      </c>
    </row>
    <row r="27" spans="1:9">
      <c r="A27">
        <v>26</v>
      </c>
      <c r="B27" s="1">
        <v>49079</v>
      </c>
      <c r="C27">
        <f t="shared" si="0"/>
        <v>2.3525769094261628E-2</v>
      </c>
      <c r="D27">
        <v>2.3038413721205746</v>
      </c>
      <c r="E27">
        <f t="shared" si="1"/>
        <v>2303.8413721205748</v>
      </c>
      <c r="F27">
        <f t="shared" si="2"/>
        <v>54.199640150315524</v>
      </c>
      <c r="G27">
        <f t="shared" si="3"/>
        <v>1409.1906439082036</v>
      </c>
      <c r="H27">
        <f t="shared" si="4"/>
        <v>0.22992425790582363</v>
      </c>
      <c r="I27">
        <f t="shared" si="5"/>
        <v>324.00711304842349</v>
      </c>
    </row>
    <row r="28" spans="1:9">
      <c r="A28">
        <v>27</v>
      </c>
      <c r="B28" s="1">
        <v>49263</v>
      </c>
      <c r="C28">
        <f t="shared" si="0"/>
        <v>2.3525769094261628E-2</v>
      </c>
      <c r="D28">
        <v>2.3427265074123662</v>
      </c>
      <c r="E28">
        <f t="shared" si="1"/>
        <v>2342.7265074123661</v>
      </c>
      <c r="F28">
        <f t="shared" si="2"/>
        <v>55.114442864389325</v>
      </c>
      <c r="G28">
        <f t="shared" si="3"/>
        <v>1488.0899573385118</v>
      </c>
      <c r="H28">
        <f t="shared" si="4"/>
        <v>0.21728530822130179</v>
      </c>
      <c r="I28">
        <f t="shared" si="5"/>
        <v>323.34008504132237</v>
      </c>
    </row>
    <row r="29" spans="1:9">
      <c r="A29">
        <v>28</v>
      </c>
      <c r="B29" s="1">
        <v>49444</v>
      </c>
      <c r="C29">
        <f t="shared" si="0"/>
        <v>2.3525769094261628E-2</v>
      </c>
      <c r="D29">
        <v>2.4458111510892642</v>
      </c>
      <c r="E29">
        <f t="shared" si="1"/>
        <v>2445.8111510892641</v>
      </c>
      <c r="F29">
        <f t="shared" si="2"/>
        <v>57.539588388696266</v>
      </c>
      <c r="G29">
        <f t="shared" si="3"/>
        <v>1611.1084748834955</v>
      </c>
      <c r="H29">
        <f t="shared" si="4"/>
        <v>0.20534112232805127</v>
      </c>
      <c r="I29">
        <f t="shared" si="5"/>
        <v>330.82682242481195</v>
      </c>
    </row>
    <row r="30" spans="1:9">
      <c r="A30">
        <v>29</v>
      </c>
      <c r="B30" s="1">
        <v>49628</v>
      </c>
      <c r="C30">
        <f t="shared" si="0"/>
        <v>2.3525769094261628E-2</v>
      </c>
      <c r="D30">
        <v>2.4871548787520075</v>
      </c>
      <c r="E30">
        <f t="shared" si="1"/>
        <v>2487.1548787520073</v>
      </c>
      <c r="F30">
        <f t="shared" si="2"/>
        <v>58.512231379185998</v>
      </c>
      <c r="G30">
        <f t="shared" si="3"/>
        <v>1696.8547099963939</v>
      </c>
      <c r="H30">
        <f t="shared" si="4"/>
        <v>0.19405350902049626</v>
      </c>
      <c r="I30">
        <f t="shared" si="5"/>
        <v>329.2806107727568</v>
      </c>
    </row>
    <row r="31" spans="1:9">
      <c r="A31">
        <v>30</v>
      </c>
      <c r="B31" s="1">
        <v>49810</v>
      </c>
      <c r="C31">
        <f t="shared" si="0"/>
        <v>2.3525769094261628E-2</v>
      </c>
      <c r="D31">
        <v>2.5967480619294152</v>
      </c>
      <c r="E31">
        <f t="shared" si="1"/>
        <v>2596.7480619294151</v>
      </c>
      <c r="F31">
        <f t="shared" si="2"/>
        <v>61.090495300922818</v>
      </c>
      <c r="G31">
        <f t="shared" si="3"/>
        <v>1832.7148590276845</v>
      </c>
      <c r="H31">
        <f t="shared" si="4"/>
        <v>0.18338637646582889</v>
      </c>
      <c r="I31">
        <f t="shared" si="5"/>
        <v>336.09493709216946</v>
      </c>
    </row>
    <row r="32" spans="1:9">
      <c r="H32" t="s">
        <v>4</v>
      </c>
      <c r="I32">
        <f>SUM(I2:I31)</f>
        <v>6837.4951446919431</v>
      </c>
    </row>
    <row r="33" spans="1:13">
      <c r="A33" t="s">
        <v>98</v>
      </c>
      <c r="B33" s="8">
        <v>1000</v>
      </c>
      <c r="H33" t="s">
        <v>5</v>
      </c>
      <c r="I33">
        <f>(A31*B35)*H31</f>
        <v>14286.246530156979</v>
      </c>
    </row>
    <row r="34" spans="1:13">
      <c r="A34" t="s">
        <v>79</v>
      </c>
      <c r="B34" s="13">
        <v>4.7605000000000001E-2</v>
      </c>
      <c r="H34" t="s">
        <v>6</v>
      </c>
      <c r="I34">
        <f>SUM(I32:I33)</f>
        <v>21123.741674848923</v>
      </c>
    </row>
    <row r="35" spans="1:13">
      <c r="A35" t="s">
        <v>111</v>
      </c>
      <c r="B35">
        <f>B33*D31</f>
        <v>2596.7480619294151</v>
      </c>
      <c r="H35" t="s">
        <v>89</v>
      </c>
      <c r="I35">
        <f>(I34/B36)/2</f>
        <v>10.757059631465191</v>
      </c>
    </row>
    <row r="36" spans="1:13">
      <c r="A36" t="s">
        <v>90</v>
      </c>
      <c r="B36">
        <v>981.85481900000002</v>
      </c>
      <c r="H36" t="s">
        <v>18</v>
      </c>
      <c r="I36">
        <f>I35/(1+B37)</f>
        <v>10.165743444674769</v>
      </c>
    </row>
    <row r="37" spans="1:13">
      <c r="A37" t="s">
        <v>101</v>
      </c>
      <c r="B37">
        <v>5.8167530000000002E-2</v>
      </c>
    </row>
    <row r="38" spans="1:13">
      <c r="A38" t="s">
        <v>119</v>
      </c>
      <c r="B38">
        <f>F3/B36</f>
        <v>2.6993581789248457E-2</v>
      </c>
    </row>
    <row r="39" spans="1:13">
      <c r="A39" t="s">
        <v>19</v>
      </c>
      <c r="B39" t="s">
        <v>109</v>
      </c>
    </row>
    <row r="42" spans="1:13" ht="18">
      <c r="M42" s="7"/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6D52D-5CAC-4145-A4E8-232C12AB7CD9}">
  <dimension ref="A1:I43"/>
  <sheetViews>
    <sheetView topLeftCell="A34" workbookViewId="0">
      <selection activeCell="B43" sqref="B43"/>
    </sheetView>
  </sheetViews>
  <sheetFormatPr defaultRowHeight="15"/>
  <cols>
    <col min="2" max="2" width="11.140625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44545</v>
      </c>
      <c r="C2">
        <f>(1+$B$39)^(1/2)-1</f>
        <v>2.4370538428355903E-2</v>
      </c>
      <c r="D2">
        <v>1.0662917648051684</v>
      </c>
      <c r="E2">
        <f>$B$38*D2</f>
        <v>1066.2917648051684</v>
      </c>
      <c r="F2">
        <f>C2*E2</f>
        <v>25.986104430023794</v>
      </c>
      <c r="G2">
        <f>A2*F2</f>
        <v>25.986104430023794</v>
      </c>
      <c r="H2">
        <f>(1+$B$42)^(-A2)</f>
        <v>0.94422507787779597</v>
      </c>
      <c r="I2">
        <f>G2*H2</f>
        <v>24.536731479179757</v>
      </c>
    </row>
    <row r="3" spans="1:9">
      <c r="A3">
        <v>2</v>
      </c>
      <c r="B3" s="1">
        <v>44727</v>
      </c>
      <c r="C3">
        <f t="shared" ref="C3:C36" si="0">(1+$B$39)^(1/2)-1</f>
        <v>2.4370538428355903E-2</v>
      </c>
      <c r="D3">
        <v>1.1247972928456398</v>
      </c>
      <c r="E3">
        <f t="shared" ref="E3:E36" si="1">$B$38*D3</f>
        <v>1124.7972928456397</v>
      </c>
      <c r="F3">
        <f t="shared" ref="F3:F36" si="2">C3*E3</f>
        <v>27.411915649405351</v>
      </c>
      <c r="G3">
        <f t="shared" ref="G3:G36" si="3">A3*F3</f>
        <v>54.823831298810703</v>
      </c>
      <c r="H3">
        <f t="shared" ref="H3:H36" si="4">(1+$B$42)^(-A3)</f>
        <v>0.89156099769332986</v>
      </c>
      <c r="I3">
        <f t="shared" ref="I3:I36" si="5">G3*H3</f>
        <v>48.878789730138472</v>
      </c>
    </row>
    <row r="4" spans="1:9">
      <c r="A4">
        <v>3</v>
      </c>
      <c r="B4" s="1">
        <v>44910</v>
      </c>
      <c r="C4">
        <f t="shared" si="0"/>
        <v>2.4370538428355903E-2</v>
      </c>
      <c r="D4">
        <v>1.1460557846539452</v>
      </c>
      <c r="E4">
        <f t="shared" si="1"/>
        <v>1146.0557846539452</v>
      </c>
      <c r="F4">
        <f t="shared" si="2"/>
        <v>27.929996540948551</v>
      </c>
      <c r="G4">
        <f t="shared" si="3"/>
        <v>83.789989622845653</v>
      </c>
      <c r="H4">
        <f t="shared" si="4"/>
        <v>0.84183425247978994</v>
      </c>
      <c r="I4">
        <f t="shared" si="5"/>
        <v>70.537283279437631</v>
      </c>
    </row>
    <row r="5" spans="1:9">
      <c r="A5">
        <v>4</v>
      </c>
      <c r="B5" s="1">
        <v>45092</v>
      </c>
      <c r="C5">
        <f t="shared" si="0"/>
        <v>2.4370538428355903E-2</v>
      </c>
      <c r="D5">
        <v>1.1978941350471015</v>
      </c>
      <c r="E5">
        <f t="shared" si="1"/>
        <v>1197.8941350471016</v>
      </c>
      <c r="F5">
        <f t="shared" si="2"/>
        <v>29.193325051267546</v>
      </c>
      <c r="G5">
        <f t="shared" si="3"/>
        <v>116.77330020507019</v>
      </c>
      <c r="H5">
        <f t="shared" si="4"/>
        <v>0.79488101260792576</v>
      </c>
      <c r="I5">
        <f t="shared" si="5"/>
        <v>92.820879112575497</v>
      </c>
    </row>
    <row r="6" spans="1:9">
      <c r="A6">
        <v>5</v>
      </c>
      <c r="B6" s="1">
        <v>45275</v>
      </c>
      <c r="C6">
        <f t="shared" si="0"/>
        <v>2.4370538428355903E-2</v>
      </c>
      <c r="D6">
        <v>1.2316977582090953</v>
      </c>
      <c r="E6">
        <f t="shared" si="1"/>
        <v>1231.6977582090954</v>
      </c>
      <c r="F6">
        <f t="shared" si="2"/>
        <v>30.017137548554576</v>
      </c>
      <c r="G6">
        <f t="shared" si="3"/>
        <v>150.08568774277288</v>
      </c>
      <c r="H6">
        <f t="shared" si="4"/>
        <v>0.75054658603330004</v>
      </c>
      <c r="I6">
        <f t="shared" si="5"/>
        <v>112.64630054779809</v>
      </c>
    </row>
    <row r="7" spans="1:9">
      <c r="A7">
        <v>6</v>
      </c>
      <c r="B7" s="1">
        <v>45458</v>
      </c>
      <c r="C7">
        <f t="shared" si="0"/>
        <v>2.4370538428355903E-2</v>
      </c>
      <c r="D7">
        <v>1.2726543944207185</v>
      </c>
      <c r="E7">
        <f t="shared" si="1"/>
        <v>1272.6543944207185</v>
      </c>
      <c r="F7">
        <f t="shared" si="2"/>
        <v>31.015272825246132</v>
      </c>
      <c r="G7">
        <f t="shared" si="3"/>
        <v>186.0916369514768</v>
      </c>
      <c r="H7">
        <f t="shared" si="4"/>
        <v>0.70868490864820655</v>
      </c>
      <c r="I7">
        <f t="shared" si="5"/>
        <v>131.88033473315255</v>
      </c>
    </row>
    <row r="8" spans="1:9">
      <c r="A8">
        <v>7</v>
      </c>
      <c r="B8" s="1">
        <v>45641</v>
      </c>
      <c r="C8">
        <f t="shared" si="0"/>
        <v>2.4370538428355903E-2</v>
      </c>
      <c r="D8">
        <v>1.306695785993234</v>
      </c>
      <c r="E8">
        <f t="shared" si="1"/>
        <v>1306.695785993234</v>
      </c>
      <c r="F8">
        <f t="shared" si="2"/>
        <v>31.844879866718831</v>
      </c>
      <c r="G8">
        <f t="shared" si="3"/>
        <v>222.91415906703182</v>
      </c>
      <c r="H8">
        <f t="shared" si="4"/>
        <v>0.66915806305917169</v>
      </c>
      <c r="I8">
        <f t="shared" si="5"/>
        <v>149.16480690975911</v>
      </c>
    </row>
    <row r="9" spans="1:9">
      <c r="A9">
        <v>8</v>
      </c>
      <c r="B9" s="1">
        <v>45823</v>
      </c>
      <c r="C9">
        <f t="shared" si="0"/>
        <v>2.4370538428355903E-2</v>
      </c>
      <c r="D9">
        <v>1.3488236720565172</v>
      </c>
      <c r="E9">
        <f t="shared" si="1"/>
        <v>1348.8236720565171</v>
      </c>
      <c r="F9">
        <f t="shared" si="2"/>
        <v>32.87155913292947</v>
      </c>
      <c r="G9">
        <f t="shared" si="3"/>
        <v>262.97247306343576</v>
      </c>
      <c r="H9">
        <f t="shared" si="4"/>
        <v>0.63183582420460138</v>
      </c>
      <c r="I9">
        <f t="shared" si="5"/>
        <v>166.15542926115828</v>
      </c>
    </row>
    <row r="10" spans="1:9">
      <c r="A10">
        <v>9</v>
      </c>
      <c r="B10" s="1">
        <v>46006</v>
      </c>
      <c r="C10">
        <f t="shared" si="0"/>
        <v>2.4370538428355903E-2</v>
      </c>
      <c r="D10">
        <v>1.3845972461717659</v>
      </c>
      <c r="E10">
        <f t="shared" si="1"/>
        <v>1384.5972461717658</v>
      </c>
      <c r="F10">
        <f t="shared" si="2"/>
        <v>33.743380395624776</v>
      </c>
      <c r="G10">
        <f t="shared" si="3"/>
        <v>303.690423560623</v>
      </c>
      <c r="H10">
        <f t="shared" si="4"/>
        <v>0.59659523031557116</v>
      </c>
      <c r="I10">
        <f t="shared" si="5"/>
        <v>181.18025818878323</v>
      </c>
    </row>
    <row r="11" spans="1:9">
      <c r="A11">
        <v>10</v>
      </c>
      <c r="B11" s="1">
        <v>46188</v>
      </c>
      <c r="C11">
        <f t="shared" si="0"/>
        <v>2.4370538428355903E-2</v>
      </c>
      <c r="D11">
        <v>1.4291900064864909</v>
      </c>
      <c r="E11">
        <f t="shared" si="1"/>
        <v>1429.1900064864908</v>
      </c>
      <c r="F11">
        <f t="shared" si="2"/>
        <v>34.830129974501247</v>
      </c>
      <c r="G11">
        <f t="shared" si="3"/>
        <v>348.30129974501244</v>
      </c>
      <c r="H11">
        <f t="shared" si="4"/>
        <v>0.56332017780624177</v>
      </c>
      <c r="I11">
        <f t="shared" si="5"/>
        <v>196.20515010250551</v>
      </c>
    </row>
    <row r="12" spans="1:9">
      <c r="A12">
        <v>11</v>
      </c>
      <c r="B12" s="1">
        <v>46371</v>
      </c>
      <c r="C12">
        <f t="shared" si="0"/>
        <v>2.4370538428355903E-2</v>
      </c>
      <c r="D12">
        <v>1.4672481771748824</v>
      </c>
      <c r="E12">
        <f t="shared" si="1"/>
        <v>1467.2481771748824</v>
      </c>
      <c r="F12">
        <f t="shared" si="2"/>
        <v>35.757628085775622</v>
      </c>
      <c r="G12">
        <f t="shared" si="3"/>
        <v>393.33390894353181</v>
      </c>
      <c r="H12">
        <f t="shared" si="4"/>
        <v>0.53190103875923256</v>
      </c>
      <c r="I12">
        <f t="shared" si="5"/>
        <v>209.21471474629396</v>
      </c>
    </row>
    <row r="13" spans="1:9">
      <c r="A13">
        <v>12</v>
      </c>
      <c r="B13" s="1">
        <v>46553</v>
      </c>
      <c r="C13">
        <f t="shared" si="0"/>
        <v>2.4370538428355903E-2</v>
      </c>
      <c r="D13">
        <v>1.5147740158169085</v>
      </c>
      <c r="E13">
        <f t="shared" si="1"/>
        <v>1514.7740158169086</v>
      </c>
      <c r="F13">
        <f t="shared" si="2"/>
        <v>36.915858362740963</v>
      </c>
      <c r="G13">
        <f t="shared" si="3"/>
        <v>442.99030035289155</v>
      </c>
      <c r="H13">
        <f t="shared" si="4"/>
        <v>0.50223429974571698</v>
      </c>
      <c r="I13">
        <f t="shared" si="5"/>
        <v>222.48492329187934</v>
      </c>
    </row>
    <row r="14" spans="1:9">
      <c r="A14">
        <v>13</v>
      </c>
      <c r="B14" s="1">
        <v>46736</v>
      </c>
      <c r="C14">
        <f t="shared" si="0"/>
        <v>2.4370538428355903E-2</v>
      </c>
      <c r="D14">
        <v>1.5553559753908464</v>
      </c>
      <c r="E14">
        <f t="shared" si="1"/>
        <v>1555.3559753908464</v>
      </c>
      <c r="F14">
        <f t="shared" si="2"/>
        <v>37.904862568035604</v>
      </c>
      <c r="G14">
        <f t="shared" si="3"/>
        <v>492.76321338446286</v>
      </c>
      <c r="H14">
        <f t="shared" si="4"/>
        <v>0.47422222079029996</v>
      </c>
      <c r="I14">
        <f t="shared" si="5"/>
        <v>233.67926537494444</v>
      </c>
    </row>
    <row r="15" spans="1:9">
      <c r="A15">
        <v>14</v>
      </c>
      <c r="B15" s="1">
        <v>46919</v>
      </c>
      <c r="C15">
        <f t="shared" si="0"/>
        <v>2.4370538428355903E-2</v>
      </c>
      <c r="D15">
        <v>1.6060485967409999</v>
      </c>
      <c r="E15">
        <f t="shared" si="1"/>
        <v>1606.0485967409998</v>
      </c>
      <c r="F15">
        <f t="shared" si="2"/>
        <v>39.140269044683606</v>
      </c>
      <c r="G15">
        <f t="shared" si="3"/>
        <v>547.96376662557054</v>
      </c>
      <c r="H15">
        <f t="shared" si="4"/>
        <v>0.44777251335710228</v>
      </c>
      <c r="I15">
        <f t="shared" si="5"/>
        <v>245.36311301055636</v>
      </c>
    </row>
    <row r="16" spans="1:9">
      <c r="A16">
        <v>15</v>
      </c>
      <c r="B16" s="1">
        <v>47102</v>
      </c>
      <c r="C16">
        <f t="shared" si="0"/>
        <v>2.4370538428355903E-2</v>
      </c>
      <c r="D16">
        <v>1.6493134498208175</v>
      </c>
      <c r="E16">
        <f t="shared" si="1"/>
        <v>1649.3134498208176</v>
      </c>
      <c r="F16">
        <f t="shared" si="2"/>
        <v>40.194656809262483</v>
      </c>
      <c r="G16">
        <f t="shared" si="3"/>
        <v>602.91985213893724</v>
      </c>
      <c r="H16">
        <f t="shared" si="4"/>
        <v>0.42279803629614632</v>
      </c>
      <c r="I16">
        <f t="shared" si="5"/>
        <v>254.91332952830555</v>
      </c>
    </row>
    <row r="17" spans="1:9">
      <c r="A17">
        <v>16</v>
      </c>
      <c r="B17" s="1">
        <v>47284</v>
      </c>
      <c r="C17">
        <f t="shared" si="0"/>
        <v>2.4370538428355903E-2</v>
      </c>
      <c r="D17">
        <v>1.7033547644618299</v>
      </c>
      <c r="E17">
        <f t="shared" si="1"/>
        <v>1703.35476446183</v>
      </c>
      <c r="F17">
        <f t="shared" si="2"/>
        <v>41.511672744440148</v>
      </c>
      <c r="G17">
        <f t="shared" si="3"/>
        <v>664.18676391104236</v>
      </c>
      <c r="H17">
        <f t="shared" si="4"/>
        <v>0.399216508748308</v>
      </c>
      <c r="I17">
        <f t="shared" si="5"/>
        <v>265.15432104540304</v>
      </c>
    </row>
    <row r="18" spans="1:9">
      <c r="A18">
        <v>17</v>
      </c>
      <c r="B18" s="1">
        <v>47467</v>
      </c>
      <c r="C18">
        <f t="shared" si="0"/>
        <v>2.4370538428355903E-2</v>
      </c>
      <c r="D18">
        <v>1.7494479705171664</v>
      </c>
      <c r="E18">
        <f t="shared" si="1"/>
        <v>1749.4479705171664</v>
      </c>
      <c r="F18">
        <f t="shared" si="2"/>
        <v>42.634988993897849</v>
      </c>
      <c r="G18">
        <f t="shared" si="3"/>
        <v>724.79481289626347</v>
      </c>
      <c r="H18">
        <f t="shared" si="4"/>
        <v>0.37695023906297298</v>
      </c>
      <c r="I18">
        <f t="shared" si="5"/>
        <v>273.2115779928493</v>
      </c>
    </row>
    <row r="19" spans="1:9">
      <c r="A19">
        <v>18</v>
      </c>
      <c r="B19" s="1">
        <v>47649</v>
      </c>
      <c r="C19">
        <f t="shared" si="0"/>
        <v>2.4370538428355903E-2</v>
      </c>
      <c r="D19">
        <v>1.8070151209859342</v>
      </c>
      <c r="E19">
        <f t="shared" si="1"/>
        <v>1807.0151209859341</v>
      </c>
      <c r="F19">
        <f t="shared" si="2"/>
        <v>44.037931446607899</v>
      </c>
      <c r="G19">
        <f t="shared" si="3"/>
        <v>792.68276603894219</v>
      </c>
      <c r="H19">
        <f t="shared" si="4"/>
        <v>0.35592586883528937</v>
      </c>
      <c r="I19">
        <f t="shared" si="5"/>
        <v>282.13630221317089</v>
      </c>
    </row>
    <row r="20" spans="1:9">
      <c r="A20">
        <v>19</v>
      </c>
      <c r="B20" s="1">
        <v>47832</v>
      </c>
      <c r="C20">
        <f t="shared" si="0"/>
        <v>2.4370538428355903E-2</v>
      </c>
      <c r="D20">
        <v>1.8560925142477656</v>
      </c>
      <c r="E20">
        <f t="shared" si="1"/>
        <v>1856.0925142477656</v>
      </c>
      <c r="F20">
        <f t="shared" si="2"/>
        <v>45.233973945058899</v>
      </c>
      <c r="G20">
        <f t="shared" si="3"/>
        <v>859.44550495611907</v>
      </c>
      <c r="H20">
        <f t="shared" si="4"/>
        <v>0.33607413121972335</v>
      </c>
      <c r="I20">
        <f t="shared" si="5"/>
        <v>288.83740140882418</v>
      </c>
    </row>
    <row r="21" spans="1:9">
      <c r="A21">
        <v>20</v>
      </c>
      <c r="B21" s="1">
        <v>48014</v>
      </c>
      <c r="C21">
        <f t="shared" si="0"/>
        <v>2.4370538428355903E-2</v>
      </c>
      <c r="D21">
        <v>1.9173817343707951</v>
      </c>
      <c r="E21">
        <f t="shared" si="1"/>
        <v>1917.3817343707951</v>
      </c>
      <c r="F21">
        <f t="shared" si="2"/>
        <v>46.727625239311152</v>
      </c>
      <c r="G21">
        <f t="shared" si="3"/>
        <v>934.55250478622304</v>
      </c>
      <c r="H21">
        <f t="shared" si="4"/>
        <v>0.31732962272365589</v>
      </c>
      <c r="I21">
        <f t="shared" si="5"/>
        <v>296.56119375925977</v>
      </c>
    </row>
    <row r="22" spans="1:9">
      <c r="A22">
        <v>21</v>
      </c>
      <c r="B22" s="1">
        <v>48197</v>
      </c>
      <c r="C22">
        <f t="shared" si="0"/>
        <v>2.4370538428355903E-2</v>
      </c>
      <c r="D22">
        <v>1.9696170665526547</v>
      </c>
      <c r="E22">
        <f t="shared" si="1"/>
        <v>1969.6170665526547</v>
      </c>
      <c r="F22">
        <f t="shared" si="2"/>
        <v>48.000628409567099</v>
      </c>
      <c r="G22">
        <f t="shared" si="3"/>
        <v>1008.0131966009091</v>
      </c>
      <c r="H22">
        <f t="shared" si="4"/>
        <v>0.29963058772917561</v>
      </c>
      <c r="I22">
        <f t="shared" si="5"/>
        <v>302.03158653629544</v>
      </c>
    </row>
    <row r="23" spans="1:9">
      <c r="A23">
        <v>22</v>
      </c>
      <c r="B23" s="1">
        <v>48380</v>
      </c>
      <c r="C23">
        <f t="shared" si="0"/>
        <v>2.4370538428355903E-2</v>
      </c>
      <c r="D23">
        <v>2.0348376217407722</v>
      </c>
      <c r="E23">
        <f t="shared" si="1"/>
        <v>2034.8376217407722</v>
      </c>
      <c r="F23">
        <f t="shared" si="2"/>
        <v>49.590088456097824</v>
      </c>
      <c r="G23">
        <f t="shared" si="3"/>
        <v>1090.9819460341521</v>
      </c>
      <c r="H23">
        <f t="shared" si="4"/>
        <v>0.28291871503315058</v>
      </c>
      <c r="I23">
        <f t="shared" si="5"/>
        <v>308.65921029634836</v>
      </c>
    </row>
    <row r="24" spans="1:9">
      <c r="A24">
        <v>23</v>
      </c>
      <c r="B24" s="1">
        <v>48563</v>
      </c>
      <c r="C24">
        <f t="shared" si="0"/>
        <v>2.4370538428355903E-2</v>
      </c>
      <c r="D24">
        <v>2.0904050666769556</v>
      </c>
      <c r="E24">
        <f t="shared" si="1"/>
        <v>2090.4050666769554</v>
      </c>
      <c r="F24">
        <f t="shared" si="2"/>
        <v>50.944297008280628</v>
      </c>
      <c r="G24">
        <f t="shared" si="3"/>
        <v>1171.7188311904545</v>
      </c>
      <c r="H24">
        <f t="shared" si="4"/>
        <v>0.26713894573526265</v>
      </c>
      <c r="I24">
        <f t="shared" si="5"/>
        <v>313.01173326237216</v>
      </c>
    </row>
    <row r="25" spans="1:9">
      <c r="A25">
        <v>24</v>
      </c>
      <c r="B25" s="1">
        <v>48745</v>
      </c>
      <c r="C25">
        <f t="shared" si="0"/>
        <v>2.4370538428355903E-2</v>
      </c>
      <c r="D25">
        <v>2.1597838116256036</v>
      </c>
      <c r="E25">
        <f t="shared" si="1"/>
        <v>2159.7838116256034</v>
      </c>
      <c r="F25">
        <f t="shared" si="2"/>
        <v>52.635094378162755</v>
      </c>
      <c r="G25">
        <f t="shared" si="3"/>
        <v>1263.2422650759061</v>
      </c>
      <c r="H25">
        <f t="shared" si="4"/>
        <v>0.25223929184107063</v>
      </c>
      <c r="I25">
        <f t="shared" si="5"/>
        <v>318.63933436645658</v>
      </c>
    </row>
    <row r="26" spans="1:9">
      <c r="A26">
        <v>25</v>
      </c>
      <c r="B26" s="1">
        <v>48928</v>
      </c>
      <c r="C26">
        <f t="shared" si="0"/>
        <v>2.4370538428355903E-2</v>
      </c>
      <c r="D26">
        <v>2.218880893382547</v>
      </c>
      <c r="E26">
        <f t="shared" si="1"/>
        <v>2218.8808933825471</v>
      </c>
      <c r="F26">
        <f t="shared" si="2"/>
        <v>54.075322080124046</v>
      </c>
      <c r="G26">
        <f t="shared" si="3"/>
        <v>1351.8830520031011</v>
      </c>
      <c r="H26">
        <f t="shared" si="4"/>
        <v>0.23817066498247505</v>
      </c>
      <c r="I26">
        <f t="shared" si="5"/>
        <v>321.97888547411645</v>
      </c>
    </row>
    <row r="27" spans="1:9">
      <c r="A27">
        <v>26</v>
      </c>
      <c r="B27" s="1">
        <v>49110</v>
      </c>
      <c r="C27">
        <f t="shared" si="0"/>
        <v>2.4370538428355903E-2</v>
      </c>
      <c r="D27">
        <v>2.2926656671549219</v>
      </c>
      <c r="E27">
        <f t="shared" si="1"/>
        <v>2292.6656671549217</v>
      </c>
      <c r="F27">
        <f t="shared" si="2"/>
        <v>55.873496744771245</v>
      </c>
      <c r="G27">
        <f t="shared" si="3"/>
        <v>1452.7109153640524</v>
      </c>
      <c r="H27">
        <f t="shared" si="4"/>
        <v>0.22488671469128393</v>
      </c>
      <c r="I27">
        <f t="shared" si="5"/>
        <v>326.69538515238958</v>
      </c>
    </row>
    <row r="28" spans="1:9">
      <c r="A28">
        <v>27</v>
      </c>
      <c r="B28" s="1">
        <v>49293</v>
      </c>
      <c r="C28">
        <f t="shared" si="0"/>
        <v>2.4370538428355903E-2</v>
      </c>
      <c r="D28">
        <v>2.355504400182777</v>
      </c>
      <c r="E28">
        <f t="shared" si="1"/>
        <v>2355.5044001827769</v>
      </c>
      <c r="F28">
        <f t="shared" si="2"/>
        <v>57.404910502815788</v>
      </c>
      <c r="G28">
        <f t="shared" si="3"/>
        <v>1549.9325835760262</v>
      </c>
      <c r="H28">
        <f t="shared" si="4"/>
        <v>0.21234367569305929</v>
      </c>
      <c r="I28">
        <f t="shared" si="5"/>
        <v>329.1183818729732</v>
      </c>
    </row>
    <row r="29" spans="1:9">
      <c r="A29">
        <v>28</v>
      </c>
      <c r="B29" s="1">
        <v>49475</v>
      </c>
      <c r="C29">
        <f t="shared" si="0"/>
        <v>2.4370538428355903E-2</v>
      </c>
      <c r="D29">
        <v>2.4339600704614135</v>
      </c>
      <c r="E29">
        <f t="shared" si="1"/>
        <v>2433.9600704614136</v>
      </c>
      <c r="F29">
        <f t="shared" si="2"/>
        <v>59.316917430263722</v>
      </c>
      <c r="G29">
        <f t="shared" si="3"/>
        <v>1660.8736880473841</v>
      </c>
      <c r="H29">
        <f t="shared" si="4"/>
        <v>0.20050022371813636</v>
      </c>
      <c r="I29">
        <f t="shared" si="5"/>
        <v>333.00554602106672</v>
      </c>
    </row>
    <row r="30" spans="1:9">
      <c r="A30">
        <v>29</v>
      </c>
      <c r="B30" s="1">
        <v>49658</v>
      </c>
      <c r="C30">
        <f t="shared" si="0"/>
        <v>2.4370538428355903E-2</v>
      </c>
      <c r="D30">
        <v>2.500767425779499</v>
      </c>
      <c r="E30">
        <f t="shared" si="1"/>
        <v>2500.7674257794988</v>
      </c>
      <c r="F30">
        <f t="shared" si="2"/>
        <v>60.945048650339942</v>
      </c>
      <c r="G30">
        <f t="shared" si="3"/>
        <v>1767.4064108598584</v>
      </c>
      <c r="H30">
        <f t="shared" si="4"/>
        <v>0.18931733935477285</v>
      </c>
      <c r="I30">
        <f t="shared" si="5"/>
        <v>334.60067926255692</v>
      </c>
    </row>
    <row r="31" spans="1:9">
      <c r="A31">
        <v>30</v>
      </c>
      <c r="B31" s="1">
        <v>49841</v>
      </c>
      <c r="C31">
        <f t="shared" si="0"/>
        <v>2.4370538428355903E-2</v>
      </c>
      <c r="D31">
        <v>2.5841777382288345</v>
      </c>
      <c r="E31">
        <f t="shared" si="1"/>
        <v>2584.1777382288346</v>
      </c>
      <c r="F31">
        <f t="shared" si="2"/>
        <v>62.977802875207658</v>
      </c>
      <c r="G31">
        <f t="shared" si="3"/>
        <v>1889.3340862562297</v>
      </c>
      <c r="H31">
        <f t="shared" si="4"/>
        <v>0.17875817949587747</v>
      </c>
      <c r="I31">
        <f t="shared" si="5"/>
        <v>337.73392171867073</v>
      </c>
    </row>
    <row r="32" spans="1:9">
      <c r="A32">
        <v>31</v>
      </c>
      <c r="B32" s="1">
        <v>50024</v>
      </c>
      <c r="C32">
        <f t="shared" si="0"/>
        <v>2.4370538428355903E-2</v>
      </c>
      <c r="D32">
        <v>2.6551963487342443</v>
      </c>
      <c r="E32">
        <f t="shared" si="1"/>
        <v>2655.1963487342441</v>
      </c>
      <c r="F32">
        <f t="shared" si="2"/>
        <v>64.708564651658179</v>
      </c>
      <c r="G32">
        <f t="shared" si="3"/>
        <v>2005.9655042014035</v>
      </c>
      <c r="H32">
        <f t="shared" si="4"/>
        <v>0.16878795595578794</v>
      </c>
      <c r="I32">
        <f t="shared" si="5"/>
        <v>338.58281717197644</v>
      </c>
    </row>
    <row r="33" spans="1:9">
      <c r="A33">
        <v>32</v>
      </c>
      <c r="B33" s="1">
        <v>50206</v>
      </c>
      <c r="C33">
        <f t="shared" si="0"/>
        <v>2.4370538428355903E-2</v>
      </c>
      <c r="D33">
        <v>2.7438645121505383</v>
      </c>
      <c r="E33">
        <f t="shared" si="1"/>
        <v>2743.8645121505383</v>
      </c>
      <c r="F33">
        <f t="shared" si="2"/>
        <v>66.869455535566715</v>
      </c>
      <c r="G33">
        <f t="shared" si="3"/>
        <v>2139.8225771381349</v>
      </c>
      <c r="H33">
        <f t="shared" si="4"/>
        <v>0.15937382085718788</v>
      </c>
      <c r="I33">
        <f t="shared" si="5"/>
        <v>341.0317000749792</v>
      </c>
    </row>
    <row r="34" spans="1:9">
      <c r="A34">
        <v>33</v>
      </c>
      <c r="B34" s="1">
        <v>50389</v>
      </c>
      <c r="C34">
        <f t="shared" si="0"/>
        <v>2.4370538428355903E-2</v>
      </c>
      <c r="D34">
        <v>2.8193532986638514</v>
      </c>
      <c r="E34">
        <f t="shared" si="1"/>
        <v>2819.3532986638515</v>
      </c>
      <c r="F34">
        <f t="shared" si="2"/>
        <v>68.709157908199373</v>
      </c>
      <c r="G34">
        <f t="shared" si="3"/>
        <v>2267.4022109705793</v>
      </c>
      <c r="H34">
        <f t="shared" si="4"/>
        <v>0.15048475841056011</v>
      </c>
      <c r="I34">
        <f t="shared" si="5"/>
        <v>341.20947393747747</v>
      </c>
    </row>
    <row r="35" spans="1:9">
      <c r="A35">
        <v>34</v>
      </c>
      <c r="B35" s="1">
        <v>50571</v>
      </c>
      <c r="C35">
        <f t="shared" si="0"/>
        <v>2.4370538428355903E-2</v>
      </c>
      <c r="D35">
        <v>2.9136027998154757</v>
      </c>
      <c r="E35">
        <f t="shared" si="1"/>
        <v>2913.6027998154755</v>
      </c>
      <c r="F35">
        <f t="shared" si="2"/>
        <v>71.006068997868397</v>
      </c>
      <c r="G35">
        <f t="shared" si="3"/>
        <v>2414.2063459275255</v>
      </c>
      <c r="H35">
        <f t="shared" si="4"/>
        <v>0.14209148272963243</v>
      </c>
      <c r="I35">
        <f t="shared" si="5"/>
        <v>343.03815930812999</v>
      </c>
    </row>
    <row r="36" spans="1:9">
      <c r="A36">
        <v>35</v>
      </c>
      <c r="B36" s="1">
        <v>50754</v>
      </c>
      <c r="C36">
        <f t="shared" si="0"/>
        <v>2.4370538428355903E-2</v>
      </c>
      <c r="D36">
        <v>2.9938377545739314</v>
      </c>
      <c r="E36">
        <f t="shared" si="1"/>
        <v>2993.8377545739313</v>
      </c>
      <c r="F36">
        <f t="shared" si="2"/>
        <v>72.96143804610675</v>
      </c>
      <c r="G36">
        <f t="shared" si="3"/>
        <v>2553.6503316137364</v>
      </c>
      <c r="H36">
        <f t="shared" si="4"/>
        <v>0.13416634134615871</v>
      </c>
      <c r="I36">
        <f t="shared" si="5"/>
        <v>342.61392207001995</v>
      </c>
    </row>
    <row r="37" spans="1:9">
      <c r="H37" t="s">
        <v>4</v>
      </c>
      <c r="I37">
        <f>SUM(I2:I36)</f>
        <v>8677.5128422418038</v>
      </c>
    </row>
    <row r="38" spans="1:9">
      <c r="A38" t="s">
        <v>98</v>
      </c>
      <c r="B38" s="8">
        <v>1000</v>
      </c>
      <c r="H38" t="s">
        <v>5</v>
      </c>
      <c r="I38">
        <f>(A36*B40)*H36</f>
        <v>14058.529034031419</v>
      </c>
    </row>
    <row r="39" spans="1:9">
      <c r="A39" t="s">
        <v>79</v>
      </c>
      <c r="B39" s="13">
        <v>4.9334999999999997E-2</v>
      </c>
      <c r="H39" t="s">
        <v>6</v>
      </c>
      <c r="I39">
        <f>SUM(I37:I38)</f>
        <v>22736.041876273222</v>
      </c>
    </row>
    <row r="40" spans="1:9">
      <c r="A40" t="s">
        <v>111</v>
      </c>
      <c r="B40">
        <f>B38*D36</f>
        <v>2993.8377545739313</v>
      </c>
      <c r="H40" t="s">
        <v>89</v>
      </c>
      <c r="I40">
        <f>(I39/B41)/2</f>
        <v>11.746092293320805</v>
      </c>
    </row>
    <row r="41" spans="1:9">
      <c r="A41" t="s">
        <v>90</v>
      </c>
      <c r="B41">
        <v>967.81300999999996</v>
      </c>
      <c r="H41" t="s">
        <v>18</v>
      </c>
      <c r="I41">
        <f>I40/(1+B42)</f>
        <v>11.090954910420617</v>
      </c>
    </row>
    <row r="42" spans="1:9">
      <c r="A42" t="s">
        <v>101</v>
      </c>
      <c r="B42">
        <v>5.906952E-2</v>
      </c>
    </row>
    <row r="43" spans="1:9">
      <c r="A43" t="s">
        <v>119</v>
      </c>
      <c r="B43">
        <f>F3/B41</f>
        <v>2.8323565984513219E-2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5245A-38F8-4EF2-8B87-71AA5E56CCBE}">
  <dimension ref="A1:J19"/>
  <sheetViews>
    <sheetView topLeftCell="A4" workbookViewId="0">
      <selection activeCell="B19" sqref="B19"/>
    </sheetView>
  </sheetViews>
  <sheetFormatPr defaultRowHeight="15"/>
  <cols>
    <col min="2" max="2" width="10.7109375" bestFit="1" customWidth="1"/>
    <col min="4" max="4" width="10.7109375" bestFit="1" customWidth="1"/>
    <col min="6" max="6" width="9.5703125" bestFit="1" customWidth="1"/>
  </cols>
  <sheetData>
    <row r="1" spans="1:10">
      <c r="A1" t="s">
        <v>96</v>
      </c>
      <c r="B1" t="s">
        <v>0</v>
      </c>
      <c r="C1" t="s">
        <v>121</v>
      </c>
      <c r="D1" t="s">
        <v>141</v>
      </c>
      <c r="E1" t="s">
        <v>116</v>
      </c>
      <c r="F1" t="s">
        <v>142</v>
      </c>
      <c r="G1" t="s">
        <v>107</v>
      </c>
      <c r="H1" t="s">
        <v>12</v>
      </c>
      <c r="I1" t="s">
        <v>3</v>
      </c>
      <c r="J1" t="s">
        <v>102</v>
      </c>
    </row>
    <row r="2" spans="1:10">
      <c r="A2">
        <v>0</v>
      </c>
      <c r="B2" s="1">
        <v>44316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</v>
      </c>
      <c r="B3" s="1">
        <v>44545</v>
      </c>
      <c r="C3">
        <v>9.1499999999999998E-2</v>
      </c>
      <c r="D3" s="14">
        <f>(1+C3)^(NETWORKDAYS.INTL(B2,B3)/252)-1</f>
        <v>5.8633440685451399E-2</v>
      </c>
      <c r="E3">
        <f>1.79/100</f>
        <v>1.7899999999999999E-2</v>
      </c>
      <c r="F3" s="14">
        <f>D3+E3</f>
        <v>7.6533440685451398E-2</v>
      </c>
      <c r="G3">
        <f>$B$16*F3</f>
        <v>76.533440685451396</v>
      </c>
      <c r="H3">
        <f>A3*G3</f>
        <v>76.533440685451396</v>
      </c>
      <c r="I3">
        <f>(1+$B$18)^(-A3)</f>
        <v>0.92555178875516952</v>
      </c>
      <c r="J3">
        <f>H3*I3</f>
        <v>70.835662926007203</v>
      </c>
    </row>
    <row r="4" spans="1:10">
      <c r="A4">
        <v>2</v>
      </c>
      <c r="B4" s="1">
        <v>44727</v>
      </c>
      <c r="C4">
        <v>0.1265</v>
      </c>
      <c r="D4" s="14">
        <f t="shared" ref="D4:D14" si="0">(1+C4)^(NETWORKDAYS.INTL(B3,B4)/252)-1</f>
        <v>6.3878446991125104E-2</v>
      </c>
      <c r="E4">
        <f t="shared" ref="E4:E14" si="1">1.79/100</f>
        <v>1.7899999999999999E-2</v>
      </c>
      <c r="F4" s="14">
        <f t="shared" ref="F4:F14" si="2">D4+E4</f>
        <v>8.1778446991125103E-2</v>
      </c>
      <c r="G4">
        <f t="shared" ref="G4:G14" si="3">$B$16*F4</f>
        <v>81.778446991125108</v>
      </c>
      <c r="H4">
        <f t="shared" ref="H4:H14" si="4">A4*G4</f>
        <v>163.55689398225022</v>
      </c>
      <c r="I4">
        <f t="shared" ref="I4:I14" si="5">(1+$B$18)^(-A4)</f>
        <v>0.856646113667894</v>
      </c>
      <c r="J4">
        <f t="shared" ref="J4:J14" si="6">H4*I4</f>
        <v>140.11037759348642</v>
      </c>
    </row>
    <row r="5" spans="1:10">
      <c r="A5">
        <v>3</v>
      </c>
      <c r="B5" s="1">
        <v>44910</v>
      </c>
      <c r="C5">
        <v>0.13655999999999999</v>
      </c>
      <c r="D5" s="14">
        <f t="shared" si="0"/>
        <v>6.9349846734491294E-2</v>
      </c>
      <c r="E5">
        <f t="shared" si="1"/>
        <v>1.7899999999999999E-2</v>
      </c>
      <c r="F5" s="14">
        <f t="shared" si="2"/>
        <v>8.7249846734491293E-2</v>
      </c>
      <c r="G5">
        <f t="shared" si="3"/>
        <v>87.2498467344913</v>
      </c>
      <c r="H5">
        <f t="shared" si="4"/>
        <v>261.74954020347388</v>
      </c>
      <c r="I5">
        <f t="shared" si="5"/>
        <v>0.79287034283548363</v>
      </c>
      <c r="J5">
        <f t="shared" si="6"/>
        <v>207.53344767815855</v>
      </c>
    </row>
    <row r="6" spans="1:10">
      <c r="A6">
        <v>4</v>
      </c>
      <c r="B6" s="1">
        <v>45092</v>
      </c>
      <c r="C6">
        <v>0.13658000000000001</v>
      </c>
      <c r="D6" s="14">
        <f t="shared" si="0"/>
        <v>6.8816573721348639E-2</v>
      </c>
      <c r="E6">
        <f t="shared" si="1"/>
        <v>1.7899999999999999E-2</v>
      </c>
      <c r="F6" s="14">
        <f t="shared" si="2"/>
        <v>8.6716573721348639E-2</v>
      </c>
      <c r="G6">
        <f t="shared" si="3"/>
        <v>86.716573721348638</v>
      </c>
      <c r="H6">
        <f t="shared" si="4"/>
        <v>346.86629488539455</v>
      </c>
      <c r="I6">
        <f t="shared" si="5"/>
        <v>0.7338425640623063</v>
      </c>
      <c r="J6">
        <f t="shared" si="6"/>
        <v>254.54525122548998</v>
      </c>
    </row>
    <row r="7" spans="1:10">
      <c r="A7">
        <v>5</v>
      </c>
      <c r="B7" s="1">
        <v>45275</v>
      </c>
      <c r="C7">
        <v>0.13150999999999999</v>
      </c>
      <c r="D7" s="14">
        <f t="shared" si="0"/>
        <v>6.6858395325497755E-2</v>
      </c>
      <c r="E7">
        <f t="shared" si="1"/>
        <v>1.7899999999999999E-2</v>
      </c>
      <c r="F7" s="14">
        <f t="shared" si="2"/>
        <v>8.4758395325497754E-2</v>
      </c>
      <c r="G7">
        <f t="shared" si="3"/>
        <v>84.758395325497759</v>
      </c>
      <c r="H7">
        <f t="shared" si="4"/>
        <v>423.79197662748879</v>
      </c>
      <c r="I7">
        <f t="shared" si="5"/>
        <v>0.6792092978325478</v>
      </c>
      <c r="J7">
        <f t="shared" si="6"/>
        <v>287.8434508722242</v>
      </c>
    </row>
    <row r="8" spans="1:10">
      <c r="A8">
        <v>6</v>
      </c>
      <c r="B8" s="1">
        <v>45458</v>
      </c>
      <c r="C8">
        <v>0.12570000000000001</v>
      </c>
      <c r="D8" s="14">
        <f t="shared" si="0"/>
        <v>6.3485625154833025E-2</v>
      </c>
      <c r="E8">
        <f t="shared" si="1"/>
        <v>1.7899999999999999E-2</v>
      </c>
      <c r="F8" s="14">
        <f t="shared" si="2"/>
        <v>8.1385625154833025E-2</v>
      </c>
      <c r="G8">
        <f t="shared" si="3"/>
        <v>81.385625154833022</v>
      </c>
      <c r="H8">
        <f t="shared" si="4"/>
        <v>488.31375092899816</v>
      </c>
      <c r="I8">
        <f t="shared" si="5"/>
        <v>0.62864338054805724</v>
      </c>
      <c r="J8">
        <f t="shared" si="6"/>
        <v>306.97520715210743</v>
      </c>
    </row>
    <row r="9" spans="1:10">
      <c r="A9">
        <v>7</v>
      </c>
      <c r="B9" s="1">
        <v>45641</v>
      </c>
      <c r="C9">
        <v>0.11924999999999999</v>
      </c>
      <c r="D9" s="14">
        <f t="shared" si="0"/>
        <v>5.9839672449477188E-2</v>
      </c>
      <c r="E9">
        <f t="shared" si="1"/>
        <v>1.7899999999999999E-2</v>
      </c>
      <c r="F9" s="14">
        <f t="shared" si="2"/>
        <v>7.7739672449477187E-2</v>
      </c>
      <c r="G9">
        <f t="shared" si="3"/>
        <v>77.739672449477183</v>
      </c>
      <c r="H9">
        <f t="shared" si="4"/>
        <v>544.17770714634025</v>
      </c>
      <c r="I9">
        <f t="shared" si="5"/>
        <v>0.58184200535535124</v>
      </c>
      <c r="J9">
        <f t="shared" si="6"/>
        <v>316.62544839570364</v>
      </c>
    </row>
    <row r="10" spans="1:10">
      <c r="A10">
        <v>8</v>
      </c>
      <c r="B10" s="1">
        <v>45823</v>
      </c>
      <c r="C10">
        <v>0.11595</v>
      </c>
      <c r="D10" s="14">
        <f t="shared" si="0"/>
        <v>5.8226502516244949E-2</v>
      </c>
      <c r="E10">
        <f t="shared" si="1"/>
        <v>1.7899999999999999E-2</v>
      </c>
      <c r="F10" s="14">
        <f t="shared" si="2"/>
        <v>7.6126502516244948E-2</v>
      </c>
      <c r="G10">
        <f t="shared" si="3"/>
        <v>76.126502516244955</v>
      </c>
      <c r="H10">
        <f t="shared" si="4"/>
        <v>609.01202012995964</v>
      </c>
      <c r="I10">
        <f t="shared" si="5"/>
        <v>0.53852490882954018</v>
      </c>
      <c r="J10">
        <f t="shared" si="6"/>
        <v>327.96814261658062</v>
      </c>
    </row>
    <row r="11" spans="1:10">
      <c r="A11">
        <v>9</v>
      </c>
      <c r="B11" s="1">
        <v>46006</v>
      </c>
      <c r="C11">
        <v>0.11544</v>
      </c>
      <c r="D11" s="14">
        <f t="shared" si="0"/>
        <v>5.8435750126872632E-2</v>
      </c>
      <c r="E11">
        <f t="shared" si="1"/>
        <v>1.7899999999999999E-2</v>
      </c>
      <c r="F11" s="14">
        <f t="shared" si="2"/>
        <v>7.6335750126872631E-2</v>
      </c>
      <c r="G11">
        <f t="shared" si="3"/>
        <v>76.335750126872625</v>
      </c>
      <c r="H11">
        <f t="shared" si="4"/>
        <v>687.02175114185366</v>
      </c>
      <c r="I11">
        <f t="shared" si="5"/>
        <v>0.4984326926563955</v>
      </c>
      <c r="J11">
        <f t="shared" si="6"/>
        <v>342.43410133514618</v>
      </c>
    </row>
    <row r="12" spans="1:10">
      <c r="A12">
        <v>10</v>
      </c>
      <c r="B12" s="1">
        <v>46188</v>
      </c>
      <c r="C12">
        <v>0.11496000000000001</v>
      </c>
      <c r="D12" s="14">
        <f t="shared" si="0"/>
        <v>5.8198953695461908E-2</v>
      </c>
      <c r="E12">
        <f t="shared" si="1"/>
        <v>1.7899999999999999E-2</v>
      </c>
      <c r="F12" s="14">
        <f t="shared" si="2"/>
        <v>7.6098953695461907E-2</v>
      </c>
      <c r="G12">
        <f t="shared" si="3"/>
        <v>76.098953695461901</v>
      </c>
      <c r="H12">
        <f t="shared" si="4"/>
        <v>760.98953695461898</v>
      </c>
      <c r="I12">
        <f t="shared" si="5"/>
        <v>0.46132527026218251</v>
      </c>
      <c r="J12">
        <f t="shared" si="6"/>
        <v>351.0637038022827</v>
      </c>
    </row>
    <row r="13" spans="1:10">
      <c r="A13">
        <v>11</v>
      </c>
      <c r="B13" s="1">
        <v>46371</v>
      </c>
      <c r="C13">
        <v>0.11491999999999999</v>
      </c>
      <c r="D13" s="14">
        <f t="shared" si="0"/>
        <v>5.8636108895885108E-2</v>
      </c>
      <c r="E13">
        <f t="shared" si="1"/>
        <v>1.7899999999999999E-2</v>
      </c>
      <c r="F13" s="14">
        <f t="shared" si="2"/>
        <v>7.6536108895885108E-2</v>
      </c>
      <c r="G13">
        <f t="shared" si="3"/>
        <v>76.536108895885107</v>
      </c>
      <c r="H13">
        <f t="shared" si="4"/>
        <v>841.89719785473619</v>
      </c>
      <c r="I13">
        <f t="shared" si="5"/>
        <v>0.42698042908912509</v>
      </c>
      <c r="J13">
        <f t="shared" si="6"/>
        <v>359.47362678894729</v>
      </c>
    </row>
    <row r="14" spans="1:10">
      <c r="A14">
        <v>12</v>
      </c>
      <c r="B14" s="1">
        <v>46553</v>
      </c>
      <c r="C14">
        <v>0.11459999999999999</v>
      </c>
      <c r="D14" s="14">
        <f t="shared" si="0"/>
        <v>5.8021324247647499E-2</v>
      </c>
      <c r="E14">
        <f t="shared" si="1"/>
        <v>1.7899999999999999E-2</v>
      </c>
      <c r="F14" s="14">
        <f t="shared" si="2"/>
        <v>7.5921324247647498E-2</v>
      </c>
      <c r="G14">
        <f t="shared" si="3"/>
        <v>75.921324247647505</v>
      </c>
      <c r="H14">
        <f t="shared" si="4"/>
        <v>911.05589097177005</v>
      </c>
      <c r="I14">
        <f t="shared" si="5"/>
        <v>0.39519249990688948</v>
      </c>
      <c r="J14">
        <f t="shared" si="6"/>
        <v>360.04245510803236</v>
      </c>
    </row>
    <row r="15" spans="1:10">
      <c r="I15" t="s">
        <v>4</v>
      </c>
      <c r="J15">
        <f>SUM(J3:J14)</f>
        <v>3325.4508754941671</v>
      </c>
    </row>
    <row r="16" spans="1:10">
      <c r="A16" t="s">
        <v>98</v>
      </c>
      <c r="B16" s="8">
        <v>1000</v>
      </c>
      <c r="I16" t="s">
        <v>5</v>
      </c>
      <c r="J16">
        <f>(A14*B16)*I14</f>
        <v>4742.3099988826734</v>
      </c>
    </row>
    <row r="17" spans="1:10">
      <c r="A17" t="s">
        <v>90</v>
      </c>
      <c r="B17" s="8">
        <v>1000</v>
      </c>
      <c r="I17" t="s">
        <v>6</v>
      </c>
      <c r="J17">
        <f>SUM(J15:J16)</f>
        <v>8067.7608743768405</v>
      </c>
    </row>
    <row r="18" spans="1:10">
      <c r="A18" t="s">
        <v>101</v>
      </c>
      <c r="B18">
        <v>8.0436569999999999E-2</v>
      </c>
      <c r="I18" t="s">
        <v>89</v>
      </c>
      <c r="J18">
        <f>(J17/B17)/2</f>
        <v>4.0338804371884205</v>
      </c>
    </row>
    <row r="19" spans="1:10">
      <c r="A19" t="s">
        <v>119</v>
      </c>
      <c r="B19">
        <f>G4/B17</f>
        <v>8.1778446991125103E-2</v>
      </c>
      <c r="I19" t="s">
        <v>18</v>
      </c>
      <c r="J19">
        <f>J18/(1+B18)</f>
        <v>3.7335652542642279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BE54A-A984-41E9-A9BE-998EB322D3EE}">
  <dimension ref="A1:I33"/>
  <sheetViews>
    <sheetView topLeftCell="A22" workbookViewId="0">
      <selection activeCell="B33" sqref="B33"/>
    </sheetView>
  </sheetViews>
  <sheetFormatPr defaultRowHeight="15"/>
  <cols>
    <col min="2" max="2" width="10.5703125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44515</v>
      </c>
      <c r="C2">
        <f>(1+$B$29)^(1/2)-1</f>
        <v>2.4104975088003355E-2</v>
      </c>
      <c r="D2">
        <v>1.0585642458107498</v>
      </c>
      <c r="E2">
        <f>$B$28*D2</f>
        <v>1058.5642458107498</v>
      </c>
      <c r="F2">
        <f>C2*E2</f>
        <v>25.516664774319182</v>
      </c>
      <c r="G2">
        <f>A2*F2</f>
        <v>25.516664774319182</v>
      </c>
      <c r="H2">
        <f>(1+$B$32)^(-A2)</f>
        <v>0.9449898715985563</v>
      </c>
      <c r="I2">
        <f>G2*H2</f>
        <v>24.112989768707287</v>
      </c>
    </row>
    <row r="3" spans="1:9">
      <c r="A3">
        <v>2</v>
      </c>
      <c r="B3" s="1">
        <v>44696</v>
      </c>
      <c r="C3">
        <f t="shared" ref="C3:C26" si="0">(1+$B$29)^(1/2)-1</f>
        <v>2.4104975088003355E-2</v>
      </c>
      <c r="D3">
        <v>1.1173113070881493</v>
      </c>
      <c r="E3">
        <f t="shared" ref="E3:E26" si="1">$B$28*D3</f>
        <v>1117.3113070881493</v>
      </c>
      <c r="F3">
        <f t="shared" ref="F3:F26" si="2">C3*E3</f>
        <v>26.932761222904304</v>
      </c>
      <c r="G3">
        <f t="shared" ref="G3:G26" si="3">A3*F3</f>
        <v>53.865522445808608</v>
      </c>
      <c r="H3">
        <f t="shared" ref="H3:H26" si="4">(1+$B$32)^(-A3)</f>
        <v>0.89300585742385585</v>
      </c>
      <c r="I3">
        <f t="shared" ref="I3:I26" si="5">G3*H3</f>
        <v>48.102227057303267</v>
      </c>
    </row>
    <row r="4" spans="1:9">
      <c r="A4">
        <v>3</v>
      </c>
      <c r="B4" s="1">
        <v>44880</v>
      </c>
      <c r="C4">
        <f t="shared" si="0"/>
        <v>2.4104975088003355E-2</v>
      </c>
      <c r="D4">
        <v>1.1241001135284203</v>
      </c>
      <c r="E4">
        <f t="shared" si="1"/>
        <v>1124.1001135284203</v>
      </c>
      <c r="F4">
        <f t="shared" si="2"/>
        <v>27.096405233024313</v>
      </c>
      <c r="G4">
        <f t="shared" si="3"/>
        <v>81.28921569907294</v>
      </c>
      <c r="H4">
        <f t="shared" si="4"/>
        <v>0.84388149054372819</v>
      </c>
      <c r="I4">
        <f t="shared" si="5"/>
        <v>68.598464509264304</v>
      </c>
    </row>
    <row r="5" spans="1:9">
      <c r="A5">
        <v>4</v>
      </c>
      <c r="B5" s="1">
        <v>45061</v>
      </c>
      <c r="C5">
        <f t="shared" si="0"/>
        <v>2.4104975088003355E-2</v>
      </c>
      <c r="D5">
        <v>1.1933233129617646</v>
      </c>
      <c r="E5">
        <f t="shared" si="1"/>
        <v>1193.3233129617647</v>
      </c>
      <c r="F5">
        <f t="shared" si="2"/>
        <v>28.765028730876971</v>
      </c>
      <c r="G5">
        <f t="shared" si="3"/>
        <v>115.06011492350788</v>
      </c>
      <c r="H5">
        <f t="shared" si="4"/>
        <v>0.79745946139331592</v>
      </c>
      <c r="I5">
        <f t="shared" si="5"/>
        <v>91.755777274753626</v>
      </c>
    </row>
    <row r="6" spans="1:9">
      <c r="A6">
        <v>5</v>
      </c>
      <c r="B6" s="1">
        <v>45245</v>
      </c>
      <c r="C6">
        <f t="shared" si="0"/>
        <v>2.4104975088003355E-2</v>
      </c>
      <c r="D6">
        <v>1.2149592786227617</v>
      </c>
      <c r="E6">
        <f t="shared" si="1"/>
        <v>1214.9592786227618</v>
      </c>
      <c r="F6">
        <f t="shared" si="2"/>
        <v>29.286563144140199</v>
      </c>
      <c r="G6">
        <f t="shared" si="3"/>
        <v>146.432815720701</v>
      </c>
      <c r="H6">
        <f t="shared" si="4"/>
        <v>0.75359111402712353</v>
      </c>
      <c r="I6">
        <f t="shared" si="5"/>
        <v>110.35046872909156</v>
      </c>
    </row>
    <row r="7" spans="1:9">
      <c r="A7">
        <v>6</v>
      </c>
      <c r="B7" s="1">
        <v>45427</v>
      </c>
      <c r="C7">
        <f t="shared" si="0"/>
        <v>2.4104975088003355E-2</v>
      </c>
      <c r="D7">
        <v>1.2683309847014737</v>
      </c>
      <c r="E7">
        <f t="shared" si="1"/>
        <v>1268.3309847014737</v>
      </c>
      <c r="F7">
        <f t="shared" si="2"/>
        <v>30.573086789571786</v>
      </c>
      <c r="G7">
        <f t="shared" si="3"/>
        <v>183.43852073743071</v>
      </c>
      <c r="H7">
        <f t="shared" si="4"/>
        <v>0.71213597008230434</v>
      </c>
      <c r="I7">
        <f t="shared" si="5"/>
        <v>130.63316891581312</v>
      </c>
    </row>
    <row r="8" spans="1:9">
      <c r="A8">
        <v>7</v>
      </c>
      <c r="B8" s="1">
        <v>45611</v>
      </c>
      <c r="C8">
        <f t="shared" si="0"/>
        <v>2.4104975088003355E-2</v>
      </c>
      <c r="D8">
        <v>1.2894646515213337</v>
      </c>
      <c r="E8">
        <f t="shared" si="1"/>
        <v>1289.4646515213337</v>
      </c>
      <c r="F8">
        <f t="shared" si="2"/>
        <v>31.082513301782676</v>
      </c>
      <c r="G8">
        <f t="shared" si="3"/>
        <v>217.57759311247872</v>
      </c>
      <c r="H8">
        <f t="shared" si="4"/>
        <v>0.67296127892879021</v>
      </c>
      <c r="I8">
        <f t="shared" si="5"/>
        <v>146.42129532722163</v>
      </c>
    </row>
    <row r="9" spans="1:9">
      <c r="A9">
        <v>8</v>
      </c>
      <c r="B9" s="1">
        <v>45792</v>
      </c>
      <c r="C9">
        <f t="shared" si="0"/>
        <v>2.4104975088003355E-2</v>
      </c>
      <c r="D9">
        <v>1.3443787354405794</v>
      </c>
      <c r="E9">
        <f t="shared" si="1"/>
        <v>1344.3787354405795</v>
      </c>
      <c r="F9">
        <f t="shared" si="2"/>
        <v>32.406215926636619</v>
      </c>
      <c r="G9">
        <f t="shared" si="3"/>
        <v>259.24972741309296</v>
      </c>
      <c r="H9">
        <f t="shared" si="4"/>
        <v>0.63594159256571758</v>
      </c>
      <c r="I9">
        <f t="shared" si="5"/>
        <v>164.86768452331052</v>
      </c>
    </row>
    <row r="10" spans="1:9">
      <c r="A10">
        <v>9</v>
      </c>
      <c r="B10" s="1">
        <v>45976</v>
      </c>
      <c r="C10">
        <f t="shared" si="0"/>
        <v>2.4104975088003355E-2</v>
      </c>
      <c r="D10">
        <v>1.3663574363987785</v>
      </c>
      <c r="E10">
        <f t="shared" si="1"/>
        <v>1366.3574363987784</v>
      </c>
      <c r="F10">
        <f t="shared" si="2"/>
        <v>32.936011965700686</v>
      </c>
      <c r="G10">
        <f t="shared" si="3"/>
        <v>296.42410769130618</v>
      </c>
      <c r="H10">
        <f t="shared" si="4"/>
        <v>0.60095836390285884</v>
      </c>
      <c r="I10">
        <f t="shared" si="5"/>
        <v>178.13854677953219</v>
      </c>
    </row>
    <row r="11" spans="1:9">
      <c r="A11">
        <v>10</v>
      </c>
      <c r="B11" s="1">
        <v>46157</v>
      </c>
      <c r="C11">
        <f t="shared" si="0"/>
        <v>2.4104975088003355E-2</v>
      </c>
      <c r="D11">
        <v>1.4244850740602659</v>
      </c>
      <c r="E11">
        <f t="shared" si="1"/>
        <v>1424.485074060266</v>
      </c>
      <c r="F11">
        <f t="shared" si="2"/>
        <v>34.337177223455328</v>
      </c>
      <c r="G11">
        <f t="shared" si="3"/>
        <v>343.3717722345533</v>
      </c>
      <c r="H11">
        <f t="shared" si="4"/>
        <v>0.56789956714064105</v>
      </c>
      <c r="I11">
        <f t="shared" si="5"/>
        <v>195.0006808203176</v>
      </c>
    </row>
    <row r="12" spans="1:9">
      <c r="A12">
        <v>11</v>
      </c>
      <c r="B12" s="1">
        <v>46341</v>
      </c>
      <c r="C12">
        <f t="shared" si="0"/>
        <v>2.4104975088003355E-2</v>
      </c>
      <c r="D12">
        <v>1.4478115303836279</v>
      </c>
      <c r="E12">
        <f t="shared" si="1"/>
        <v>1447.8115303836278</v>
      </c>
      <c r="F12">
        <f t="shared" si="2"/>
        <v>34.899460872021358</v>
      </c>
      <c r="G12">
        <f t="shared" si="3"/>
        <v>383.89406959223493</v>
      </c>
      <c r="H12">
        <f t="shared" si="4"/>
        <v>0.53665933903311003</v>
      </c>
      <c r="I12">
        <f t="shared" si="5"/>
        <v>206.02033764609953</v>
      </c>
    </row>
    <row r="13" spans="1:9">
      <c r="A13">
        <v>12</v>
      </c>
      <c r="B13" s="1">
        <v>46522</v>
      </c>
      <c r="C13">
        <f t="shared" si="0"/>
        <v>2.4104975088003355E-2</v>
      </c>
      <c r="D13">
        <v>1.5097591825435555</v>
      </c>
      <c r="E13">
        <f t="shared" si="1"/>
        <v>1509.7591825435554</v>
      </c>
      <c r="F13">
        <f t="shared" si="2"/>
        <v>36.392707484096711</v>
      </c>
      <c r="G13">
        <f t="shared" si="3"/>
        <v>436.7124898091605</v>
      </c>
      <c r="H13">
        <f t="shared" si="4"/>
        <v>0.50713763988506466</v>
      </c>
      <c r="I13">
        <f t="shared" si="5"/>
        <v>221.47334139014802</v>
      </c>
    </row>
    <row r="14" spans="1:9">
      <c r="A14">
        <v>13</v>
      </c>
      <c r="B14" s="1">
        <v>46706</v>
      </c>
      <c r="C14">
        <f t="shared" si="0"/>
        <v>2.4104975088003355E-2</v>
      </c>
      <c r="D14">
        <v>1.5346275537386815</v>
      </c>
      <c r="E14">
        <f t="shared" si="1"/>
        <v>1534.6275537386816</v>
      </c>
      <c r="F14">
        <f t="shared" si="2"/>
        <v>36.992158952234448</v>
      </c>
      <c r="G14">
        <f t="shared" si="3"/>
        <v>480.8980663790478</v>
      </c>
      <c r="H14">
        <f t="shared" si="4"/>
        <v>0.47923993319778213</v>
      </c>
      <c r="I14">
        <f t="shared" si="5"/>
        <v>230.46555720643747</v>
      </c>
    </row>
    <row r="15" spans="1:9">
      <c r="A15">
        <v>14</v>
      </c>
      <c r="B15" s="1">
        <v>46888</v>
      </c>
      <c r="C15">
        <f t="shared" si="0"/>
        <v>2.4104975088003355E-2</v>
      </c>
      <c r="D15">
        <v>1.6006991058467701</v>
      </c>
      <c r="E15">
        <f t="shared" si="1"/>
        <v>1600.6991058467702</v>
      </c>
      <c r="F15">
        <f t="shared" si="2"/>
        <v>38.584812069825638</v>
      </c>
      <c r="G15">
        <f t="shared" si="3"/>
        <v>540.18736897755889</v>
      </c>
      <c r="H15">
        <f t="shared" si="4"/>
        <v>0.45287688293747275</v>
      </c>
      <c r="I15">
        <f t="shared" si="5"/>
        <v>244.63837186475132</v>
      </c>
    </row>
    <row r="16" spans="1:9">
      <c r="A16">
        <v>15</v>
      </c>
      <c r="B16" s="1">
        <v>47072</v>
      </c>
      <c r="C16">
        <f t="shared" si="0"/>
        <v>2.4104975088003355E-2</v>
      </c>
      <c r="D16">
        <v>1.6272188106045542</v>
      </c>
      <c r="E16">
        <f t="shared" si="1"/>
        <v>1627.2188106045542</v>
      </c>
      <c r="F16">
        <f t="shared" si="2"/>
        <v>39.22406889235323</v>
      </c>
      <c r="G16">
        <f t="shared" si="3"/>
        <v>588.36103338529847</v>
      </c>
      <c r="H16">
        <f t="shared" si="4"/>
        <v>0.42796406745703691</v>
      </c>
      <c r="I16">
        <f t="shared" si="5"/>
        <v>251.79738098079781</v>
      </c>
    </row>
    <row r="17" spans="1:9">
      <c r="A17">
        <v>16</v>
      </c>
      <c r="B17" s="1">
        <v>47253</v>
      </c>
      <c r="C17">
        <f t="shared" si="0"/>
        <v>2.4104975088003355E-2</v>
      </c>
      <c r="D17">
        <v>1.697651428054737</v>
      </c>
      <c r="E17">
        <f t="shared" si="1"/>
        <v>1697.6514280547369</v>
      </c>
      <c r="F17">
        <f t="shared" si="2"/>
        <v>40.921845381372755</v>
      </c>
      <c r="G17">
        <f t="shared" si="3"/>
        <v>654.74952610196408</v>
      </c>
      <c r="H17">
        <f t="shared" si="4"/>
        <v>0.40442170915502107</v>
      </c>
      <c r="I17">
        <f t="shared" si="5"/>
        <v>264.79492241459639</v>
      </c>
    </row>
    <row r="18" spans="1:9">
      <c r="A18">
        <v>17</v>
      </c>
      <c r="B18" s="1">
        <v>47437</v>
      </c>
      <c r="C18">
        <f t="shared" si="0"/>
        <v>2.4104975088003355E-2</v>
      </c>
      <c r="D18">
        <v>1.7259144440682388</v>
      </c>
      <c r="E18">
        <f t="shared" si="1"/>
        <v>1725.9144440682387</v>
      </c>
      <c r="F18">
        <f t="shared" si="2"/>
        <v>41.603124678290051</v>
      </c>
      <c r="G18">
        <f t="shared" si="3"/>
        <v>707.25311953093092</v>
      </c>
      <c r="H18">
        <f t="shared" si="4"/>
        <v>0.38217441900607207</v>
      </c>
      <c r="I18">
        <f t="shared" si="5"/>
        <v>270.29405004696559</v>
      </c>
    </row>
    <row r="19" spans="1:9">
      <c r="A19">
        <v>18</v>
      </c>
      <c r="B19" s="1">
        <v>47618</v>
      </c>
      <c r="C19">
        <f t="shared" si="0"/>
        <v>2.4104975088003355E-2</v>
      </c>
      <c r="D19">
        <v>1.800939281037663</v>
      </c>
      <c r="E19">
        <f t="shared" si="1"/>
        <v>1800.939281037663</v>
      </c>
      <c r="F19">
        <f t="shared" si="2"/>
        <v>43.411596504419542</v>
      </c>
      <c r="G19">
        <f t="shared" si="3"/>
        <v>781.40873707955177</v>
      </c>
      <c r="H19">
        <f t="shared" si="4"/>
        <v>0.36115095514480089</v>
      </c>
      <c r="I19">
        <f t="shared" si="5"/>
        <v>282.20651175477269</v>
      </c>
    </row>
    <row r="20" spans="1:9">
      <c r="A20">
        <v>19</v>
      </c>
      <c r="B20" s="1">
        <v>47802</v>
      </c>
      <c r="C20">
        <f t="shared" si="0"/>
        <v>2.4104975088003355E-2</v>
      </c>
      <c r="D20">
        <v>1.8310397040038311</v>
      </c>
      <c r="E20">
        <f t="shared" si="1"/>
        <v>1831.039704003831</v>
      </c>
      <c r="F20">
        <f t="shared" si="2"/>
        <v>44.137166450157387</v>
      </c>
      <c r="G20">
        <f t="shared" si="3"/>
        <v>838.60616255299033</v>
      </c>
      <c r="H20">
        <f t="shared" si="4"/>
        <v>0.34128399472998133</v>
      </c>
      <c r="I20">
        <f t="shared" si="5"/>
        <v>286.20286116126459</v>
      </c>
    </row>
    <row r="21" spans="1:9">
      <c r="A21">
        <v>20</v>
      </c>
      <c r="B21" s="1">
        <v>47983</v>
      </c>
      <c r="C21">
        <f t="shared" si="0"/>
        <v>2.4104975088003355E-2</v>
      </c>
      <c r="D21">
        <v>1.9109127061905491</v>
      </c>
      <c r="E21">
        <f t="shared" si="1"/>
        <v>1910.912706190549</v>
      </c>
      <c r="F21">
        <f t="shared" si="2"/>
        <v>46.062503178072255</v>
      </c>
      <c r="G21">
        <f t="shared" si="3"/>
        <v>921.25006356144513</v>
      </c>
      <c r="H21">
        <f t="shared" si="4"/>
        <v>0.32250991835852738</v>
      </c>
      <c r="I21">
        <f t="shared" si="5"/>
        <v>297.11228278698985</v>
      </c>
    </row>
    <row r="22" spans="1:9">
      <c r="A22">
        <v>21</v>
      </c>
      <c r="B22" s="1">
        <v>48167</v>
      </c>
      <c r="C22">
        <f t="shared" si="0"/>
        <v>2.4104975088003355E-2</v>
      </c>
      <c r="D22">
        <v>1.9429592512503047</v>
      </c>
      <c r="E22">
        <f t="shared" si="1"/>
        <v>1942.9592512503048</v>
      </c>
      <c r="F22">
        <f t="shared" si="2"/>
        <v>46.834984348394251</v>
      </c>
      <c r="G22">
        <f t="shared" si="3"/>
        <v>983.53467131627929</v>
      </c>
      <c r="H22">
        <f t="shared" si="4"/>
        <v>0.30476860633888564</v>
      </c>
      <c r="I22">
        <f t="shared" si="5"/>
        <v>299.75049106303641</v>
      </c>
    </row>
    <row r="23" spans="1:9">
      <c r="A23">
        <v>22</v>
      </c>
      <c r="B23" s="1">
        <v>48349</v>
      </c>
      <c r="C23">
        <f t="shared" si="0"/>
        <v>2.4104975088003355E-2</v>
      </c>
      <c r="D23">
        <v>2.0279533448599367</v>
      </c>
      <c r="E23">
        <f t="shared" si="1"/>
        <v>2027.9533448599368</v>
      </c>
      <c r="F23">
        <f t="shared" si="2"/>
        <v>48.883764857481857</v>
      </c>
      <c r="G23">
        <f t="shared" si="3"/>
        <v>1075.4428268646009</v>
      </c>
      <c r="H23">
        <f t="shared" si="4"/>
        <v>0.28800324617145445</v>
      </c>
      <c r="I23">
        <f t="shared" si="5"/>
        <v>309.73102520881054</v>
      </c>
    </row>
    <row r="24" spans="1:9">
      <c r="A24">
        <v>23</v>
      </c>
      <c r="B24" s="1">
        <v>48533</v>
      </c>
      <c r="C24">
        <f t="shared" si="0"/>
        <v>2.4104975088003355E-2</v>
      </c>
      <c r="D24">
        <v>2.0620493839194287</v>
      </c>
      <c r="E24">
        <f t="shared" si="1"/>
        <v>2062.0493839194287</v>
      </c>
      <c r="F24">
        <f t="shared" si="2"/>
        <v>49.705649029610498</v>
      </c>
      <c r="G24">
        <f t="shared" si="3"/>
        <v>1143.2299276810415</v>
      </c>
      <c r="H24">
        <f t="shared" si="4"/>
        <v>0.27216015061953019</v>
      </c>
      <c r="I24">
        <f t="shared" si="5"/>
        <v>311.14162931042688</v>
      </c>
    </row>
    <row r="25" spans="1:9">
      <c r="A25">
        <v>24</v>
      </c>
      <c r="B25" s="1">
        <v>48714</v>
      </c>
      <c r="C25">
        <f t="shared" si="0"/>
        <v>2.4104975088003355E-2</v>
      </c>
      <c r="D25">
        <v>2.152460361692802</v>
      </c>
      <c r="E25">
        <f t="shared" si="1"/>
        <v>2152.4603616928021</v>
      </c>
      <c r="F25">
        <f t="shared" si="2"/>
        <v>51.885003396519686</v>
      </c>
      <c r="G25">
        <f t="shared" si="3"/>
        <v>1245.2400815164724</v>
      </c>
      <c r="H25">
        <f t="shared" si="4"/>
        <v>0.25718858578819354</v>
      </c>
      <c r="I25">
        <f t="shared" si="5"/>
        <v>320.2615355319964</v>
      </c>
    </row>
    <row r="26" spans="1:9">
      <c r="A26">
        <v>25</v>
      </c>
      <c r="B26" s="1">
        <v>48898</v>
      </c>
      <c r="C26">
        <f t="shared" si="0"/>
        <v>2.4104975088003355E-2</v>
      </c>
      <c r="D26">
        <v>2.1887259762162441</v>
      </c>
      <c r="E26">
        <f t="shared" si="1"/>
        <v>2188.7259762162439</v>
      </c>
      <c r="F26">
        <f t="shared" si="2"/>
        <v>52.759185131158382</v>
      </c>
      <c r="G26">
        <f t="shared" si="3"/>
        <v>1318.9796282789596</v>
      </c>
      <c r="H26">
        <f t="shared" si="4"/>
        <v>0.24304060866059929</v>
      </c>
      <c r="I26">
        <f t="shared" si="5"/>
        <v>320.56561166784934</v>
      </c>
    </row>
    <row r="27" spans="1:9">
      <c r="H27" t="s">
        <v>4</v>
      </c>
      <c r="I27">
        <f>SUM(I2:I26)</f>
        <v>5274.4372137402579</v>
      </c>
    </row>
    <row r="28" spans="1:9">
      <c r="A28" t="s">
        <v>98</v>
      </c>
      <c r="B28" s="8">
        <v>1000</v>
      </c>
      <c r="H28" t="s">
        <v>5</v>
      </c>
      <c r="I28">
        <f>(A26*B30)*H26</f>
        <v>13298.732336271507</v>
      </c>
    </row>
    <row r="29" spans="1:9">
      <c r="A29" t="s">
        <v>79</v>
      </c>
      <c r="B29" s="13">
        <v>4.8791000000000001E-2</v>
      </c>
      <c r="H29" t="s">
        <v>6</v>
      </c>
      <c r="I29">
        <f>SUM(I27:I28)</f>
        <v>18573.169550011764</v>
      </c>
    </row>
    <row r="30" spans="1:9">
      <c r="A30" t="s">
        <v>111</v>
      </c>
      <c r="B30">
        <f>B28*D26</f>
        <v>2188.7259762162439</v>
      </c>
      <c r="H30" t="s">
        <v>89</v>
      </c>
      <c r="I30">
        <f>(I29/B31)/2</f>
        <v>9.4256152006857921</v>
      </c>
    </row>
    <row r="31" spans="1:9">
      <c r="A31" t="s">
        <v>90</v>
      </c>
      <c r="B31">
        <v>985.24972400000001</v>
      </c>
      <c r="H31" t="s">
        <v>18</v>
      </c>
      <c r="I31">
        <f>I30/(1+B32)</f>
        <v>8.9071108982334675</v>
      </c>
    </row>
    <row r="32" spans="1:9">
      <c r="A32" t="s">
        <v>101</v>
      </c>
      <c r="B32">
        <v>5.8212399999999997E-2</v>
      </c>
    </row>
    <row r="33" spans="1:2">
      <c r="A33" t="s">
        <v>119</v>
      </c>
      <c r="B33">
        <f>F3/B31</f>
        <v>2.7335974389884023E-2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7740A-3803-4AFC-AAB2-84A7B4109260}">
  <dimension ref="A1:N27"/>
  <sheetViews>
    <sheetView topLeftCell="A16" workbookViewId="0">
      <selection activeCell="B27" sqref="B27"/>
    </sheetView>
  </sheetViews>
  <sheetFormatPr defaultRowHeight="15"/>
  <cols>
    <col min="2" max="2" width="11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44545</v>
      </c>
      <c r="C2">
        <f>(1+$B$23)^(1/2)-1</f>
        <v>2.9401768018687768E-2</v>
      </c>
      <c r="D2">
        <v>1.0662917648051684</v>
      </c>
      <c r="E2">
        <f>$B$22*D2</f>
        <v>1066.2917648051684</v>
      </c>
      <c r="F2">
        <f>C2*E2</f>
        <v>31.350863109038741</v>
      </c>
      <c r="G2">
        <f>A2*F2</f>
        <v>31.350863109038741</v>
      </c>
      <c r="H2">
        <f>(1+$B$26)^(-A2)</f>
        <v>0.94410643493410573</v>
      </c>
      <c r="I2">
        <f>G2*H2</f>
        <v>29.59855160198174</v>
      </c>
    </row>
    <row r="3" spans="1:9">
      <c r="A3">
        <v>2</v>
      </c>
      <c r="B3" s="1">
        <v>44727</v>
      </c>
      <c r="C3">
        <f t="shared" ref="C3:C20" si="0">(1+$B$23)^(1/2)-1</f>
        <v>2.9401768018687768E-2</v>
      </c>
      <c r="D3">
        <v>1.1247972928456398</v>
      </c>
      <c r="E3">
        <f t="shared" ref="E3:E20" si="1">$B$22*D3</f>
        <v>1124.7972928456397</v>
      </c>
      <c r="F3">
        <f t="shared" ref="F3:F20" si="2">C3*E3</f>
        <v>33.071029072295509</v>
      </c>
      <c r="G3">
        <f t="shared" ref="G3:G20" si="3">A3*F3</f>
        <v>66.142058144591019</v>
      </c>
      <c r="H3">
        <f t="shared" ref="H3:H20" si="4">(1+$B$26)^(-A3)</f>
        <v>0.89133696048398681</v>
      </c>
      <c r="I3">
        <f t="shared" ref="I3:I20" si="5">G3*H3</f>
        <v>58.95486106675488</v>
      </c>
    </row>
    <row r="4" spans="1:9">
      <c r="A4">
        <v>3</v>
      </c>
      <c r="B4" s="1">
        <v>44910</v>
      </c>
      <c r="C4">
        <f t="shared" si="0"/>
        <v>2.9401768018687768E-2</v>
      </c>
      <c r="D4">
        <v>1.1460557846539452</v>
      </c>
      <c r="E4">
        <f t="shared" si="1"/>
        <v>1146.0557846539452</v>
      </c>
      <c r="F4">
        <f t="shared" si="2"/>
        <v>33.696066316870485</v>
      </c>
      <c r="G4">
        <f t="shared" si="3"/>
        <v>101.08819895061146</v>
      </c>
      <c r="H4">
        <f t="shared" si="4"/>
        <v>0.84151696008753862</v>
      </c>
      <c r="I4">
        <f t="shared" si="5"/>
        <v>85.06743388164287</v>
      </c>
    </row>
    <row r="5" spans="1:9">
      <c r="A5">
        <v>4</v>
      </c>
      <c r="B5" s="1">
        <v>45092</v>
      </c>
      <c r="C5">
        <f t="shared" si="0"/>
        <v>2.9401768018687768E-2</v>
      </c>
      <c r="D5">
        <v>1.1978941350471015</v>
      </c>
      <c r="E5">
        <f t="shared" si="1"/>
        <v>1197.8941350471016</v>
      </c>
      <c r="F5">
        <f t="shared" si="2"/>
        <v>35.220205469601517</v>
      </c>
      <c r="G5">
        <f t="shared" si="3"/>
        <v>140.88082187840607</v>
      </c>
      <c r="H5">
        <f t="shared" si="4"/>
        <v>0.79448157712483214</v>
      </c>
      <c r="I5">
        <f t="shared" si="5"/>
        <v>111.92721755259861</v>
      </c>
    </row>
    <row r="6" spans="1:9">
      <c r="A6">
        <v>5</v>
      </c>
      <c r="B6" s="1">
        <v>45275</v>
      </c>
      <c r="C6">
        <f t="shared" si="0"/>
        <v>2.9401768018687768E-2</v>
      </c>
      <c r="D6">
        <v>1.2316977582090953</v>
      </c>
      <c r="E6">
        <f t="shared" si="1"/>
        <v>1231.6977582090954</v>
      </c>
      <c r="F6">
        <f t="shared" si="2"/>
        <v>36.214091756001601</v>
      </c>
      <c r="G6">
        <f t="shared" si="3"/>
        <v>181.07045878000801</v>
      </c>
      <c r="H6">
        <f t="shared" si="4"/>
        <v>0.75007516940015118</v>
      </c>
      <c r="I6">
        <f t="shared" si="5"/>
        <v>135.81645504277759</v>
      </c>
    </row>
    <row r="7" spans="1:9">
      <c r="A7">
        <v>6</v>
      </c>
      <c r="B7" s="1">
        <v>45458</v>
      </c>
      <c r="C7">
        <f t="shared" si="0"/>
        <v>2.9401768018687768E-2</v>
      </c>
      <c r="D7">
        <v>1.2726543944207185</v>
      </c>
      <c r="E7">
        <f t="shared" si="1"/>
        <v>1272.6543944207185</v>
      </c>
      <c r="F7">
        <f t="shared" si="2"/>
        <v>37.41828927272153</v>
      </c>
      <c r="G7">
        <f t="shared" si="3"/>
        <v>224.5097356363292</v>
      </c>
      <c r="H7">
        <f t="shared" si="4"/>
        <v>0.70815079411497206</v>
      </c>
      <c r="I7">
        <f t="shared" si="5"/>
        <v>158.98674757740895</v>
      </c>
    </row>
    <row r="8" spans="1:9">
      <c r="A8">
        <v>7</v>
      </c>
      <c r="B8" s="1">
        <v>45641</v>
      </c>
      <c r="C8">
        <f t="shared" si="0"/>
        <v>2.9401768018687768E-2</v>
      </c>
      <c r="D8">
        <v>1.306695785993234</v>
      </c>
      <c r="E8">
        <f t="shared" si="1"/>
        <v>1306.695785993234</v>
      </c>
      <c r="F8">
        <f t="shared" si="2"/>
        <v>38.419166370769943</v>
      </c>
      <c r="G8">
        <f t="shared" si="3"/>
        <v>268.93416459538957</v>
      </c>
      <c r="H8">
        <f t="shared" si="4"/>
        <v>0.66856972162764228</v>
      </c>
      <c r="I8">
        <f t="shared" si="5"/>
        <v>179.80123955970214</v>
      </c>
    </row>
    <row r="9" spans="1:9">
      <c r="A9">
        <v>8</v>
      </c>
      <c r="B9" s="1">
        <v>45823</v>
      </c>
      <c r="C9">
        <f t="shared" si="0"/>
        <v>2.9401768018687768E-2</v>
      </c>
      <c r="D9">
        <v>1.3488236720565172</v>
      </c>
      <c r="E9">
        <f t="shared" si="1"/>
        <v>1348.8236720565171</v>
      </c>
      <c r="F9">
        <f t="shared" si="2"/>
        <v>39.657800703920302</v>
      </c>
      <c r="G9">
        <f t="shared" si="3"/>
        <v>317.26240563136241</v>
      </c>
      <c r="H9">
        <f t="shared" si="4"/>
        <v>0.63120097639076067</v>
      </c>
      <c r="I9">
        <f t="shared" si="5"/>
        <v>200.25634020659751</v>
      </c>
    </row>
    <row r="10" spans="1:9">
      <c r="A10">
        <v>9</v>
      </c>
      <c r="B10" s="1">
        <v>46006</v>
      </c>
      <c r="C10">
        <f t="shared" si="0"/>
        <v>2.9401768018687768E-2</v>
      </c>
      <c r="D10">
        <v>1.3845972461717659</v>
      </c>
      <c r="E10">
        <f t="shared" si="1"/>
        <v>1384.5972461717658</v>
      </c>
      <c r="F10">
        <f t="shared" si="2"/>
        <v>40.709607031256184</v>
      </c>
      <c r="G10">
        <f t="shared" si="3"/>
        <v>366.38646328130562</v>
      </c>
      <c r="H10">
        <f t="shared" si="4"/>
        <v>0.59592090354720773</v>
      </c>
      <c r="I10">
        <f t="shared" si="5"/>
        <v>218.3373522460615</v>
      </c>
    </row>
    <row r="11" spans="1:9">
      <c r="A11">
        <v>10</v>
      </c>
      <c r="B11" s="1">
        <v>46188</v>
      </c>
      <c r="C11">
        <f t="shared" si="0"/>
        <v>2.9401768018687768E-2</v>
      </c>
      <c r="D11">
        <v>1.4291900064864909</v>
      </c>
      <c r="E11">
        <f t="shared" si="1"/>
        <v>1429.1900064864908</v>
      </c>
      <c r="F11">
        <f t="shared" si="2"/>
        <v>42.020713025342673</v>
      </c>
      <c r="G11">
        <f t="shared" si="3"/>
        <v>420.20713025342673</v>
      </c>
      <c r="H11">
        <f t="shared" si="4"/>
        <v>0.56261275975066527</v>
      </c>
      <c r="I11">
        <f t="shared" si="5"/>
        <v>236.41389321878768</v>
      </c>
    </row>
    <row r="12" spans="1:9">
      <c r="A12">
        <v>11</v>
      </c>
      <c r="B12" s="1">
        <v>46371</v>
      </c>
      <c r="C12">
        <f t="shared" si="0"/>
        <v>2.9401768018687768E-2</v>
      </c>
      <c r="D12">
        <v>1.4672481771748824</v>
      </c>
      <c r="E12">
        <f t="shared" si="1"/>
        <v>1467.2481771748824</v>
      </c>
      <c r="F12">
        <f t="shared" si="2"/>
        <v>43.139690531138378</v>
      </c>
      <c r="G12">
        <f t="shared" si="3"/>
        <v>474.53659584252216</v>
      </c>
      <c r="H12">
        <f t="shared" si="4"/>
        <v>0.53116632685663911</v>
      </c>
      <c r="I12">
        <f t="shared" si="5"/>
        <v>252.05786057272599</v>
      </c>
    </row>
    <row r="13" spans="1:9">
      <c r="A13">
        <v>12</v>
      </c>
      <c r="B13" s="1">
        <v>46553</v>
      </c>
      <c r="C13">
        <f t="shared" si="0"/>
        <v>2.9401768018687768E-2</v>
      </c>
      <c r="D13">
        <v>1.5147740158169085</v>
      </c>
      <c r="E13">
        <f t="shared" si="1"/>
        <v>1514.7740158169086</v>
      </c>
      <c r="F13">
        <f t="shared" si="2"/>
        <v>44.537034213784821</v>
      </c>
      <c r="G13">
        <f t="shared" si="3"/>
        <v>534.44441056541791</v>
      </c>
      <c r="H13">
        <f t="shared" si="4"/>
        <v>0.50147754720566551</v>
      </c>
      <c r="I13">
        <f t="shared" si="5"/>
        <v>268.01187212812346</v>
      </c>
    </row>
    <row r="14" spans="1:9">
      <c r="A14">
        <v>13</v>
      </c>
      <c r="B14" s="1">
        <v>46736</v>
      </c>
      <c r="C14">
        <f t="shared" si="0"/>
        <v>2.9401768018687768E-2</v>
      </c>
      <c r="D14">
        <v>1.5553559753908464</v>
      </c>
      <c r="E14">
        <f t="shared" si="1"/>
        <v>1555.3559753908464</v>
      </c>
      <c r="F14">
        <f t="shared" si="2"/>
        <v>45.730215574921509</v>
      </c>
      <c r="G14">
        <f t="shared" si="3"/>
        <v>594.49280247397962</v>
      </c>
      <c r="H14">
        <f t="shared" si="4"/>
        <v>0.47344817929184063</v>
      </c>
      <c r="I14">
        <f t="shared" si="5"/>
        <v>281.4615349334095</v>
      </c>
    </row>
    <row r="15" spans="1:9">
      <c r="A15">
        <v>14</v>
      </c>
      <c r="B15" s="1">
        <v>46919</v>
      </c>
      <c r="C15">
        <f t="shared" si="0"/>
        <v>2.9401768018687768E-2</v>
      </c>
      <c r="D15">
        <v>1.6060485967409999</v>
      </c>
      <c r="E15">
        <f t="shared" si="1"/>
        <v>1606.0485967409998</v>
      </c>
      <c r="F15">
        <f t="shared" si="2"/>
        <v>47.220668268117898</v>
      </c>
      <c r="G15">
        <f t="shared" si="3"/>
        <v>661.08935575365058</v>
      </c>
      <c r="H15">
        <f t="shared" si="4"/>
        <v>0.44698547267726285</v>
      </c>
      <c r="I15">
        <f t="shared" si="5"/>
        <v>295.4973381634527</v>
      </c>
    </row>
    <row r="16" spans="1:9">
      <c r="A16">
        <v>15</v>
      </c>
      <c r="B16" s="1">
        <v>47102</v>
      </c>
      <c r="C16">
        <f t="shared" si="0"/>
        <v>2.9401768018687768E-2</v>
      </c>
      <c r="D16">
        <v>1.6493134498208175</v>
      </c>
      <c r="E16">
        <f t="shared" si="1"/>
        <v>1649.3134498208176</v>
      </c>
      <c r="F16">
        <f t="shared" si="2"/>
        <v>48.492731441733305</v>
      </c>
      <c r="G16">
        <f t="shared" si="3"/>
        <v>727.39097162599955</v>
      </c>
      <c r="H16">
        <f t="shared" si="4"/>
        <v>0.42200186107666687</v>
      </c>
      <c r="I16">
        <f t="shared" si="5"/>
        <v>306.96034375653682</v>
      </c>
    </row>
    <row r="17" spans="1:14">
      <c r="A17">
        <v>16</v>
      </c>
      <c r="B17" s="1">
        <v>47284</v>
      </c>
      <c r="C17">
        <f t="shared" si="0"/>
        <v>2.9401768018687768E-2</v>
      </c>
      <c r="D17">
        <v>1.7033547644618299</v>
      </c>
      <c r="E17">
        <f t="shared" si="1"/>
        <v>1703.35476446183</v>
      </c>
      <c r="F17">
        <f t="shared" si="2"/>
        <v>50.081641638233272</v>
      </c>
      <c r="G17">
        <f t="shared" si="3"/>
        <v>801.30626621173235</v>
      </c>
      <c r="H17">
        <f t="shared" si="4"/>
        <v>0.39841467259664964</v>
      </c>
      <c r="I17">
        <f t="shared" si="5"/>
        <v>319.25217370239113</v>
      </c>
    </row>
    <row r="18" spans="1:14">
      <c r="A18">
        <v>17</v>
      </c>
      <c r="B18" s="1">
        <v>47467</v>
      </c>
      <c r="C18">
        <f t="shared" si="0"/>
        <v>2.9401768018687768E-2</v>
      </c>
      <c r="D18">
        <v>1.7494479705171664</v>
      </c>
      <c r="E18">
        <f t="shared" si="1"/>
        <v>1749.4479705171664</v>
      </c>
      <c r="F18">
        <f t="shared" si="2"/>
        <v>51.436863389909846</v>
      </c>
      <c r="G18">
        <f t="shared" si="3"/>
        <v>874.42667762846736</v>
      </c>
      <c r="H18">
        <f t="shared" si="4"/>
        <v>0.37614585617066182</v>
      </c>
      <c r="I18">
        <f t="shared" si="5"/>
        <v>328.91197131502713</v>
      </c>
    </row>
    <row r="19" spans="1:14">
      <c r="A19">
        <v>18</v>
      </c>
      <c r="B19" s="1">
        <v>47649</v>
      </c>
      <c r="C19">
        <f t="shared" si="0"/>
        <v>2.9401768018687768E-2</v>
      </c>
      <c r="D19">
        <v>1.8070151209859342</v>
      </c>
      <c r="E19">
        <f t="shared" si="1"/>
        <v>1807.0151209859341</v>
      </c>
      <c r="F19">
        <f t="shared" si="2"/>
        <v>53.129439393489449</v>
      </c>
      <c r="G19">
        <f t="shared" si="3"/>
        <v>956.3299090828101</v>
      </c>
      <c r="H19">
        <f t="shared" si="4"/>
        <v>0.35512172328452046</v>
      </c>
      <c r="I19">
        <f t="shared" si="5"/>
        <v>339.61352534201632</v>
      </c>
    </row>
    <row r="20" spans="1:14">
      <c r="A20">
        <v>19</v>
      </c>
      <c r="B20" s="1">
        <v>47832</v>
      </c>
      <c r="C20">
        <f t="shared" si="0"/>
        <v>2.9401768018687768E-2</v>
      </c>
      <c r="D20">
        <v>1.8560925142477656</v>
      </c>
      <c r="E20">
        <f t="shared" si="1"/>
        <v>1856.0925142477656</v>
      </c>
      <c r="F20">
        <f t="shared" si="2"/>
        <v>54.572401525135724</v>
      </c>
      <c r="G20">
        <f t="shared" si="3"/>
        <v>1036.8756289775788</v>
      </c>
      <c r="H20">
        <f t="shared" si="4"/>
        <v>0.33527270413780458</v>
      </c>
      <c r="I20">
        <f t="shared" si="5"/>
        <v>347.63609598189981</v>
      </c>
    </row>
    <row r="21" spans="1:14">
      <c r="H21" t="s">
        <v>4</v>
      </c>
      <c r="I21">
        <f>SUM(I2:I20)</f>
        <v>4154.5628078498967</v>
      </c>
    </row>
    <row r="22" spans="1:14">
      <c r="A22" t="s">
        <v>98</v>
      </c>
      <c r="B22" s="8">
        <v>1000</v>
      </c>
      <c r="H22" t="s">
        <v>5</v>
      </c>
      <c r="I22">
        <f>(A20*B24)*H20</f>
        <v>11823.645971253914</v>
      </c>
    </row>
    <row r="23" spans="1:14">
      <c r="A23" t="s">
        <v>79</v>
      </c>
      <c r="B23" s="13">
        <v>5.9667999999999999E-2</v>
      </c>
      <c r="H23" t="s">
        <v>6</v>
      </c>
      <c r="I23">
        <f>SUM(I21:I22)</f>
        <v>15978.20877910381</v>
      </c>
    </row>
    <row r="24" spans="1:14">
      <c r="A24" t="s">
        <v>111</v>
      </c>
      <c r="B24">
        <f>B22*D20</f>
        <v>1856.0925142477656</v>
      </c>
      <c r="H24" t="s">
        <v>89</v>
      </c>
      <c r="I24">
        <f>(I23/B25)/2</f>
        <v>7.4167125799817155</v>
      </c>
    </row>
    <row r="25" spans="1:14">
      <c r="A25" t="s">
        <v>90</v>
      </c>
      <c r="B25">
        <v>1077.1759460000001</v>
      </c>
      <c r="H25" t="s">
        <v>18</v>
      </c>
      <c r="I25">
        <f>I24/(1+B26)</f>
        <v>7.0021660728174711</v>
      </c>
      <c r="N25" s="6"/>
    </row>
    <row r="26" spans="1:14">
      <c r="A26" t="s">
        <v>101</v>
      </c>
      <c r="B26">
        <v>5.9202610000000003E-2</v>
      </c>
    </row>
    <row r="27" spans="1:14">
      <c r="A27" t="s">
        <v>119</v>
      </c>
      <c r="B27">
        <f>F3/B25</f>
        <v>3.070160375851496E-2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75470-0853-4FD4-B786-C1EACC84ED25}">
  <dimension ref="A1:N32"/>
  <sheetViews>
    <sheetView topLeftCell="A25" workbookViewId="0">
      <selection activeCell="B28" sqref="B28"/>
    </sheetView>
  </sheetViews>
  <sheetFormatPr defaultRowHeight="15"/>
  <cols>
    <col min="2" max="2" width="10.7109375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44545</v>
      </c>
      <c r="C2">
        <f>(1+$B$24)^(1/2)-1</f>
        <v>2.3572176253340738E-2</v>
      </c>
      <c r="D2">
        <v>1.0784749266110556</v>
      </c>
      <c r="E2">
        <f>$B$23*D2</f>
        <v>1078.4749266110557</v>
      </c>
      <c r="F2">
        <f>C2*E2</f>
        <v>25.422001054884522</v>
      </c>
      <c r="G2">
        <f>A2*F2</f>
        <v>25.422001054884522</v>
      </c>
      <c r="H2">
        <f>(1+$B$27)^(-A2)</f>
        <v>0.94677463091245484</v>
      </c>
      <c r="I2">
        <f>G2*H2</f>
        <v>24.068905665794329</v>
      </c>
    </row>
    <row r="3" spans="1:9">
      <c r="A3">
        <v>2</v>
      </c>
      <c r="B3" s="1">
        <v>44727</v>
      </c>
      <c r="C3">
        <f t="shared" ref="C3:C21" si="0">(1+$B$24)^(1/2)-1</f>
        <v>2.3572176253340738E-2</v>
      </c>
      <c r="D3">
        <v>1.1376489230184248</v>
      </c>
      <c r="E3">
        <f t="shared" ref="E3:E21" si="1">$B$23*D3</f>
        <v>1137.6489230184247</v>
      </c>
      <c r="F3">
        <f t="shared" ref="F3:F21" si="2">C3*E3</f>
        <v>26.816860927813575</v>
      </c>
      <c r="G3">
        <f t="shared" ref="G3:G21" si="3">A3*F3</f>
        <v>53.633721855627151</v>
      </c>
      <c r="H3">
        <f t="shared" ref="H3:H21" si="4">(1+$B$27)^(-A3)</f>
        <v>0.89638220173941519</v>
      </c>
      <c r="I3">
        <f t="shared" ref="I3:I21" si="5">G3*H3</f>
        <v>48.076313684426459</v>
      </c>
    </row>
    <row r="4" spans="1:9">
      <c r="A4">
        <v>3</v>
      </c>
      <c r="B4" s="1">
        <v>44910</v>
      </c>
      <c r="C4">
        <f t="shared" si="0"/>
        <v>2.3572176253340738E-2</v>
      </c>
      <c r="D4">
        <v>1.1591503086143393</v>
      </c>
      <c r="E4">
        <f t="shared" si="1"/>
        <v>1159.1503086143393</v>
      </c>
      <c r="F4">
        <f t="shared" si="2"/>
        <v>27.323695378771518</v>
      </c>
      <c r="G4">
        <f t="shared" si="3"/>
        <v>81.971086136314554</v>
      </c>
      <c r="H4">
        <f t="shared" si="4"/>
        <v>0.84867192820832837</v>
      </c>
      <c r="I4">
        <f t="shared" si="5"/>
        <v>69.566559728637046</v>
      </c>
    </row>
    <row r="5" spans="1:9">
      <c r="A5">
        <v>4</v>
      </c>
      <c r="B5" s="1">
        <v>45092</v>
      </c>
      <c r="C5">
        <f t="shared" si="0"/>
        <v>2.3572176253340738E-2</v>
      </c>
      <c r="D5">
        <v>1.211580950002733</v>
      </c>
      <c r="E5">
        <f t="shared" si="1"/>
        <v>1211.5809500027331</v>
      </c>
      <c r="F5">
        <f t="shared" si="2"/>
        <v>28.559599698654434</v>
      </c>
      <c r="G5">
        <f t="shared" si="3"/>
        <v>114.23839879461774</v>
      </c>
      <c r="H5">
        <f t="shared" si="4"/>
        <v>0.80350105159520169</v>
      </c>
      <c r="I5">
        <f t="shared" si="5"/>
        <v>91.790673564027372</v>
      </c>
    </row>
    <row r="6" spans="1:9">
      <c r="A6">
        <v>5</v>
      </c>
      <c r="B6" s="1">
        <v>45275</v>
      </c>
      <c r="C6">
        <f t="shared" si="0"/>
        <v>2.3572176253340738E-2</v>
      </c>
      <c r="D6">
        <v>1.2457708042359974</v>
      </c>
      <c r="E6">
        <f t="shared" si="1"/>
        <v>1245.7708042359975</v>
      </c>
      <c r="F6">
        <f t="shared" si="2"/>
        <v>29.365528968716973</v>
      </c>
      <c r="G6">
        <f t="shared" si="3"/>
        <v>146.82764484358486</v>
      </c>
      <c r="H6">
        <f t="shared" si="4"/>
        <v>0.76073441156181643</v>
      </c>
      <c r="I6">
        <f t="shared" si="5"/>
        <v>111.69684200109189</v>
      </c>
    </row>
    <row r="7" spans="1:9">
      <c r="A7">
        <v>6</v>
      </c>
      <c r="B7" s="1">
        <v>45458</v>
      </c>
      <c r="C7">
        <f t="shared" si="0"/>
        <v>2.3572176253340738E-2</v>
      </c>
      <c r="D7">
        <v>1.2871953999146828</v>
      </c>
      <c r="E7">
        <f t="shared" si="1"/>
        <v>1287.1953999146829</v>
      </c>
      <c r="F7">
        <f t="shared" si="2"/>
        <v>30.34199683927832</v>
      </c>
      <c r="G7">
        <f t="shared" si="3"/>
        <v>182.05198103566991</v>
      </c>
      <c r="H7">
        <f t="shared" si="4"/>
        <v>0.72024404172884227</v>
      </c>
      <c r="I7">
        <f t="shared" si="5"/>
        <v>131.12185462587345</v>
      </c>
    </row>
    <row r="8" spans="1:9">
      <c r="A8">
        <v>7</v>
      </c>
      <c r="B8" s="1">
        <v>45641</v>
      </c>
      <c r="C8">
        <f t="shared" si="0"/>
        <v>2.3572176253340738E-2</v>
      </c>
      <c r="D8">
        <v>1.3216257392361299</v>
      </c>
      <c r="E8">
        <f t="shared" si="1"/>
        <v>1321.6257392361299</v>
      </c>
      <c r="F8">
        <f t="shared" si="2"/>
        <v>31.153594866225799</v>
      </c>
      <c r="G8">
        <f t="shared" si="3"/>
        <v>218.07516406358059</v>
      </c>
      <c r="H8">
        <f t="shared" si="4"/>
        <v>0.68190878677471933</v>
      </c>
      <c r="I8">
        <f t="shared" si="5"/>
        <v>148.70737055229412</v>
      </c>
    </row>
    <row r="9" spans="1:9">
      <c r="A9">
        <v>8</v>
      </c>
      <c r="B9" s="1">
        <v>45823</v>
      </c>
      <c r="C9">
        <f t="shared" si="0"/>
        <v>2.3572176253340738E-2</v>
      </c>
      <c r="D9">
        <v>1.3642349671510428</v>
      </c>
      <c r="E9">
        <f t="shared" si="1"/>
        <v>1364.2349671510428</v>
      </c>
      <c r="F9">
        <f t="shared" si="2"/>
        <v>32.157987096654892</v>
      </c>
      <c r="G9">
        <f t="shared" si="3"/>
        <v>257.26389677323914</v>
      </c>
      <c r="H9">
        <f t="shared" si="4"/>
        <v>0.64561393991459493</v>
      </c>
      <c r="I9">
        <f t="shared" si="5"/>
        <v>166.09315799355255</v>
      </c>
    </row>
    <row r="10" spans="1:9">
      <c r="A10">
        <v>9</v>
      </c>
      <c r="B10" s="1">
        <v>46006</v>
      </c>
      <c r="C10">
        <f t="shared" si="0"/>
        <v>2.3572176253340738E-2</v>
      </c>
      <c r="D10">
        <v>1.400417280465267</v>
      </c>
      <c r="E10">
        <f t="shared" si="1"/>
        <v>1400.4172804652671</v>
      </c>
      <c r="F10">
        <f t="shared" si="2"/>
        <v>33.010882963351385</v>
      </c>
      <c r="G10">
        <f t="shared" si="3"/>
        <v>297.09794667016246</v>
      </c>
      <c r="H10">
        <f t="shared" si="4"/>
        <v>0.61125089967457646</v>
      </c>
      <c r="I10">
        <f t="shared" si="5"/>
        <v>181.60138719360614</v>
      </c>
    </row>
    <row r="11" spans="1:9">
      <c r="A11">
        <v>10</v>
      </c>
      <c r="B11" s="1">
        <v>46188</v>
      </c>
      <c r="C11">
        <f t="shared" si="0"/>
        <v>2.3572176253340738E-2</v>
      </c>
      <c r="D11">
        <v>1.4455195456193028</v>
      </c>
      <c r="E11">
        <f t="shared" si="1"/>
        <v>1445.5195456193028</v>
      </c>
      <c r="F11">
        <f t="shared" si="2"/>
        <v>34.074041506987221</v>
      </c>
      <c r="G11">
        <f t="shared" si="3"/>
        <v>340.7404150698722</v>
      </c>
      <c r="H11">
        <f t="shared" si="4"/>
        <v>0.57871684493430309</v>
      </c>
      <c r="I11">
        <f t="shared" si="5"/>
        <v>197.1922179508413</v>
      </c>
    </row>
    <row r="12" spans="1:9">
      <c r="A12">
        <v>11</v>
      </c>
      <c r="B12" s="1">
        <v>46371</v>
      </c>
      <c r="C12">
        <f t="shared" si="0"/>
        <v>2.3572176253340738E-2</v>
      </c>
      <c r="D12">
        <v>1.4840125586902742</v>
      </c>
      <c r="E12">
        <f t="shared" si="1"/>
        <v>1484.0125586902741</v>
      </c>
      <c r="F12">
        <f t="shared" si="2"/>
        <v>34.981405595618305</v>
      </c>
      <c r="G12">
        <f t="shared" si="3"/>
        <v>384.79546155180134</v>
      </c>
      <c r="H12">
        <f t="shared" si="4"/>
        <v>0.54791442726549522</v>
      </c>
      <c r="I12">
        <f t="shared" si="5"/>
        <v>210.83498493051712</v>
      </c>
    </row>
    <row r="13" spans="1:9">
      <c r="A13">
        <v>12</v>
      </c>
      <c r="B13" s="1">
        <v>46553</v>
      </c>
      <c r="C13">
        <f t="shared" si="0"/>
        <v>2.3572176253340738E-2</v>
      </c>
      <c r="D13">
        <v>1.5320814147326478</v>
      </c>
      <c r="E13">
        <f t="shared" si="1"/>
        <v>1532.0814147326478</v>
      </c>
      <c r="F13">
        <f t="shared" si="2"/>
        <v>36.114493142545605</v>
      </c>
      <c r="G13">
        <f t="shared" si="3"/>
        <v>433.37391771054729</v>
      </c>
      <c r="H13">
        <f t="shared" si="4"/>
        <v>0.51875147964589841</v>
      </c>
      <c r="I13">
        <f t="shared" si="5"/>
        <v>224.81336105228621</v>
      </c>
    </row>
    <row r="14" spans="1:9">
      <c r="A14">
        <v>13</v>
      </c>
      <c r="B14" s="1">
        <v>46736</v>
      </c>
      <c r="C14">
        <f t="shared" si="0"/>
        <v>2.3572176253340738E-2</v>
      </c>
      <c r="D14">
        <v>1.5731270528195485</v>
      </c>
      <c r="E14">
        <f t="shared" si="1"/>
        <v>1573.1270528195485</v>
      </c>
      <c r="F14">
        <f t="shared" si="2"/>
        <v>37.082028157960863</v>
      </c>
      <c r="G14">
        <f t="shared" si="3"/>
        <v>482.06636605349121</v>
      </c>
      <c r="H14">
        <f t="shared" si="4"/>
        <v>0.49114074067703523</v>
      </c>
      <c r="I14">
        <f t="shared" si="5"/>
        <v>236.76243207899847</v>
      </c>
    </row>
    <row r="15" spans="1:9">
      <c r="A15">
        <v>14</v>
      </c>
      <c r="B15" s="1">
        <v>46919</v>
      </c>
      <c r="C15">
        <f t="shared" si="0"/>
        <v>2.3572176253340738E-2</v>
      </c>
      <c r="D15">
        <v>1.6243988743742412</v>
      </c>
      <c r="E15">
        <f t="shared" si="1"/>
        <v>1624.3988743742411</v>
      </c>
      <c r="F15">
        <f t="shared" si="2"/>
        <v>38.290616572477909</v>
      </c>
      <c r="G15">
        <f t="shared" si="3"/>
        <v>536.06863201469071</v>
      </c>
      <c r="H15">
        <f t="shared" si="4"/>
        <v>0.4649995934805698</v>
      </c>
      <c r="I15">
        <f t="shared" si="5"/>
        <v>249.27169596451634</v>
      </c>
    </row>
    <row r="16" spans="1:9">
      <c r="A16">
        <v>15</v>
      </c>
      <c r="B16" s="1">
        <v>47102</v>
      </c>
      <c r="C16">
        <f t="shared" si="0"/>
        <v>2.3572176253340738E-2</v>
      </c>
      <c r="D16">
        <v>1.6681580599838388</v>
      </c>
      <c r="E16">
        <f t="shared" si="1"/>
        <v>1668.1580599838387</v>
      </c>
      <c r="F16">
        <f t="shared" si="2"/>
        <v>39.322115808369993</v>
      </c>
      <c r="G16">
        <f t="shared" si="3"/>
        <v>589.83173712554992</v>
      </c>
      <c r="H16">
        <f t="shared" si="4"/>
        <v>0.44024981849200795</v>
      </c>
      <c r="I16">
        <f t="shared" si="5"/>
        <v>259.67331521034907</v>
      </c>
    </row>
    <row r="17" spans="1:14">
      <c r="A17">
        <v>16</v>
      </c>
      <c r="B17" s="1">
        <v>47284</v>
      </c>
      <c r="C17">
        <f t="shared" si="0"/>
        <v>2.3572176253340738E-2</v>
      </c>
      <c r="D17">
        <v>1.7228168360947849</v>
      </c>
      <c r="E17">
        <f t="shared" si="1"/>
        <v>1722.8168360947848</v>
      </c>
      <c r="F17">
        <f t="shared" si="2"/>
        <v>40.610542112649107</v>
      </c>
      <c r="G17">
        <f t="shared" si="3"/>
        <v>649.76867380238571</v>
      </c>
      <c r="H17">
        <f t="shared" si="4"/>
        <v>0.41681735941204617</v>
      </c>
      <c r="I17">
        <f t="shared" si="5"/>
        <v>270.8348628429776</v>
      </c>
    </row>
    <row r="18" spans="1:14">
      <c r="A18">
        <v>17</v>
      </c>
      <c r="B18" s="1">
        <v>47467</v>
      </c>
      <c r="C18">
        <f t="shared" si="0"/>
        <v>2.3572176253340738E-2</v>
      </c>
      <c r="D18">
        <v>1.7694366906773442</v>
      </c>
      <c r="E18">
        <f t="shared" si="1"/>
        <v>1769.4366906773441</v>
      </c>
      <c r="F18">
        <f t="shared" si="2"/>
        <v>41.709473541774308</v>
      </c>
      <c r="G18">
        <f t="shared" si="3"/>
        <v>709.06105021016322</v>
      </c>
      <c r="H18">
        <f t="shared" si="4"/>
        <v>0.39463210161524409</v>
      </c>
      <c r="I18">
        <f t="shared" si="5"/>
        <v>279.81825241794883</v>
      </c>
    </row>
    <row r="19" spans="1:14">
      <c r="A19">
        <v>18</v>
      </c>
      <c r="B19" s="1">
        <v>47649</v>
      </c>
      <c r="C19">
        <f t="shared" si="0"/>
        <v>2.3572176253340738E-2</v>
      </c>
      <c r="D19">
        <v>1.8276615878642373</v>
      </c>
      <c r="E19">
        <f t="shared" si="1"/>
        <v>1827.6615878642372</v>
      </c>
      <c r="F19">
        <f t="shared" si="2"/>
        <v>43.0819610805964</v>
      </c>
      <c r="G19">
        <f t="shared" si="3"/>
        <v>775.47529945073518</v>
      </c>
      <c r="H19">
        <f t="shared" si="4"/>
        <v>0.37362766235297906</v>
      </c>
      <c r="I19">
        <f t="shared" si="5"/>
        <v>289.73902334625461</v>
      </c>
    </row>
    <row r="20" spans="1:14">
      <c r="A20">
        <v>19</v>
      </c>
      <c r="B20" s="1">
        <v>47832</v>
      </c>
      <c r="C20">
        <f t="shared" si="0"/>
        <v>2.3572176253340738E-2</v>
      </c>
      <c r="D20">
        <v>1.8772997261705822</v>
      </c>
      <c r="E20">
        <f t="shared" si="1"/>
        <v>1877.2997261705821</v>
      </c>
      <c r="F20">
        <f t="shared" si="2"/>
        <v>44.252040025641264</v>
      </c>
      <c r="G20">
        <f t="shared" si="3"/>
        <v>840.78876048718405</v>
      </c>
      <c r="H20">
        <f t="shared" si="4"/>
        <v>0.3537411921229251</v>
      </c>
      <c r="I20">
        <f t="shared" si="5"/>
        <v>297.42161845829304</v>
      </c>
    </row>
    <row r="21" spans="1:14">
      <c r="A21">
        <v>20</v>
      </c>
      <c r="B21" s="1">
        <v>48014</v>
      </c>
      <c r="C21">
        <f t="shared" si="0"/>
        <v>2.3572176253340738E-2</v>
      </c>
      <c r="D21">
        <v>1.9392892203746481</v>
      </c>
      <c r="E21">
        <f t="shared" si="1"/>
        <v>1939.289220374648</v>
      </c>
      <c r="F21">
        <f t="shared" si="2"/>
        <v>45.713267308874954</v>
      </c>
      <c r="G21">
        <f t="shared" si="3"/>
        <v>914.26534617749905</v>
      </c>
      <c r="H21">
        <f t="shared" si="4"/>
        <v>0.33491318661071423</v>
      </c>
      <c r="I21">
        <f t="shared" si="5"/>
        <v>306.19952049605399</v>
      </c>
    </row>
    <row r="22" spans="1:14">
      <c r="H22" t="s">
        <v>4</v>
      </c>
      <c r="I22">
        <f>SUM(I2:I21)</f>
        <v>3795.2843497583394</v>
      </c>
    </row>
    <row r="23" spans="1:14">
      <c r="A23" t="s">
        <v>98</v>
      </c>
      <c r="B23" s="8">
        <v>1000</v>
      </c>
      <c r="H23" t="s">
        <v>5</v>
      </c>
      <c r="I23">
        <f>(A21*B25)*H21</f>
        <v>12989.870651109621</v>
      </c>
    </row>
    <row r="24" spans="1:14">
      <c r="A24" t="s">
        <v>79</v>
      </c>
      <c r="B24" s="11">
        <v>4.7699999999999999E-2</v>
      </c>
      <c r="H24" t="s">
        <v>6</v>
      </c>
      <c r="I24">
        <f>SUM(I22:I23)</f>
        <v>16785.155000867959</v>
      </c>
    </row>
    <row r="25" spans="1:14">
      <c r="A25" t="s">
        <v>111</v>
      </c>
      <c r="B25">
        <f>B23*D21</f>
        <v>1939.289220374648</v>
      </c>
      <c r="H25" t="s">
        <v>89</v>
      </c>
      <c r="I25">
        <f>(I24/B26)/2</f>
        <v>8.058503927902251</v>
      </c>
    </row>
    <row r="26" spans="1:14">
      <c r="A26" t="s">
        <v>90</v>
      </c>
      <c r="B26">
        <v>1041.4560289999999</v>
      </c>
      <c r="H26" t="s">
        <v>18</v>
      </c>
      <c r="I26">
        <f>I25/(1+B27)</f>
        <v>7.6295870820462213</v>
      </c>
    </row>
    <row r="27" spans="1:14">
      <c r="A27" t="s">
        <v>101</v>
      </c>
      <c r="B27">
        <v>5.6217570000000001E-2</v>
      </c>
    </row>
    <row r="28" spans="1:14">
      <c r="A28" t="s">
        <v>119</v>
      </c>
      <c r="B28">
        <f>F3/B26</f>
        <v>2.5749393331145214E-2</v>
      </c>
    </row>
    <row r="32" spans="1:14">
      <c r="N32" s="6"/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FBC91-1E27-497E-AF13-EDBAAE3CBAF9}">
  <dimension ref="A1:K17"/>
  <sheetViews>
    <sheetView workbookViewId="0">
      <selection activeCell="B17" sqref="B17"/>
    </sheetView>
  </sheetViews>
  <sheetFormatPr defaultRowHeight="15"/>
  <cols>
    <col min="2" max="2" width="10.7109375" bestFit="1" customWidth="1"/>
    <col min="4" max="4" width="10.7109375" bestFit="1" customWidth="1"/>
    <col min="6" max="6" width="10.5703125" bestFit="1" customWidth="1"/>
    <col min="7" max="7" width="9.5703125" bestFit="1" customWidth="1"/>
  </cols>
  <sheetData>
    <row r="1" spans="1:10">
      <c r="A1" t="s">
        <v>96</v>
      </c>
      <c r="B1" t="s">
        <v>0</v>
      </c>
      <c r="C1" t="s">
        <v>121</v>
      </c>
      <c r="D1" t="s">
        <v>141</v>
      </c>
      <c r="E1" t="s">
        <v>116</v>
      </c>
      <c r="F1" t="s">
        <v>142</v>
      </c>
      <c r="G1" t="s">
        <v>107</v>
      </c>
      <c r="H1" t="s">
        <v>12</v>
      </c>
      <c r="I1" t="s">
        <v>3</v>
      </c>
      <c r="J1" t="s">
        <v>102</v>
      </c>
    </row>
    <row r="2" spans="1:10">
      <c r="A2">
        <v>0</v>
      </c>
      <c r="B2" s="1">
        <v>44330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</v>
      </c>
      <c r="B3" s="1">
        <v>44507</v>
      </c>
      <c r="C3">
        <v>7.6499999999999999E-2</v>
      </c>
      <c r="D3" s="15">
        <f>(1+C3)^(NETWORKDAYS.INTL(B2,B3)/252)-1</f>
        <v>3.7545179739176371E-2</v>
      </c>
      <c r="E3">
        <f>1.66/100</f>
        <v>1.66E-2</v>
      </c>
      <c r="F3" s="15">
        <f>D3+E3</f>
        <v>5.4145179739176375E-2</v>
      </c>
      <c r="G3" s="13">
        <f>$B$14*F3</f>
        <v>54.145179739176378</v>
      </c>
      <c r="H3">
        <f>A3*G3</f>
        <v>54.145179739176378</v>
      </c>
      <c r="I3">
        <f>(1+$B$16)^(-A3)</f>
        <v>0.93837312393524552</v>
      </c>
      <c r="J3">
        <f>H3*I3</f>
        <v>50.808381457886298</v>
      </c>
    </row>
    <row r="4" spans="1:10">
      <c r="A4">
        <v>2</v>
      </c>
      <c r="B4" s="1">
        <v>44688</v>
      </c>
      <c r="C4">
        <v>0.1265</v>
      </c>
      <c r="D4" s="15">
        <f t="shared" ref="D4:D12" si="0">(1+C4)^(NETWORKDAYS.INTL(B3,B4)/252)-1</f>
        <v>6.3375691247208543E-2</v>
      </c>
      <c r="E4">
        <f t="shared" ref="E4:E12" si="1">1.66/100</f>
        <v>1.66E-2</v>
      </c>
      <c r="F4" s="15">
        <f t="shared" ref="F4:F12" si="2">D4+E4</f>
        <v>7.9975691247208547E-2</v>
      </c>
      <c r="G4" s="13">
        <f t="shared" ref="G4:G12" si="3">$B$14*F4</f>
        <v>79.975691247208545</v>
      </c>
      <c r="H4">
        <f t="shared" ref="H4:H12" si="4">A4*G4</f>
        <v>159.95138249441709</v>
      </c>
      <c r="I4">
        <f t="shared" ref="I4:I12" si="5">(1+$B$16)^(-A4)</f>
        <v>0.8805441197239916</v>
      </c>
      <c r="J4">
        <f t="shared" ref="J4:J12" si="6">H4*I4</f>
        <v>140.84424929718199</v>
      </c>
    </row>
    <row r="5" spans="1:10">
      <c r="A5">
        <v>3</v>
      </c>
      <c r="B5" s="1">
        <v>44872</v>
      </c>
      <c r="C5">
        <v>0.13650000000000001</v>
      </c>
      <c r="D5" s="15">
        <f t="shared" si="0"/>
        <v>6.8777465213071487E-2</v>
      </c>
      <c r="E5">
        <f t="shared" si="1"/>
        <v>1.66E-2</v>
      </c>
      <c r="F5" s="15">
        <f t="shared" si="2"/>
        <v>8.5377465213071491E-2</v>
      </c>
      <c r="G5" s="13">
        <f t="shared" si="3"/>
        <v>85.377465213071488</v>
      </c>
      <c r="H5">
        <f t="shared" si="4"/>
        <v>256.13239563921445</v>
      </c>
      <c r="I5">
        <f t="shared" si="5"/>
        <v>0.82627893638821281</v>
      </c>
      <c r="J5">
        <f t="shared" si="6"/>
        <v>211.63680344333503</v>
      </c>
    </row>
    <row r="6" spans="1:10">
      <c r="A6">
        <v>4</v>
      </c>
      <c r="B6" s="1">
        <v>45053</v>
      </c>
      <c r="C6">
        <v>0.13694999999999999</v>
      </c>
      <c r="D6" s="15">
        <f t="shared" si="0"/>
        <v>6.8453107700698235E-2</v>
      </c>
      <c r="E6">
        <f t="shared" si="1"/>
        <v>1.66E-2</v>
      </c>
      <c r="F6" s="15">
        <f t="shared" si="2"/>
        <v>8.5053107700698238E-2</v>
      </c>
      <c r="G6" s="13">
        <f t="shared" si="3"/>
        <v>85.053107700698234</v>
      </c>
      <c r="H6">
        <f t="shared" si="4"/>
        <v>340.21243080279294</v>
      </c>
      <c r="I6">
        <f t="shared" si="5"/>
        <v>0.77535794678049941</v>
      </c>
      <c r="J6">
        <f t="shared" si="6"/>
        <v>263.78641181645628</v>
      </c>
    </row>
    <row r="7" spans="1:10">
      <c r="A7">
        <v>5</v>
      </c>
      <c r="B7" s="1">
        <v>45237</v>
      </c>
      <c r="C7">
        <v>0.13150999999999999</v>
      </c>
      <c r="D7" s="15">
        <f t="shared" si="0"/>
        <v>6.6858395325497755E-2</v>
      </c>
      <c r="E7">
        <f t="shared" si="1"/>
        <v>1.66E-2</v>
      </c>
      <c r="F7" s="15">
        <f t="shared" si="2"/>
        <v>8.3458395325497758E-2</v>
      </c>
      <c r="G7" s="13">
        <f t="shared" si="3"/>
        <v>83.458395325497762</v>
      </c>
      <c r="H7">
        <f t="shared" si="4"/>
        <v>417.29197662748879</v>
      </c>
      <c r="I7">
        <f t="shared" si="5"/>
        <v>0.72757505868843497</v>
      </c>
      <c r="J7">
        <f t="shared" si="6"/>
        <v>303.61123438495821</v>
      </c>
    </row>
    <row r="8" spans="1:10">
      <c r="A8">
        <v>6</v>
      </c>
      <c r="B8" s="1">
        <v>45419</v>
      </c>
      <c r="C8">
        <v>0.12570000000000001</v>
      </c>
      <c r="D8" s="15">
        <f t="shared" si="0"/>
        <v>6.3485625154833025E-2</v>
      </c>
      <c r="E8">
        <f t="shared" si="1"/>
        <v>1.66E-2</v>
      </c>
      <c r="F8" s="15">
        <f t="shared" si="2"/>
        <v>8.0085625154833029E-2</v>
      </c>
      <c r="G8" s="13">
        <f t="shared" si="3"/>
        <v>80.085625154833025</v>
      </c>
      <c r="H8">
        <f t="shared" si="4"/>
        <v>480.51375092899815</v>
      </c>
      <c r="I8">
        <f t="shared" si="5"/>
        <v>0.68273688071883643</v>
      </c>
      <c r="J8">
        <f t="shared" si="6"/>
        <v>328.06445945177211</v>
      </c>
    </row>
    <row r="9" spans="1:10">
      <c r="A9">
        <v>7</v>
      </c>
      <c r="B9" s="1">
        <v>45603</v>
      </c>
      <c r="C9">
        <v>0.11924999999999999</v>
      </c>
      <c r="D9" s="15">
        <f t="shared" si="0"/>
        <v>6.1262058034533773E-2</v>
      </c>
      <c r="E9">
        <f t="shared" si="1"/>
        <v>1.66E-2</v>
      </c>
      <c r="F9" s="15">
        <f t="shared" si="2"/>
        <v>7.7862058034533776E-2</v>
      </c>
      <c r="G9" s="13">
        <f t="shared" si="3"/>
        <v>77.862058034533774</v>
      </c>
      <c r="H9">
        <f t="shared" si="4"/>
        <v>545.03440624173641</v>
      </c>
      <c r="I9">
        <f t="shared" si="5"/>
        <v>0.64066193958593953</v>
      </c>
      <c r="J9">
        <f t="shared" si="6"/>
        <v>349.18279984390176</v>
      </c>
    </row>
    <row r="10" spans="1:10">
      <c r="A10">
        <v>8</v>
      </c>
      <c r="B10" s="1">
        <v>45784</v>
      </c>
      <c r="C10">
        <v>0.11595</v>
      </c>
      <c r="D10" s="15">
        <f t="shared" si="0"/>
        <v>5.8226502516244949E-2</v>
      </c>
      <c r="E10">
        <f t="shared" si="1"/>
        <v>1.66E-2</v>
      </c>
      <c r="F10" s="15">
        <f t="shared" si="2"/>
        <v>7.4826502516244953E-2</v>
      </c>
      <c r="G10" s="13">
        <f t="shared" si="3"/>
        <v>74.826502516244958</v>
      </c>
      <c r="H10">
        <f t="shared" si="4"/>
        <v>598.61202012995966</v>
      </c>
      <c r="I10">
        <f t="shared" si="5"/>
        <v>0.60117994563567168</v>
      </c>
      <c r="J10">
        <f t="shared" si="6"/>
        <v>359.87354171858874</v>
      </c>
    </row>
    <row r="11" spans="1:10">
      <c r="A11">
        <v>9</v>
      </c>
      <c r="B11" s="1">
        <v>45968</v>
      </c>
      <c r="C11">
        <v>0.11544</v>
      </c>
      <c r="D11" s="15">
        <f t="shared" si="0"/>
        <v>5.9353870242659701E-2</v>
      </c>
      <c r="E11">
        <f t="shared" si="1"/>
        <v>1.66E-2</v>
      </c>
      <c r="F11" s="15">
        <f t="shared" si="2"/>
        <v>7.5953870242659705E-2</v>
      </c>
      <c r="G11" s="13">
        <f t="shared" si="3"/>
        <v>75.953870242659704</v>
      </c>
      <c r="H11">
        <f t="shared" si="4"/>
        <v>683.58483218393735</v>
      </c>
      <c r="I11">
        <f t="shared" si="5"/>
        <v>0.56413110363336627</v>
      </c>
      <c r="J11">
        <f t="shared" si="6"/>
        <v>385.63146580695405</v>
      </c>
    </row>
    <row r="12" spans="1:10">
      <c r="A12">
        <v>10</v>
      </c>
      <c r="B12" s="1">
        <v>46149</v>
      </c>
      <c r="C12">
        <v>0.11496000000000001</v>
      </c>
      <c r="D12" s="15">
        <f t="shared" si="0"/>
        <v>5.7742101331899942E-2</v>
      </c>
      <c r="E12">
        <f t="shared" si="1"/>
        <v>1.66E-2</v>
      </c>
      <c r="F12" s="15">
        <f t="shared" si="2"/>
        <v>7.4342101331899946E-2</v>
      </c>
      <c r="G12" s="13">
        <f t="shared" si="3"/>
        <v>74.34210133189994</v>
      </c>
      <c r="H12">
        <f t="shared" si="4"/>
        <v>743.42101331899937</v>
      </c>
      <c r="I12">
        <f t="shared" si="5"/>
        <v>0.52936546602547963</v>
      </c>
      <c r="J12">
        <f t="shared" si="6"/>
        <v>393.54141116874638</v>
      </c>
    </row>
    <row r="13" spans="1:10">
      <c r="I13" t="s">
        <v>4</v>
      </c>
      <c r="J13">
        <f>SUM(J3:J12)</f>
        <v>2786.9807583897809</v>
      </c>
    </row>
    <row r="14" spans="1:10">
      <c r="A14" t="s">
        <v>98</v>
      </c>
      <c r="B14" s="8">
        <v>1000</v>
      </c>
      <c r="I14" t="s">
        <v>5</v>
      </c>
      <c r="J14">
        <f>(A12*B14)*I12</f>
        <v>5293.654660254796</v>
      </c>
    </row>
    <row r="15" spans="1:10">
      <c r="A15" t="s">
        <v>90</v>
      </c>
      <c r="B15">
        <v>1079.610426</v>
      </c>
      <c r="I15" t="s">
        <v>6</v>
      </c>
      <c r="J15">
        <f>SUM(J13:J14)</f>
        <v>8080.6354186445769</v>
      </c>
    </row>
    <row r="16" spans="1:10">
      <c r="A16" t="s">
        <v>101</v>
      </c>
      <c r="B16">
        <v>6.5674170000000004E-2</v>
      </c>
      <c r="I16" t="s">
        <v>89</v>
      </c>
      <c r="J16">
        <f>(J15/B15)/2</f>
        <v>3.7423848566300233</v>
      </c>
    </row>
    <row r="17" spans="1:11">
      <c r="A17" t="s">
        <v>119</v>
      </c>
      <c r="B17">
        <f>G4/B15</f>
        <v>7.4078287242484026E-2</v>
      </c>
      <c r="I17" t="s">
        <v>18</v>
      </c>
      <c r="J17">
        <f>J16/(1+B16)</f>
        <v>3.5117533688838711</v>
      </c>
      <c r="K17" s="6"/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362C8-5208-43A3-9B5F-4C75E947C639}">
  <dimension ref="A1:I29"/>
  <sheetViews>
    <sheetView topLeftCell="A19" workbookViewId="0">
      <selection activeCell="B28" sqref="B28"/>
    </sheetView>
  </sheetViews>
  <sheetFormatPr defaultRowHeight="15"/>
  <cols>
    <col min="2" max="2" width="10.5703125" customWidth="1"/>
    <col min="8" max="8" width="10" bestFit="1" customWidth="1"/>
  </cols>
  <sheetData>
    <row r="1" spans="1:9">
      <c r="A1" t="s">
        <v>96</v>
      </c>
      <c r="B1" t="s">
        <v>0</v>
      </c>
      <c r="C1" t="s">
        <v>144</v>
      </c>
      <c r="D1" t="s">
        <v>8</v>
      </c>
      <c r="E1" t="s">
        <v>111</v>
      </c>
      <c r="F1" t="s">
        <v>107</v>
      </c>
      <c r="G1" t="s">
        <v>12</v>
      </c>
      <c r="H1" t="s">
        <v>3</v>
      </c>
      <c r="I1" t="s">
        <v>102</v>
      </c>
    </row>
    <row r="2" spans="1:9">
      <c r="A2">
        <v>1</v>
      </c>
      <c r="B2" s="1">
        <v>44545</v>
      </c>
      <c r="C2">
        <f>(1+$B$24)^(1/2)-1</f>
        <v>2.2251436780599487E-2</v>
      </c>
      <c r="D2">
        <v>1.0606702126779748</v>
      </c>
      <c r="E2">
        <f>$B$23*D2</f>
        <v>1060.6702126779749</v>
      </c>
      <c r="F2">
        <f>C2*E2</f>
        <v>23.601436182468969</v>
      </c>
      <c r="G2">
        <f>A2*F2</f>
        <v>23.601436182468969</v>
      </c>
      <c r="H2">
        <f>(1+$B$27)^(-A2)</f>
        <v>0.94683540952719236</v>
      </c>
      <c r="I2">
        <f>G2*H2</f>
        <v>22.346675493257901</v>
      </c>
    </row>
    <row r="3" spans="1:9">
      <c r="A3">
        <v>2</v>
      </c>
      <c r="B3" s="1">
        <v>44727</v>
      </c>
      <c r="C3">
        <f t="shared" ref="C3:C21" si="0">(1+$B$24)^(1/2)-1</f>
        <v>2.2251436780599487E-2</v>
      </c>
      <c r="D3">
        <v>1.1188672961759074</v>
      </c>
      <c r="E3">
        <f t="shared" ref="E3:E21" si="1">$B$23*D3</f>
        <v>1118.8672961759073</v>
      </c>
      <c r="F3">
        <f t="shared" ref="F3:F21" si="2">C3*E3</f>
        <v>24.896404906738486</v>
      </c>
      <c r="G3">
        <f t="shared" ref="G3:G21" si="3">A3*F3</f>
        <v>49.792809813476971</v>
      </c>
      <c r="H3">
        <f t="shared" ref="H3:H21" si="4">(1+$B$27)^(-A3)</f>
        <v>0.89649729273452605</v>
      </c>
      <c r="I3">
        <f t="shared" ref="I3:I21" si="5">G3*H3</f>
        <v>44.639119195427249</v>
      </c>
    </row>
    <row r="4" spans="1:9">
      <c r="A4">
        <v>3</v>
      </c>
      <c r="B4" s="1">
        <v>44910</v>
      </c>
      <c r="C4">
        <f t="shared" si="0"/>
        <v>2.2251436780599487E-2</v>
      </c>
      <c r="D4">
        <v>1.1400137119804488</v>
      </c>
      <c r="E4">
        <f t="shared" si="1"/>
        <v>1140.0137119804488</v>
      </c>
      <c r="F4">
        <f t="shared" si="2"/>
        <v>25.366943041149508</v>
      </c>
      <c r="G4">
        <f t="shared" si="3"/>
        <v>76.10082912344852</v>
      </c>
      <c r="H4">
        <f t="shared" si="4"/>
        <v>0.84883538130631409</v>
      </c>
      <c r="I4">
        <f t="shared" si="5"/>
        <v>64.597076306729079</v>
      </c>
    </row>
    <row r="5" spans="1:9">
      <c r="A5">
        <v>4</v>
      </c>
      <c r="B5" s="1">
        <v>45092</v>
      </c>
      <c r="C5">
        <f t="shared" si="0"/>
        <v>2.2251436780599487E-2</v>
      </c>
      <c r="D5">
        <v>1.1915787675789329</v>
      </c>
      <c r="E5">
        <f t="shared" si="1"/>
        <v>1191.5787675789329</v>
      </c>
      <c r="F5">
        <f t="shared" si="2"/>
        <v>26.514339615887277</v>
      </c>
      <c r="G5">
        <f t="shared" si="3"/>
        <v>106.05735846354911</v>
      </c>
      <c r="H5">
        <f t="shared" si="4"/>
        <v>0.80370739588033446</v>
      </c>
      <c r="I5">
        <f t="shared" si="5"/>
        <v>85.239083384686197</v>
      </c>
    </row>
    <row r="6" spans="1:9">
      <c r="A6">
        <v>5</v>
      </c>
      <c r="B6" s="1">
        <v>45275</v>
      </c>
      <c r="C6">
        <f t="shared" si="0"/>
        <v>2.2251436780599487E-2</v>
      </c>
      <c r="D6">
        <v>1.2252041760758927</v>
      </c>
      <c r="E6">
        <f t="shared" si="1"/>
        <v>1225.2041760758927</v>
      </c>
      <c r="F6">
        <f t="shared" si="2"/>
        <v>27.262553267279209</v>
      </c>
      <c r="G6">
        <f t="shared" si="3"/>
        <v>136.31276633639604</v>
      </c>
      <c r="H6">
        <f t="shared" si="4"/>
        <v>0.76097862131838978</v>
      </c>
      <c r="I6">
        <f t="shared" si="5"/>
        <v>103.73110099476646</v>
      </c>
    </row>
    <row r="7" spans="1:9">
      <c r="A7">
        <v>6</v>
      </c>
      <c r="B7" s="1">
        <v>45458</v>
      </c>
      <c r="C7">
        <f t="shared" si="0"/>
        <v>2.2251436780599487E-2</v>
      </c>
      <c r="D7">
        <v>1.2659448865221505</v>
      </c>
      <c r="E7">
        <f t="shared" si="1"/>
        <v>1265.9448865221505</v>
      </c>
      <c r="F7">
        <f t="shared" si="2"/>
        <v>28.169092610170821</v>
      </c>
      <c r="G7">
        <f t="shared" si="3"/>
        <v>169.01455566102493</v>
      </c>
      <c r="H7">
        <f t="shared" si="4"/>
        <v>0.7205215045574358</v>
      </c>
      <c r="I7">
        <f t="shared" si="5"/>
        <v>121.77862193698816</v>
      </c>
    </row>
    <row r="8" spans="1:9">
      <c r="A8">
        <v>7</v>
      </c>
      <c r="B8" s="1">
        <v>45641</v>
      </c>
      <c r="C8">
        <f t="shared" si="0"/>
        <v>2.2251436780599487E-2</v>
      </c>
      <c r="D8">
        <v>1.2998068099007596</v>
      </c>
      <c r="E8">
        <f t="shared" si="1"/>
        <v>1299.8068099007596</v>
      </c>
      <c r="F8">
        <f t="shared" si="2"/>
        <v>28.922569057499448</v>
      </c>
      <c r="G8">
        <f t="shared" si="3"/>
        <v>202.45798340249613</v>
      </c>
      <c r="H8">
        <f t="shared" si="4"/>
        <v>0.68221527384078839</v>
      </c>
      <c r="I8">
        <f t="shared" si="5"/>
        <v>138.11992858818769</v>
      </c>
    </row>
    <row r="9" spans="1:9">
      <c r="A9">
        <v>8</v>
      </c>
      <c r="B9" s="1">
        <v>45823</v>
      </c>
      <c r="C9">
        <f t="shared" si="0"/>
        <v>2.2251436780599487E-2</v>
      </c>
      <c r="D9">
        <v>1.3417125953014191</v>
      </c>
      <c r="E9">
        <f t="shared" si="1"/>
        <v>1341.712595301419</v>
      </c>
      <c r="F9">
        <f t="shared" si="2"/>
        <v>29.85503299208359</v>
      </c>
      <c r="G9">
        <f t="shared" si="3"/>
        <v>238.84026393666872</v>
      </c>
      <c r="H9">
        <f t="shared" si="4"/>
        <v>0.64594557819274867</v>
      </c>
      <c r="I9">
        <f t="shared" si="5"/>
        <v>154.27781238428017</v>
      </c>
    </row>
    <row r="10" spans="1:9">
      <c r="A10">
        <v>9</v>
      </c>
      <c r="B10" s="1">
        <v>46006</v>
      </c>
      <c r="C10">
        <f t="shared" si="0"/>
        <v>2.2251436780599487E-2</v>
      </c>
      <c r="D10">
        <v>1.3772975690557696</v>
      </c>
      <c r="E10">
        <f t="shared" si="1"/>
        <v>1377.2975690557696</v>
      </c>
      <c r="F10">
        <f t="shared" si="2"/>
        <v>30.646849785917812</v>
      </c>
      <c r="G10">
        <f t="shared" si="3"/>
        <v>275.82164807326029</v>
      </c>
      <c r="H10">
        <f t="shared" si="4"/>
        <v>0.61160414606041025</v>
      </c>
      <c r="I10">
        <f t="shared" si="5"/>
        <v>168.69366353482135</v>
      </c>
    </row>
    <row r="11" spans="1:9">
      <c r="A11">
        <v>10</v>
      </c>
      <c r="B11" s="1">
        <v>46188</v>
      </c>
      <c r="C11">
        <f t="shared" si="0"/>
        <v>2.2251436780599487E-2</v>
      </c>
      <c r="D11">
        <v>1.4216552337476274</v>
      </c>
      <c r="E11">
        <f t="shared" si="1"/>
        <v>1421.6552337476273</v>
      </c>
      <c r="F11">
        <f t="shared" si="2"/>
        <v>31.633871557543717</v>
      </c>
      <c r="G11">
        <f t="shared" si="3"/>
        <v>316.33871557543716</v>
      </c>
      <c r="H11">
        <f t="shared" si="4"/>
        <v>0.57908846210363729</v>
      </c>
      <c r="I11">
        <f t="shared" si="5"/>
        <v>183.18810030641984</v>
      </c>
    </row>
    <row r="12" spans="1:9">
      <c r="A12">
        <v>11</v>
      </c>
      <c r="B12" s="1">
        <v>46371</v>
      </c>
      <c r="C12">
        <f t="shared" si="0"/>
        <v>2.2251436780599487E-2</v>
      </c>
      <c r="D12">
        <v>1.4595127595492701</v>
      </c>
      <c r="E12">
        <f t="shared" si="1"/>
        <v>1459.51275954927</v>
      </c>
      <c r="F12">
        <f t="shared" si="2"/>
        <v>32.476255899588878</v>
      </c>
      <c r="G12">
        <f t="shared" si="3"/>
        <v>357.23881489547767</v>
      </c>
      <c r="H12">
        <f t="shared" si="4"/>
        <v>0.54830146116836931</v>
      </c>
      <c r="I12">
        <f t="shared" si="5"/>
        <v>195.87456419324701</v>
      </c>
    </row>
    <row r="13" spans="1:9">
      <c r="A13">
        <v>12</v>
      </c>
      <c r="B13" s="1">
        <v>46553</v>
      </c>
      <c r="C13">
        <f t="shared" si="0"/>
        <v>2.2251436780599487E-2</v>
      </c>
      <c r="D13">
        <v>1.5067880392090989</v>
      </c>
      <c r="E13">
        <f t="shared" si="1"/>
        <v>1506.7880392090988</v>
      </c>
      <c r="F13">
        <f t="shared" si="2"/>
        <v>33.528198796224721</v>
      </c>
      <c r="G13">
        <f t="shared" si="3"/>
        <v>402.33838555469663</v>
      </c>
      <c r="H13">
        <f t="shared" si="4"/>
        <v>0.5191512385297109</v>
      </c>
      <c r="I13">
        <f t="shared" si="5"/>
        <v>208.8744711687651</v>
      </c>
    </row>
    <row r="14" spans="1:9">
      <c r="A14">
        <v>13</v>
      </c>
      <c r="B14" s="1">
        <v>46736</v>
      </c>
      <c r="C14">
        <f t="shared" si="0"/>
        <v>2.2251436780599487E-2</v>
      </c>
      <c r="D14">
        <v>1.5471560483346711</v>
      </c>
      <c r="E14">
        <f t="shared" si="1"/>
        <v>1547.1560483346711</v>
      </c>
      <c r="F14">
        <f t="shared" si="2"/>
        <v>34.426444999241056</v>
      </c>
      <c r="G14">
        <f t="shared" si="3"/>
        <v>447.54378499013376</v>
      </c>
      <c r="H14">
        <f t="shared" si="4"/>
        <v>0.49155077553982807</v>
      </c>
      <c r="I14">
        <f t="shared" si="5"/>
        <v>219.99049459993032</v>
      </c>
    </row>
    <row r="15" spans="1:9">
      <c r="A15">
        <v>14</v>
      </c>
      <c r="B15" s="1">
        <v>46919</v>
      </c>
      <c r="C15">
        <f t="shared" si="0"/>
        <v>2.2251436780599487E-2</v>
      </c>
      <c r="D15">
        <v>1.597581415240225</v>
      </c>
      <c r="E15">
        <f t="shared" si="1"/>
        <v>1597.5814152402249</v>
      </c>
      <c r="F15">
        <f t="shared" si="2"/>
        <v>35.548481863078521</v>
      </c>
      <c r="G15">
        <f t="shared" si="3"/>
        <v>497.67874608309933</v>
      </c>
      <c r="H15">
        <f t="shared" si="4"/>
        <v>0.46541767986166199</v>
      </c>
      <c r="I15">
        <f t="shared" si="5"/>
        <v>231.6284873184573</v>
      </c>
    </row>
    <row r="16" spans="1:9">
      <c r="A16">
        <v>15</v>
      </c>
      <c r="B16" s="1">
        <v>47102</v>
      </c>
      <c r="C16">
        <f t="shared" si="0"/>
        <v>2.2251436780599487E-2</v>
      </c>
      <c r="D16">
        <v>1.6406181735012595</v>
      </c>
      <c r="E16">
        <f t="shared" si="1"/>
        <v>1640.6181735012594</v>
      </c>
      <c r="F16">
        <f t="shared" si="2"/>
        <v>36.506111568765874</v>
      </c>
      <c r="G16">
        <f t="shared" si="3"/>
        <v>547.59167353148814</v>
      </c>
      <c r="H16">
        <f t="shared" si="4"/>
        <v>0.44067393951301242</v>
      </c>
      <c r="I16">
        <f t="shared" si="5"/>
        <v>241.30938001964427</v>
      </c>
    </row>
    <row r="17" spans="1:9">
      <c r="A17">
        <v>16</v>
      </c>
      <c r="B17" s="1">
        <v>47284</v>
      </c>
      <c r="C17">
        <f t="shared" si="0"/>
        <v>2.2251436780599487E-2</v>
      </c>
      <c r="D17">
        <v>1.6943745791921105</v>
      </c>
      <c r="E17">
        <f t="shared" si="1"/>
        <v>1694.3745791921106</v>
      </c>
      <c r="F17">
        <f t="shared" si="2"/>
        <v>37.70226883154811</v>
      </c>
      <c r="G17">
        <f t="shared" si="3"/>
        <v>603.23630130476977</v>
      </c>
      <c r="H17">
        <f t="shared" si="4"/>
        <v>0.41724568998676431</v>
      </c>
      <c r="I17">
        <f t="shared" si="5"/>
        <v>251.69774676297232</v>
      </c>
    </row>
    <row r="18" spans="1:9">
      <c r="A18">
        <v>17</v>
      </c>
      <c r="B18" s="1">
        <v>47467</v>
      </c>
      <c r="C18">
        <f t="shared" si="0"/>
        <v>2.2251436780599487E-2</v>
      </c>
      <c r="D18">
        <v>1.7402247791874716</v>
      </c>
      <c r="E18">
        <f t="shared" si="1"/>
        <v>1740.2247791874715</v>
      </c>
      <c r="F18">
        <f t="shared" si="2"/>
        <v>38.722501658122724</v>
      </c>
      <c r="G18">
        <f t="shared" si="3"/>
        <v>658.2825281880863</v>
      </c>
      <c r="H18">
        <f t="shared" si="4"/>
        <v>0.39506299375207393</v>
      </c>
      <c r="I18">
        <f t="shared" si="5"/>
        <v>260.06306632066935</v>
      </c>
    </row>
    <row r="19" spans="1:9">
      <c r="A19">
        <v>18</v>
      </c>
      <c r="B19" s="1">
        <v>47649</v>
      </c>
      <c r="C19">
        <f t="shared" si="0"/>
        <v>2.2251436780599487E-2</v>
      </c>
      <c r="D19">
        <v>1.7974884322947706</v>
      </c>
      <c r="E19">
        <f t="shared" si="1"/>
        <v>1797.4884322947705</v>
      </c>
      <c r="F19">
        <f t="shared" si="2"/>
        <v>39.996700215065971</v>
      </c>
      <c r="G19">
        <f t="shared" si="3"/>
        <v>719.94060387118748</v>
      </c>
      <c r="H19">
        <f t="shared" si="4"/>
        <v>0.37405963147828353</v>
      </c>
      <c r="I19">
        <f t="shared" si="5"/>
        <v>269.30071697030928</v>
      </c>
    </row>
    <row r="20" spans="1:9">
      <c r="A20">
        <v>19</v>
      </c>
      <c r="B20" s="1">
        <v>47832</v>
      </c>
      <c r="C20">
        <f t="shared" si="0"/>
        <v>2.2251436780599487E-2</v>
      </c>
      <c r="D20">
        <v>1.8463070866883162</v>
      </c>
      <c r="E20">
        <f t="shared" si="1"/>
        <v>1846.3070866883163</v>
      </c>
      <c r="F20">
        <f t="shared" si="2"/>
        <v>41.082985417017888</v>
      </c>
      <c r="G20">
        <f t="shared" si="3"/>
        <v>780.57672292333984</v>
      </c>
      <c r="H20">
        <f t="shared" si="4"/>
        <v>0.35417290435833121</v>
      </c>
      <c r="I20">
        <f t="shared" si="5"/>
        <v>276.45912503226765</v>
      </c>
    </row>
    <row r="21" spans="1:9">
      <c r="A21">
        <v>20</v>
      </c>
      <c r="B21" s="1">
        <v>48014</v>
      </c>
      <c r="C21">
        <f t="shared" si="0"/>
        <v>2.2251436780599487E-2</v>
      </c>
      <c r="D21">
        <v>1.9072731864824375</v>
      </c>
      <c r="E21">
        <f t="shared" si="1"/>
        <v>1907.2731864824375</v>
      </c>
      <c r="F21">
        <f t="shared" si="2"/>
        <v>42.439568732346494</v>
      </c>
      <c r="G21">
        <f t="shared" si="3"/>
        <v>848.79137464692985</v>
      </c>
      <c r="H21">
        <f t="shared" si="4"/>
        <v>0.33534344694155566</v>
      </c>
      <c r="I21">
        <f t="shared" si="5"/>
        <v>284.6366253083628</v>
      </c>
    </row>
    <row r="22" spans="1:9">
      <c r="H22" t="s">
        <v>4</v>
      </c>
      <c r="I22">
        <f>SUM(I2:I21)</f>
        <v>3526.4458598201891</v>
      </c>
    </row>
    <row r="23" spans="1:9">
      <c r="A23" t="s">
        <v>98</v>
      </c>
      <c r="B23" s="8">
        <v>1000</v>
      </c>
      <c r="H23" t="s">
        <v>5</v>
      </c>
      <c r="I23">
        <f>(A21*B25)*H21</f>
        <v>12791.831292284502</v>
      </c>
    </row>
    <row r="24" spans="1:9">
      <c r="A24" t="s">
        <v>79</v>
      </c>
      <c r="B24" s="13">
        <v>4.4998000000000003E-2</v>
      </c>
      <c r="H24" t="s">
        <v>6</v>
      </c>
      <c r="I24">
        <f>SUM(I22:I23)</f>
        <v>16318.277152104691</v>
      </c>
    </row>
    <row r="25" spans="1:9">
      <c r="A25" t="s">
        <v>111</v>
      </c>
      <c r="B25">
        <f>B23*D21</f>
        <v>1907.2731864824375</v>
      </c>
      <c r="H25" t="s">
        <v>89</v>
      </c>
      <c r="I25">
        <f>(I24/B26)/2</f>
        <v>8.1290131767016618</v>
      </c>
    </row>
    <row r="26" spans="1:9">
      <c r="A26" t="s">
        <v>90</v>
      </c>
      <c r="B26">
        <v>1003.705911</v>
      </c>
      <c r="H26" t="s">
        <v>18</v>
      </c>
      <c r="I26">
        <f>I25/(1+B27)</f>
        <v>7.6968375202142605</v>
      </c>
    </row>
    <row r="27" spans="1:9" ht="18">
      <c r="A27" t="s">
        <v>101</v>
      </c>
      <c r="B27">
        <v>5.6149770000000002E-2</v>
      </c>
      <c r="H27" s="16"/>
    </row>
    <row r="28" spans="1:9">
      <c r="A28" t="s">
        <v>119</v>
      </c>
      <c r="B28">
        <f>F3/B26</f>
        <v>2.4804481705138114E-2</v>
      </c>
    </row>
    <row r="29" spans="1:9">
      <c r="A29" t="s">
        <v>19</v>
      </c>
      <c r="B29" t="s">
        <v>154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A5D0D-8158-4BB9-A691-C497DC391288}">
  <dimension ref="A1:N18"/>
  <sheetViews>
    <sheetView workbookViewId="0">
      <selection activeCell="B17" sqref="B17"/>
    </sheetView>
  </sheetViews>
  <sheetFormatPr defaultRowHeight="15"/>
  <cols>
    <col min="2" max="2" width="11.42578125" customWidth="1"/>
    <col min="4" max="4" width="10.7109375" bestFit="1" customWidth="1"/>
    <col min="6" max="6" width="9.5703125" bestFit="1" customWidth="1"/>
    <col min="14" max="14" width="10" bestFit="1" customWidth="1"/>
  </cols>
  <sheetData>
    <row r="1" spans="1:10">
      <c r="A1" t="s">
        <v>96</v>
      </c>
      <c r="B1" t="s">
        <v>0</v>
      </c>
      <c r="C1" t="s">
        <v>121</v>
      </c>
      <c r="D1" t="s">
        <v>141</v>
      </c>
      <c r="E1" t="s">
        <v>116</v>
      </c>
      <c r="F1" t="s">
        <v>142</v>
      </c>
      <c r="G1" t="s">
        <v>107</v>
      </c>
      <c r="H1" t="s">
        <v>12</v>
      </c>
      <c r="I1" t="s">
        <v>3</v>
      </c>
      <c r="J1" t="s">
        <v>102</v>
      </c>
    </row>
    <row r="2" spans="1:10">
      <c r="A2">
        <v>0</v>
      </c>
      <c r="B2" s="1">
        <v>44286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</v>
      </c>
      <c r="B3" s="1">
        <v>44468</v>
      </c>
      <c r="C3">
        <v>5.1499999999999997E-2</v>
      </c>
      <c r="D3" s="14">
        <f>(1+C3)^(NETWORKDAYS.INTL(B2,B3)/252)-1</f>
        <v>2.6448967651495181E-2</v>
      </c>
      <c r="E3">
        <f>2/100</f>
        <v>0.02</v>
      </c>
      <c r="F3" s="14">
        <f>D3+E3</f>
        <v>4.6448967651495185E-2</v>
      </c>
      <c r="G3">
        <f>$B$14*F3</f>
        <v>46.448967651495188</v>
      </c>
      <c r="H3">
        <f>A3*G3</f>
        <v>46.448967651495188</v>
      </c>
      <c r="I3">
        <f>(1+$B$16)^(-A3)</f>
        <v>0.93033704148001661</v>
      </c>
      <c r="J3">
        <f>H3*I3</f>
        <v>43.213195144693032</v>
      </c>
    </row>
    <row r="4" spans="1:10">
      <c r="A4">
        <v>2</v>
      </c>
      <c r="B4" s="1">
        <v>44649</v>
      </c>
      <c r="C4">
        <v>0.1065</v>
      </c>
      <c r="D4" s="14">
        <f t="shared" ref="D4:D12" si="0">(1+C4)^(NETWORKDAYS.INTL(B3,B4)/252)-1</f>
        <v>5.3594150284956621E-2</v>
      </c>
      <c r="E4">
        <f t="shared" ref="E4:E12" si="1">2/100</f>
        <v>0.02</v>
      </c>
      <c r="F4" s="14">
        <f t="shared" ref="F4:F12" si="2">D4+E4</f>
        <v>7.3594150284956625E-2</v>
      </c>
      <c r="G4">
        <f t="shared" ref="G4:G12" si="3">$B$14*F4</f>
        <v>73.594150284956626</v>
      </c>
      <c r="H4">
        <f t="shared" ref="H4:H12" si="4">A4*G4</f>
        <v>147.18830056991325</v>
      </c>
      <c r="I4">
        <f t="shared" ref="I4:I12" si="5">(1+$B$16)^(-A4)</f>
        <v>0.86552701074979022</v>
      </c>
      <c r="J4">
        <f t="shared" ref="J4:J12" si="6">H4*I4</f>
        <v>127.39544980961865</v>
      </c>
    </row>
    <row r="5" spans="1:10">
      <c r="A5">
        <v>3</v>
      </c>
      <c r="B5" s="1">
        <v>44833</v>
      </c>
      <c r="C5">
        <v>0.13650000000000001</v>
      </c>
      <c r="D5" s="14">
        <f t="shared" si="0"/>
        <v>6.9863363092107056E-2</v>
      </c>
      <c r="E5">
        <f t="shared" si="1"/>
        <v>0.02</v>
      </c>
      <c r="F5" s="14">
        <f t="shared" si="2"/>
        <v>8.986336309210706E-2</v>
      </c>
      <c r="G5">
        <f t="shared" si="3"/>
        <v>89.863363092107065</v>
      </c>
      <c r="H5">
        <f t="shared" si="4"/>
        <v>269.59008927632118</v>
      </c>
      <c r="I5">
        <f t="shared" si="5"/>
        <v>0.80523183850200231</v>
      </c>
      <c r="J5">
        <f t="shared" si="6"/>
        <v>217.08252322989105</v>
      </c>
    </row>
    <row r="6" spans="1:10">
      <c r="A6">
        <v>4</v>
      </c>
      <c r="B6" s="1">
        <v>45014</v>
      </c>
      <c r="C6">
        <v>0.13705000000000001</v>
      </c>
      <c r="D6" s="14">
        <f t="shared" si="0"/>
        <v>6.850158603241141E-2</v>
      </c>
      <c r="E6">
        <f t="shared" si="1"/>
        <v>0.02</v>
      </c>
      <c r="F6" s="14">
        <f t="shared" si="2"/>
        <v>8.8501586032411414E-2</v>
      </c>
      <c r="G6">
        <f t="shared" si="3"/>
        <v>88.50158603241141</v>
      </c>
      <c r="H6">
        <f t="shared" si="4"/>
        <v>354.00634412964564</v>
      </c>
      <c r="I6">
        <f t="shared" si="5"/>
        <v>0.74913700633746749</v>
      </c>
      <c r="J6">
        <f t="shared" si="6"/>
        <v>265.19925286575403</v>
      </c>
    </row>
    <row r="7" spans="1:10">
      <c r="A7">
        <v>5</v>
      </c>
      <c r="B7" s="1">
        <v>45198</v>
      </c>
      <c r="C7">
        <v>0.13413</v>
      </c>
      <c r="D7" s="14">
        <f t="shared" si="0"/>
        <v>6.8685289764101043E-2</v>
      </c>
      <c r="E7">
        <f t="shared" si="1"/>
        <v>0.02</v>
      </c>
      <c r="F7" s="14">
        <f t="shared" si="2"/>
        <v>8.8685289764101047E-2</v>
      </c>
      <c r="G7">
        <f t="shared" si="3"/>
        <v>88.685289764101043</v>
      </c>
      <c r="H7">
        <f t="shared" si="4"/>
        <v>443.42644882050524</v>
      </c>
      <c r="I7">
        <f t="shared" si="5"/>
        <v>0.69694990613919594</v>
      </c>
      <c r="J7">
        <f t="shared" si="6"/>
        <v>309.04602188508812</v>
      </c>
    </row>
    <row r="8" spans="1:10">
      <c r="A8">
        <v>6</v>
      </c>
      <c r="B8" s="1">
        <v>45380</v>
      </c>
      <c r="C8">
        <v>0.12934999999999999</v>
      </c>
      <c r="D8" s="14">
        <f t="shared" si="0"/>
        <v>6.5276787347437359E-2</v>
      </c>
      <c r="E8">
        <f t="shared" si="1"/>
        <v>0.02</v>
      </c>
      <c r="F8" s="14">
        <f t="shared" si="2"/>
        <v>8.5276787347437363E-2</v>
      </c>
      <c r="G8">
        <f t="shared" si="3"/>
        <v>85.276787347437363</v>
      </c>
      <c r="H8">
        <f t="shared" si="4"/>
        <v>511.66072408462418</v>
      </c>
      <c r="I8">
        <f t="shared" si="5"/>
        <v>0.64839831373731482</v>
      </c>
      <c r="J8">
        <f t="shared" si="6"/>
        <v>331.75995070208381</v>
      </c>
    </row>
    <row r="9" spans="1:10">
      <c r="A9">
        <v>7</v>
      </c>
      <c r="B9" s="1">
        <v>45564</v>
      </c>
      <c r="C9">
        <v>0.1205</v>
      </c>
      <c r="D9" s="14">
        <f t="shared" si="0"/>
        <v>6.0929009015429525E-2</v>
      </c>
      <c r="E9">
        <f t="shared" si="1"/>
        <v>0.02</v>
      </c>
      <c r="F9" s="14">
        <f t="shared" si="2"/>
        <v>8.0929009015429529E-2</v>
      </c>
      <c r="G9">
        <f t="shared" si="3"/>
        <v>80.929009015429529</v>
      </c>
      <c r="H9">
        <f t="shared" si="4"/>
        <v>566.5030631080067</v>
      </c>
      <c r="I9">
        <f t="shared" si="5"/>
        <v>0.60322896890300504</v>
      </c>
      <c r="J9">
        <f t="shared" si="6"/>
        <v>341.73105863903686</v>
      </c>
    </row>
    <row r="10" spans="1:10">
      <c r="A10">
        <v>8</v>
      </c>
      <c r="B10" s="1">
        <v>45745</v>
      </c>
      <c r="C10">
        <v>0.1171</v>
      </c>
      <c r="D10" s="14">
        <f t="shared" si="0"/>
        <v>5.878892963944593E-2</v>
      </c>
      <c r="E10">
        <f t="shared" si="1"/>
        <v>0.02</v>
      </c>
      <c r="F10" s="14">
        <f t="shared" si="2"/>
        <v>7.8788929639445934E-2</v>
      </c>
      <c r="G10">
        <f t="shared" si="3"/>
        <v>78.788929639445939</v>
      </c>
      <c r="H10">
        <f t="shared" si="4"/>
        <v>630.31143711556751</v>
      </c>
      <c r="I10">
        <f t="shared" si="5"/>
        <v>0.56120625426426285</v>
      </c>
      <c r="J10">
        <f t="shared" si="6"/>
        <v>353.73472064355212</v>
      </c>
    </row>
    <row r="11" spans="1:10">
      <c r="A11">
        <v>9</v>
      </c>
      <c r="B11" s="1">
        <v>45929</v>
      </c>
      <c r="C11">
        <v>0.11559999999999999</v>
      </c>
      <c r="D11" s="14">
        <f t="shared" si="0"/>
        <v>5.8514671397432938E-2</v>
      </c>
      <c r="E11">
        <f t="shared" si="1"/>
        <v>0.02</v>
      </c>
      <c r="F11" s="14">
        <f t="shared" si="2"/>
        <v>7.8514671397432942E-2</v>
      </c>
      <c r="G11">
        <f t="shared" si="3"/>
        <v>78.514671397432949</v>
      </c>
      <c r="H11">
        <f t="shared" si="4"/>
        <v>706.63204257689654</v>
      </c>
      <c r="I11">
        <f t="shared" si="5"/>
        <v>0.52211096625229625</v>
      </c>
      <c r="J11">
        <f t="shared" si="6"/>
        <v>368.9403385346572</v>
      </c>
    </row>
    <row r="12" spans="1:10">
      <c r="A12">
        <v>10</v>
      </c>
      <c r="B12" s="1">
        <v>46110</v>
      </c>
      <c r="C12">
        <v>0.1152</v>
      </c>
      <c r="D12" s="14">
        <f t="shared" si="0"/>
        <v>5.7859551036805845E-2</v>
      </c>
      <c r="E12">
        <f t="shared" si="1"/>
        <v>0.02</v>
      </c>
      <c r="F12" s="14">
        <f t="shared" si="2"/>
        <v>7.7859551036805849E-2</v>
      </c>
      <c r="G12">
        <f t="shared" si="3"/>
        <v>77.859551036805854</v>
      </c>
      <c r="H12">
        <f t="shared" si="4"/>
        <v>778.59551036805851</v>
      </c>
      <c r="I12">
        <f t="shared" si="5"/>
        <v>0.48573917166743408</v>
      </c>
      <c r="J12">
        <f t="shared" si="6"/>
        <v>378.19433827016383</v>
      </c>
    </row>
    <row r="13" spans="1:10">
      <c r="I13" t="s">
        <v>4</v>
      </c>
      <c r="J13">
        <f>SUM(J3:J12)</f>
        <v>2736.2968497245388</v>
      </c>
    </row>
    <row r="14" spans="1:10">
      <c r="A14" t="s">
        <v>98</v>
      </c>
      <c r="B14" s="8">
        <v>1000</v>
      </c>
      <c r="I14" t="s">
        <v>5</v>
      </c>
      <c r="J14">
        <f>(A12*B14)*I12</f>
        <v>4857.3917166743404</v>
      </c>
    </row>
    <row r="15" spans="1:10">
      <c r="A15" t="s">
        <v>90</v>
      </c>
      <c r="B15">
        <v>1020.05317</v>
      </c>
      <c r="I15" t="s">
        <v>6</v>
      </c>
      <c r="J15">
        <f>SUM(J13:J14)</f>
        <v>7593.6885663988796</v>
      </c>
    </row>
    <row r="16" spans="1:10">
      <c r="A16" t="s">
        <v>101</v>
      </c>
      <c r="B16">
        <v>7.4879269999999998E-2</v>
      </c>
      <c r="I16" t="s">
        <v>89</v>
      </c>
      <c r="J16">
        <f>(J15/B15)/2</f>
        <v>3.7222023271585338</v>
      </c>
    </row>
    <row r="17" spans="1:14">
      <c r="A17" t="s">
        <v>119</v>
      </c>
      <c r="B17">
        <f>G5/B15</f>
        <v>8.8096744106100924E-2</v>
      </c>
      <c r="I17" t="s">
        <v>18</v>
      </c>
      <c r="J17">
        <f>J16/(1+B16)</f>
        <v>3.4629027008387032</v>
      </c>
    </row>
    <row r="18" spans="1:14" ht="18">
      <c r="N18" s="16"/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04D9D-0F9F-482F-B114-2D36451F1CE6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217A-E196-4A34-BB27-569075C7711A}">
  <dimension ref="A1:D302"/>
  <sheetViews>
    <sheetView topLeftCell="A112" workbookViewId="0">
      <selection activeCell="D10" sqref="D10:D124"/>
    </sheetView>
  </sheetViews>
  <sheetFormatPr defaultRowHeight="15"/>
  <cols>
    <col min="1" max="1" width="11.140625" customWidth="1"/>
    <col min="2" max="2" width="10.140625" customWidth="1"/>
    <col min="4" max="4" width="13" customWidth="1"/>
  </cols>
  <sheetData>
    <row r="1" spans="1:4">
      <c r="A1" t="s">
        <v>21</v>
      </c>
      <c r="B1" t="s">
        <v>150</v>
      </c>
      <c r="C1" t="s">
        <v>22</v>
      </c>
      <c r="D1" t="s">
        <v>149</v>
      </c>
    </row>
    <row r="2" spans="1:4" hidden="1">
      <c r="A2" s="4">
        <v>44287</v>
      </c>
      <c r="B2" s="5">
        <v>0.31</v>
      </c>
      <c r="C2">
        <f>1+B2/100</f>
        <v>1.0031000000000001</v>
      </c>
      <c r="D2">
        <v>1.0031000000000001</v>
      </c>
    </row>
    <row r="3" spans="1:4" hidden="1">
      <c r="A3" s="4">
        <v>44317</v>
      </c>
      <c r="B3" s="5">
        <v>0.83</v>
      </c>
      <c r="C3">
        <f t="shared" ref="C3:C66" si="0">1+B3/100</f>
        <v>1.0083</v>
      </c>
      <c r="D3">
        <f>C3*D2</f>
        <v>1.01142573</v>
      </c>
    </row>
    <row r="4" spans="1:4">
      <c r="A4" s="4">
        <v>44348</v>
      </c>
      <c r="B4" s="5">
        <v>0.53</v>
      </c>
      <c r="C4">
        <f t="shared" si="0"/>
        <v>1.0053000000000001</v>
      </c>
      <c r="D4">
        <f>C4*D3</f>
        <v>1.016786286369</v>
      </c>
    </row>
    <row r="5" spans="1:4" hidden="1">
      <c r="A5" s="4">
        <v>44378</v>
      </c>
      <c r="B5" s="5">
        <v>0.96</v>
      </c>
      <c r="C5">
        <f t="shared" si="0"/>
        <v>1.0096000000000001</v>
      </c>
      <c r="D5">
        <v>1.0096000000000001</v>
      </c>
    </row>
    <row r="6" spans="1:4" hidden="1">
      <c r="A6" s="4">
        <v>44409</v>
      </c>
      <c r="B6" s="5">
        <v>0.87</v>
      </c>
      <c r="C6">
        <f t="shared" si="0"/>
        <v>1.0086999999999999</v>
      </c>
      <c r="D6">
        <f t="shared" ref="D4:D67" si="1">C6*D5</f>
        <v>1.01838352</v>
      </c>
    </row>
    <row r="7" spans="1:4" hidden="1">
      <c r="A7" s="4">
        <v>44440</v>
      </c>
      <c r="B7" s="5">
        <v>1.1599999999999999</v>
      </c>
      <c r="C7">
        <f t="shared" si="0"/>
        <v>1.0116000000000001</v>
      </c>
      <c r="D7">
        <f t="shared" si="1"/>
        <v>1.030196768832</v>
      </c>
    </row>
    <row r="8" spans="1:4" hidden="1">
      <c r="A8" s="4">
        <v>44470</v>
      </c>
      <c r="B8" s="5">
        <v>1.25</v>
      </c>
      <c r="C8">
        <f t="shared" si="0"/>
        <v>1.0125</v>
      </c>
      <c r="D8">
        <f t="shared" si="1"/>
        <v>1.0430742284423999</v>
      </c>
    </row>
    <row r="9" spans="1:4" hidden="1">
      <c r="A9" s="4">
        <v>44501</v>
      </c>
      <c r="B9" s="5">
        <v>0.95</v>
      </c>
      <c r="C9">
        <f t="shared" si="0"/>
        <v>1.0095000000000001</v>
      </c>
      <c r="D9">
        <f t="shared" si="1"/>
        <v>1.0529834336126027</v>
      </c>
    </row>
    <row r="10" spans="1:4">
      <c r="A10" s="4">
        <v>44531</v>
      </c>
      <c r="B10" s="5">
        <v>0.73</v>
      </c>
      <c r="C10">
        <f t="shared" si="0"/>
        <v>1.0073000000000001</v>
      </c>
      <c r="D10">
        <f t="shared" si="1"/>
        <v>1.0606702126779748</v>
      </c>
    </row>
    <row r="11" spans="1:4" hidden="1">
      <c r="A11" s="4">
        <v>44562</v>
      </c>
      <c r="B11" s="5">
        <v>0.54</v>
      </c>
      <c r="C11">
        <f t="shared" si="0"/>
        <v>1.0054000000000001</v>
      </c>
      <c r="D11">
        <f t="shared" si="1"/>
        <v>1.066397831826436</v>
      </c>
    </row>
    <row r="12" spans="1:4" hidden="1">
      <c r="A12" s="4">
        <v>44593</v>
      </c>
      <c r="B12" s="5">
        <v>1.01</v>
      </c>
      <c r="C12">
        <f t="shared" si="0"/>
        <v>1.0101</v>
      </c>
      <c r="D12">
        <f t="shared" si="1"/>
        <v>1.0771684499278831</v>
      </c>
    </row>
    <row r="13" spans="1:4" hidden="1">
      <c r="A13" s="4">
        <v>44621</v>
      </c>
      <c r="B13" s="5">
        <v>1.62</v>
      </c>
      <c r="C13">
        <f t="shared" si="0"/>
        <v>1.0162</v>
      </c>
      <c r="D13">
        <f t="shared" si="1"/>
        <v>1.0946185788167149</v>
      </c>
    </row>
    <row r="14" spans="1:4" hidden="1">
      <c r="A14" s="4">
        <v>44652</v>
      </c>
      <c r="B14" s="5">
        <v>1.06</v>
      </c>
      <c r="C14">
        <f t="shared" si="0"/>
        <v>1.0105999999999999</v>
      </c>
      <c r="D14">
        <f t="shared" si="1"/>
        <v>1.1062215357521721</v>
      </c>
    </row>
    <row r="15" spans="1:4" hidden="1">
      <c r="A15" s="4">
        <v>44682</v>
      </c>
      <c r="B15" s="5">
        <v>0.47</v>
      </c>
      <c r="C15">
        <f t="shared" si="0"/>
        <v>1.0046999999999999</v>
      </c>
      <c r="D15">
        <f t="shared" si="1"/>
        <v>1.1114207769702071</v>
      </c>
    </row>
    <row r="16" spans="1:4">
      <c r="A16" s="4">
        <v>44713</v>
      </c>
      <c r="B16" s="5">
        <v>0.67</v>
      </c>
      <c r="C16">
        <f t="shared" si="0"/>
        <v>1.0066999999999999</v>
      </c>
      <c r="D16">
        <f t="shared" si="1"/>
        <v>1.1188672961759074</v>
      </c>
    </row>
    <row r="17" spans="1:4" hidden="1">
      <c r="A17" s="4">
        <v>44743</v>
      </c>
      <c r="B17" s="5">
        <v>-0.68</v>
      </c>
      <c r="C17">
        <f t="shared" si="0"/>
        <v>0.99319999999999997</v>
      </c>
      <c r="D17">
        <f t="shared" si="1"/>
        <v>1.1112589985619112</v>
      </c>
    </row>
    <row r="18" spans="1:4" hidden="1">
      <c r="A18" s="4">
        <v>44774</v>
      </c>
      <c r="B18" s="5">
        <v>-0.36</v>
      </c>
      <c r="C18">
        <f t="shared" si="0"/>
        <v>0.99639999999999995</v>
      </c>
      <c r="D18">
        <f t="shared" si="1"/>
        <v>1.1072584661670883</v>
      </c>
    </row>
    <row r="19" spans="1:4" hidden="1">
      <c r="A19" s="4">
        <v>44805</v>
      </c>
      <c r="B19" s="5">
        <v>-0.28999999999999998</v>
      </c>
      <c r="C19">
        <f t="shared" si="0"/>
        <v>0.99709999999999999</v>
      </c>
      <c r="D19">
        <f t="shared" si="1"/>
        <v>1.1040474166152037</v>
      </c>
    </row>
    <row r="20" spans="1:4" hidden="1">
      <c r="A20" s="4">
        <v>44835</v>
      </c>
      <c r="B20">
        <v>0.33</v>
      </c>
      <c r="C20">
        <f t="shared" si="0"/>
        <v>1.0033000000000001</v>
      </c>
      <c r="D20">
        <f t="shared" si="1"/>
        <v>1.1076907730900338</v>
      </c>
    </row>
    <row r="21" spans="1:4" hidden="1">
      <c r="A21" s="4">
        <v>44866</v>
      </c>
      <c r="B21">
        <v>0.94638500140897963</v>
      </c>
      <c r="C21">
        <f t="shared" si="0"/>
        <v>1.0094638500140898</v>
      </c>
      <c r="D21">
        <f t="shared" si="1"/>
        <v>1.1181737924285491</v>
      </c>
    </row>
    <row r="22" spans="1:4">
      <c r="A22" s="4">
        <v>44896</v>
      </c>
      <c r="B22">
        <v>1.9531775560993834</v>
      </c>
      <c r="C22">
        <f t="shared" si="0"/>
        <v>1.0195317755609938</v>
      </c>
      <c r="D22">
        <f t="shared" si="1"/>
        <v>1.1400137119804488</v>
      </c>
    </row>
    <row r="23" spans="1:4" hidden="1">
      <c r="A23" s="4">
        <v>44927</v>
      </c>
      <c r="B23">
        <v>0.84570574593993919</v>
      </c>
      <c r="C23">
        <f t="shared" si="0"/>
        <v>1.0084570574593994</v>
      </c>
      <c r="D23">
        <f t="shared" si="1"/>
        <v>1.1496548734471705</v>
      </c>
    </row>
    <row r="24" spans="1:4" hidden="1">
      <c r="A24" s="4">
        <v>44958</v>
      </c>
      <c r="B24">
        <v>0.66448308609566664</v>
      </c>
      <c r="C24">
        <f t="shared" si="0"/>
        <v>1.0066448308609566</v>
      </c>
      <c r="D24">
        <f t="shared" si="1"/>
        <v>1.1572941356297015</v>
      </c>
    </row>
    <row r="25" spans="1:4" hidden="1">
      <c r="A25" s="4">
        <v>44986</v>
      </c>
      <c r="B25">
        <v>1.006792554690404</v>
      </c>
      <c r="C25">
        <f t="shared" si="0"/>
        <v>1.0100679255469041</v>
      </c>
      <c r="D25">
        <f t="shared" si="1"/>
        <v>1.1689456868230901</v>
      </c>
    </row>
    <row r="26" spans="1:4" hidden="1">
      <c r="A26" s="4">
        <v>45017</v>
      </c>
      <c r="B26">
        <v>1.1276076612532524</v>
      </c>
      <c r="C26">
        <f t="shared" si="0"/>
        <v>1.0112760766125326</v>
      </c>
      <c r="D26">
        <f t="shared" si="1"/>
        <v>1.1821268079435967</v>
      </c>
    </row>
    <row r="27" spans="1:4" hidden="1">
      <c r="A27" s="4">
        <v>45047</v>
      </c>
      <c r="B27">
        <v>0.41494999999999999</v>
      </c>
      <c r="C27">
        <f t="shared" si="0"/>
        <v>1.0041495</v>
      </c>
      <c r="D27">
        <f t="shared" si="1"/>
        <v>1.1870320431331587</v>
      </c>
    </row>
    <row r="28" spans="1:4">
      <c r="A28" s="4">
        <v>45078</v>
      </c>
      <c r="B28">
        <v>0.38303300000000001</v>
      </c>
      <c r="C28">
        <f t="shared" si="0"/>
        <v>1.00383033</v>
      </c>
      <c r="D28">
        <f t="shared" si="1"/>
        <v>1.1915787675789329</v>
      </c>
    </row>
    <row r="29" spans="1:4" hidden="1">
      <c r="A29" s="4">
        <v>45108</v>
      </c>
      <c r="B29">
        <v>0.35111999999999999</v>
      </c>
      <c r="C29">
        <f t="shared" si="0"/>
        <v>1.0035111999999999</v>
      </c>
      <c r="D29">
        <f t="shared" si="1"/>
        <v>1.1957626389476559</v>
      </c>
    </row>
    <row r="30" spans="1:4" hidden="1">
      <c r="A30" s="4">
        <v>45139</v>
      </c>
      <c r="B30">
        <v>0.17555687203791467</v>
      </c>
      <c r="C30">
        <f t="shared" si="0"/>
        <v>1.0017555687203792</v>
      </c>
      <c r="D30">
        <f t="shared" si="1"/>
        <v>1.1978618824335905</v>
      </c>
    </row>
    <row r="31" spans="1:4" hidden="1">
      <c r="A31" s="4">
        <v>45170</v>
      </c>
      <c r="B31">
        <v>9.5758293838862543E-2</v>
      </c>
      <c r="C31">
        <f t="shared" si="0"/>
        <v>1.0009575829383885</v>
      </c>
      <c r="D31">
        <f t="shared" si="1"/>
        <v>1.199008934534755</v>
      </c>
    </row>
    <row r="32" spans="1:4" hidden="1">
      <c r="A32" s="4">
        <v>45200</v>
      </c>
      <c r="B32">
        <v>0.12767772511848341</v>
      </c>
      <c r="C32">
        <f t="shared" si="0"/>
        <v>1.0012767772511848</v>
      </c>
      <c r="D32">
        <f t="shared" si="1"/>
        <v>1.2005398018663362</v>
      </c>
    </row>
    <row r="33" spans="1:4" hidden="1">
      <c r="A33" s="4">
        <v>45231</v>
      </c>
      <c r="B33">
        <v>0.66754478672985762</v>
      </c>
      <c r="C33">
        <f t="shared" si="0"/>
        <v>1.0066754478672986</v>
      </c>
      <c r="D33">
        <f t="shared" si="1"/>
        <v>1.2085539427263119</v>
      </c>
    </row>
    <row r="34" spans="1:4">
      <c r="A34" s="4">
        <v>45261</v>
      </c>
      <c r="B34">
        <v>1.3776988151658764</v>
      </c>
      <c r="C34">
        <f t="shared" si="0"/>
        <v>1.0137769881516587</v>
      </c>
      <c r="D34">
        <f t="shared" si="1"/>
        <v>1.2252041760758927</v>
      </c>
    </row>
    <row r="35" spans="1:4" hidden="1">
      <c r="A35" s="4">
        <v>45292</v>
      </c>
      <c r="B35">
        <v>0.59652938388625576</v>
      </c>
      <c r="C35">
        <f t="shared" si="0"/>
        <v>1.0059652938388626</v>
      </c>
      <c r="D35">
        <f t="shared" si="1"/>
        <v>1.2325128789987869</v>
      </c>
    </row>
    <row r="36" spans="1:4" hidden="1">
      <c r="A36" s="4">
        <v>45323</v>
      </c>
      <c r="B36">
        <v>0.46870165876777242</v>
      </c>
      <c r="C36">
        <f t="shared" si="0"/>
        <v>1.0046870165876778</v>
      </c>
      <c r="D36">
        <f t="shared" si="1"/>
        <v>1.2382896873071807</v>
      </c>
    </row>
    <row r="37" spans="1:4" hidden="1">
      <c r="A37" s="4">
        <v>45352</v>
      </c>
      <c r="B37">
        <v>0.71015402843601882</v>
      </c>
      <c r="C37">
        <f t="shared" si="0"/>
        <v>1.0071015402843602</v>
      </c>
      <c r="D37">
        <f t="shared" si="1"/>
        <v>1.2470834514053004</v>
      </c>
    </row>
    <row r="38" spans="1:4" hidden="1">
      <c r="A38" s="4">
        <v>45383</v>
      </c>
      <c r="B38">
        <v>0.79537251184834112</v>
      </c>
      <c r="C38">
        <f t="shared" si="0"/>
        <v>1.0079537251184834</v>
      </c>
      <c r="D38">
        <f t="shared" si="1"/>
        <v>1.2570024103775876</v>
      </c>
    </row>
    <row r="39" spans="1:4" hidden="1">
      <c r="A39" s="4">
        <v>45413</v>
      </c>
      <c r="B39">
        <v>0.3692800947867298</v>
      </c>
      <c r="C39">
        <f t="shared" si="0"/>
        <v>1.0036928009478674</v>
      </c>
      <c r="D39">
        <f t="shared" si="1"/>
        <v>1.2616442700701016</v>
      </c>
    </row>
    <row r="40" spans="1:4">
      <c r="A40" s="4">
        <v>45444</v>
      </c>
      <c r="B40">
        <v>0.34087393364928903</v>
      </c>
      <c r="C40">
        <f t="shared" si="0"/>
        <v>1.003408739336493</v>
      </c>
      <c r="D40">
        <f t="shared" si="1"/>
        <v>1.2659448865221505</v>
      </c>
    </row>
    <row r="41" spans="1:4" hidden="1">
      <c r="A41" s="4">
        <v>45474</v>
      </c>
      <c r="B41">
        <v>0.31246777251184826</v>
      </c>
      <c r="C41">
        <f t="shared" si="0"/>
        <v>1.0031246777251184</v>
      </c>
      <c r="D41">
        <f t="shared" si="1"/>
        <v>1.2699005563102939</v>
      </c>
    </row>
    <row r="42" spans="1:4" hidden="1">
      <c r="A42" s="4">
        <v>45505</v>
      </c>
      <c r="B42">
        <v>0.15623388625592413</v>
      </c>
      <c r="C42">
        <f t="shared" si="0"/>
        <v>1.0015623388625592</v>
      </c>
      <c r="D42">
        <f t="shared" si="1"/>
        <v>1.271884571301003</v>
      </c>
    </row>
    <row r="43" spans="1:4" hidden="1">
      <c r="A43" s="4">
        <v>45536</v>
      </c>
      <c r="B43">
        <v>8.5218483412322257E-2</v>
      </c>
      <c r="C43">
        <f t="shared" si="0"/>
        <v>1.0008521848341232</v>
      </c>
      <c r="D43">
        <f t="shared" si="1"/>
        <v>1.272968452043421</v>
      </c>
    </row>
    <row r="44" spans="1:4" hidden="1">
      <c r="A44" s="4">
        <v>45566</v>
      </c>
      <c r="B44">
        <v>0.11362464454976301</v>
      </c>
      <c r="C44">
        <f t="shared" si="0"/>
        <v>1.0011362464454976</v>
      </c>
      <c r="D44">
        <f t="shared" si="1"/>
        <v>1.2744148579222858</v>
      </c>
    </row>
    <row r="45" spans="1:4" hidden="1">
      <c r="A45" s="4">
        <v>45597</v>
      </c>
      <c r="B45">
        <v>0.64748625592417042</v>
      </c>
      <c r="C45">
        <f t="shared" si="0"/>
        <v>1.0064748625592417</v>
      </c>
      <c r="D45">
        <f t="shared" si="1"/>
        <v>1.2826665189707882</v>
      </c>
    </row>
    <row r="46" spans="1:4">
      <c r="A46" s="4">
        <v>45627</v>
      </c>
      <c r="B46">
        <v>1.3363014218009477</v>
      </c>
      <c r="C46">
        <f t="shared" si="0"/>
        <v>1.0133630142180095</v>
      </c>
      <c r="D46">
        <f t="shared" si="1"/>
        <v>1.2998068099007596</v>
      </c>
    </row>
    <row r="47" spans="1:4" hidden="1">
      <c r="A47" s="4">
        <v>45658</v>
      </c>
      <c r="B47">
        <v>0.57860473933649281</v>
      </c>
      <c r="C47">
        <f t="shared" si="0"/>
        <v>1.0057860473933649</v>
      </c>
      <c r="D47">
        <f t="shared" si="1"/>
        <v>1.3073275537050637</v>
      </c>
    </row>
    <row r="48" spans="1:4" hidden="1">
      <c r="A48" s="4">
        <v>45689</v>
      </c>
      <c r="B48">
        <v>0.45461800947867292</v>
      </c>
      <c r="C48">
        <f t="shared" si="0"/>
        <v>1.0045461800947868</v>
      </c>
      <c r="D48">
        <f t="shared" si="1"/>
        <v>1.3132709002070839</v>
      </c>
    </row>
    <row r="49" spans="1:4" hidden="1">
      <c r="A49" s="4">
        <v>45717</v>
      </c>
      <c r="B49">
        <v>0.68881516587677716</v>
      </c>
      <c r="C49">
        <f t="shared" si="0"/>
        <v>1.0068881516587678</v>
      </c>
      <c r="D49">
        <f t="shared" si="1"/>
        <v>1.3223169093367568</v>
      </c>
    </row>
    <row r="50" spans="1:4" hidden="1">
      <c r="A50" s="4">
        <v>45748</v>
      </c>
      <c r="B50">
        <v>0.77147298578199042</v>
      </c>
      <c r="C50">
        <f t="shared" si="0"/>
        <v>1.00771472985782</v>
      </c>
      <c r="D50">
        <f t="shared" si="1"/>
        <v>1.3325182270787173</v>
      </c>
    </row>
    <row r="51" spans="1:4" hidden="1">
      <c r="A51" s="4">
        <v>45778</v>
      </c>
      <c r="B51">
        <v>0.35818388625592412</v>
      </c>
      <c r="C51">
        <f t="shared" si="0"/>
        <v>1.0035818388625593</v>
      </c>
      <c r="D51">
        <f t="shared" si="1"/>
        <v>1.3372910926495363</v>
      </c>
    </row>
    <row r="52" spans="1:4">
      <c r="A52" s="4">
        <v>45809</v>
      </c>
      <c r="B52">
        <v>0.33063127962085304</v>
      </c>
      <c r="C52">
        <f t="shared" si="0"/>
        <v>1.0033063127962085</v>
      </c>
      <c r="D52">
        <f t="shared" si="1"/>
        <v>1.3417125953014191</v>
      </c>
    </row>
    <row r="53" spans="1:4" hidden="1">
      <c r="A53" s="4">
        <v>45839</v>
      </c>
      <c r="B53">
        <v>0.30307867298578195</v>
      </c>
      <c r="C53">
        <f t="shared" si="0"/>
        <v>1.0030307867298578</v>
      </c>
      <c r="D53">
        <f t="shared" si="1"/>
        <v>1.3457790400305416</v>
      </c>
    </row>
    <row r="54" spans="1:4" hidden="1">
      <c r="A54" s="4">
        <v>45870</v>
      </c>
      <c r="B54">
        <v>0.15153933649289097</v>
      </c>
      <c r="C54">
        <f t="shared" si="0"/>
        <v>1.001515393364929</v>
      </c>
      <c r="D54">
        <f t="shared" si="1"/>
        <v>1.3478184246584644</v>
      </c>
    </row>
    <row r="55" spans="1:4" hidden="1">
      <c r="A55" s="4">
        <v>45901</v>
      </c>
      <c r="B55">
        <v>8.2657819905213259E-2</v>
      </c>
      <c r="C55">
        <f t="shared" si="0"/>
        <v>1.0008265781990522</v>
      </c>
      <c r="D55">
        <f t="shared" si="1"/>
        <v>1.3489325019845679</v>
      </c>
    </row>
    <row r="56" spans="1:4" hidden="1">
      <c r="A56" s="4">
        <v>45931</v>
      </c>
      <c r="B56">
        <v>0.11021042654028435</v>
      </c>
      <c r="C56">
        <f t="shared" si="0"/>
        <v>1.0011021042654029</v>
      </c>
      <c r="D56">
        <f t="shared" si="1"/>
        <v>1.3504191662487457</v>
      </c>
    </row>
    <row r="57" spans="1:4" hidden="1">
      <c r="A57" s="4">
        <v>45962</v>
      </c>
      <c r="B57">
        <v>0.64681800947867285</v>
      </c>
      <c r="C57">
        <f t="shared" si="0"/>
        <v>1.0064681800947868</v>
      </c>
      <c r="D57">
        <f t="shared" si="1"/>
        <v>1.3591539206194945</v>
      </c>
    </row>
    <row r="58" spans="1:4">
      <c r="A58" s="4">
        <v>45992</v>
      </c>
      <c r="B58">
        <v>1.3349222748815164</v>
      </c>
      <c r="C58">
        <f t="shared" si="0"/>
        <v>1.0133492227488152</v>
      </c>
      <c r="D58">
        <f t="shared" si="1"/>
        <v>1.3772975690557696</v>
      </c>
    </row>
    <row r="59" spans="1:4" hidden="1">
      <c r="A59" s="4">
        <v>46023</v>
      </c>
      <c r="B59">
        <v>0.5780075829383885</v>
      </c>
      <c r="C59">
        <f t="shared" si="0"/>
        <v>1.0057800758293838</v>
      </c>
      <c r="D59">
        <f t="shared" si="1"/>
        <v>1.3852584534445378</v>
      </c>
    </row>
    <row r="60" spans="1:4" hidden="1">
      <c r="A60" s="4">
        <v>46054</v>
      </c>
      <c r="B60">
        <v>0.45414881516587668</v>
      </c>
      <c r="C60">
        <f t="shared" si="0"/>
        <v>1.0045414881516588</v>
      </c>
      <c r="D60">
        <f t="shared" si="1"/>
        <v>1.3915495882978413</v>
      </c>
    </row>
    <row r="61" spans="1:4" hidden="1">
      <c r="A61" s="4">
        <v>46082</v>
      </c>
      <c r="B61">
        <v>0.68810426540284353</v>
      </c>
      <c r="C61">
        <f t="shared" si="0"/>
        <v>1.0068810426540284</v>
      </c>
      <c r="D61">
        <f t="shared" si="1"/>
        <v>1.4011249003701145</v>
      </c>
    </row>
    <row r="62" spans="1:4" hidden="1">
      <c r="A62" s="4">
        <v>46113</v>
      </c>
      <c r="B62">
        <v>0.77067677725118466</v>
      </c>
      <c r="C62">
        <f t="shared" si="0"/>
        <v>1.0077067677725118</v>
      </c>
      <c r="D62">
        <f t="shared" si="1"/>
        <v>1.4119230445975506</v>
      </c>
    </row>
    <row r="63" spans="1:4" hidden="1">
      <c r="A63" s="4">
        <v>46143</v>
      </c>
      <c r="B63">
        <v>0.3578142180094786</v>
      </c>
      <c r="C63">
        <f t="shared" si="0"/>
        <v>1.0035781421800949</v>
      </c>
      <c r="D63">
        <f t="shared" si="1"/>
        <v>1.416975105998473</v>
      </c>
    </row>
    <row r="64" spans="1:4">
      <c r="A64" s="4">
        <v>46174</v>
      </c>
      <c r="B64">
        <v>0.33029004739336487</v>
      </c>
      <c r="C64">
        <f t="shared" si="0"/>
        <v>1.0033029004739336</v>
      </c>
      <c r="D64">
        <f t="shared" si="1"/>
        <v>1.4216552337476274</v>
      </c>
    </row>
    <row r="65" spans="1:4" hidden="1">
      <c r="A65" s="4">
        <v>46204</v>
      </c>
      <c r="B65">
        <v>0.30276587677725114</v>
      </c>
      <c r="C65">
        <f t="shared" si="0"/>
        <v>1.0030276587677724</v>
      </c>
      <c r="D65">
        <f t="shared" si="1"/>
        <v>1.4259595206808329</v>
      </c>
    </row>
    <row r="66" spans="1:4" hidden="1">
      <c r="A66" s="4">
        <v>46235</v>
      </c>
      <c r="B66">
        <v>0.15138293838862557</v>
      </c>
      <c r="C66">
        <f t="shared" si="0"/>
        <v>1.0015138293838863</v>
      </c>
      <c r="D66">
        <f t="shared" si="1"/>
        <v>1.4281181801034719</v>
      </c>
    </row>
    <row r="67" spans="1:4" hidden="1">
      <c r="A67" s="4">
        <v>46266</v>
      </c>
      <c r="B67">
        <v>8.2572511848341218E-2</v>
      </c>
      <c r="C67">
        <f t="shared" ref="C67:C130" si="2">1+B67/100</f>
        <v>1.0008257251184833</v>
      </c>
      <c r="D67">
        <f t="shared" si="1"/>
        <v>1.429297413156946</v>
      </c>
    </row>
    <row r="68" spans="1:4" hidden="1">
      <c r="A68" s="4">
        <v>46296</v>
      </c>
      <c r="B68">
        <v>0.11009668246445496</v>
      </c>
      <c r="C68">
        <f t="shared" si="2"/>
        <v>1.0011009668246444</v>
      </c>
      <c r="D68">
        <f t="shared" ref="D68:D131" si="3">C68*D67</f>
        <v>1.4308710221913818</v>
      </c>
    </row>
    <row r="69" spans="1:4" hidden="1">
      <c r="A69" s="4">
        <v>46327</v>
      </c>
      <c r="B69">
        <v>0.65048222748815143</v>
      </c>
      <c r="C69">
        <f t="shared" si="2"/>
        <v>1.0065048222748816</v>
      </c>
      <c r="D69">
        <f t="shared" si="3"/>
        <v>1.4401785838890149</v>
      </c>
    </row>
    <row r="70" spans="1:4">
      <c r="A70" s="4">
        <v>46357</v>
      </c>
      <c r="B70">
        <v>1.3424845971563977</v>
      </c>
      <c r="C70">
        <f t="shared" si="2"/>
        <v>1.013424845971564</v>
      </c>
      <c r="D70">
        <f t="shared" si="3"/>
        <v>1.4595127595492701</v>
      </c>
    </row>
    <row r="71" spans="1:4" hidden="1">
      <c r="A71" s="4">
        <v>46388</v>
      </c>
      <c r="B71">
        <v>0.5812819905213269</v>
      </c>
      <c r="C71">
        <f t="shared" si="2"/>
        <v>1.0058128199052132</v>
      </c>
      <c r="D71">
        <f t="shared" si="3"/>
        <v>1.4679966443698906</v>
      </c>
    </row>
    <row r="72" spans="1:4" hidden="1">
      <c r="A72" s="4">
        <v>46419</v>
      </c>
      <c r="B72">
        <v>0.45672156398104258</v>
      </c>
      <c r="C72">
        <f t="shared" si="2"/>
        <v>1.0045672156398104</v>
      </c>
      <c r="D72">
        <f t="shared" si="3"/>
        <v>1.474701301603246</v>
      </c>
    </row>
    <row r="73" spans="1:4" hidden="1">
      <c r="A73" s="4">
        <v>46447</v>
      </c>
      <c r="B73">
        <v>0.69200236966824635</v>
      </c>
      <c r="C73">
        <f t="shared" si="2"/>
        <v>1.0069200236966824</v>
      </c>
      <c r="D73">
        <f t="shared" si="3"/>
        <v>1.4849062695558688</v>
      </c>
    </row>
    <row r="74" spans="1:4" hidden="1">
      <c r="A74" s="4">
        <v>46478</v>
      </c>
      <c r="B74">
        <v>0.77504265402843586</v>
      </c>
      <c r="C74">
        <f t="shared" si="2"/>
        <v>1.0077504265402843</v>
      </c>
      <c r="D74">
        <f t="shared" si="3"/>
        <v>1.4964149265172693</v>
      </c>
    </row>
    <row r="75" spans="1:4" hidden="1">
      <c r="A75" s="4">
        <v>46508</v>
      </c>
      <c r="B75">
        <v>0.35984123222748809</v>
      </c>
      <c r="C75">
        <f t="shared" si="2"/>
        <v>1.003598412322275</v>
      </c>
      <c r="D75">
        <f t="shared" si="3"/>
        <v>1.5017996444280852</v>
      </c>
    </row>
    <row r="76" spans="1:4">
      <c r="A76" s="4">
        <v>46539</v>
      </c>
      <c r="B76">
        <v>0.3321611374407582</v>
      </c>
      <c r="C76">
        <f t="shared" si="2"/>
        <v>1.0033216113744077</v>
      </c>
      <c r="D76">
        <f t="shared" si="3"/>
        <v>1.5067880392090989</v>
      </c>
    </row>
    <row r="77" spans="1:4" hidden="1">
      <c r="A77" s="4">
        <v>46569</v>
      </c>
      <c r="B77">
        <v>0.30448104265402837</v>
      </c>
      <c r="C77">
        <f t="shared" si="2"/>
        <v>1.0030448104265404</v>
      </c>
      <c r="D77">
        <f t="shared" si="3"/>
        <v>1.511375923141469</v>
      </c>
    </row>
    <row r="78" spans="1:4" hidden="1">
      <c r="A78" s="4">
        <v>46600</v>
      </c>
      <c r="B78">
        <v>0.15224052132701418</v>
      </c>
      <c r="C78">
        <f t="shared" si="2"/>
        <v>1.0015224052132701</v>
      </c>
      <c r="D78">
        <f t="shared" si="3"/>
        <v>1.5136768497260704</v>
      </c>
    </row>
    <row r="79" spans="1:4" hidden="1">
      <c r="A79" s="4">
        <v>46631</v>
      </c>
      <c r="B79">
        <v>8.3040284360189551E-2</v>
      </c>
      <c r="C79">
        <f t="shared" si="2"/>
        <v>1.0008304028436019</v>
      </c>
      <c r="D79">
        <f t="shared" si="3"/>
        <v>1.5149338112863773</v>
      </c>
    </row>
    <row r="80" spans="1:4" hidden="1">
      <c r="A80" s="4">
        <v>46661</v>
      </c>
      <c r="B80">
        <v>0.11072037914691941</v>
      </c>
      <c r="C80">
        <f t="shared" si="2"/>
        <v>1.0011072037914692</v>
      </c>
      <c r="D80">
        <f t="shared" si="3"/>
        <v>1.5166111517460585</v>
      </c>
    </row>
    <row r="81" spans="1:4" hidden="1">
      <c r="A81" s="4">
        <v>46692</v>
      </c>
      <c r="B81">
        <v>0.65446943127962065</v>
      </c>
      <c r="C81">
        <f t="shared" si="2"/>
        <v>1.0065446943127963</v>
      </c>
      <c r="D81">
        <f t="shared" si="3"/>
        <v>1.5265369081256144</v>
      </c>
    </row>
    <row r="82" spans="1:4">
      <c r="A82" s="4">
        <v>46722</v>
      </c>
      <c r="B82">
        <v>1.3507135071090044</v>
      </c>
      <c r="C82">
        <f t="shared" si="2"/>
        <v>1.01350713507109</v>
      </c>
      <c r="D82">
        <f t="shared" si="3"/>
        <v>1.5471560483346711</v>
      </c>
    </row>
    <row r="83" spans="1:4" hidden="1">
      <c r="A83" s="4">
        <v>46753</v>
      </c>
      <c r="B83">
        <v>0.58484502369668234</v>
      </c>
      <c r="C83">
        <f t="shared" si="2"/>
        <v>1.0058484502369669</v>
      </c>
      <c r="D83">
        <f t="shared" si="3"/>
        <v>1.5562045134921787</v>
      </c>
    </row>
    <row r="84" spans="1:4" hidden="1">
      <c r="A84" s="4">
        <v>46784</v>
      </c>
      <c r="B84">
        <v>0.45952109004739328</v>
      </c>
      <c r="C84">
        <f t="shared" si="2"/>
        <v>1.0045952109004739</v>
      </c>
      <c r="D84">
        <f t="shared" si="3"/>
        <v>1.5633556014359447</v>
      </c>
    </row>
    <row r="85" spans="1:4" hidden="1">
      <c r="A85" s="4">
        <v>46813</v>
      </c>
      <c r="B85">
        <v>0.69624407582938375</v>
      </c>
      <c r="C85">
        <f t="shared" si="2"/>
        <v>1.0069624407582938</v>
      </c>
      <c r="D85">
        <f t="shared" si="3"/>
        <v>1.5742403721950891</v>
      </c>
    </row>
    <row r="86" spans="1:4" hidden="1">
      <c r="A86" s="4">
        <v>46844</v>
      </c>
      <c r="B86">
        <v>0.77979336492890983</v>
      </c>
      <c r="C86">
        <f t="shared" si="2"/>
        <v>1.007797933649289</v>
      </c>
      <c r="D86">
        <f t="shared" si="3"/>
        <v>1.5865161941654984</v>
      </c>
    </row>
    <row r="87" spans="1:4" hidden="1">
      <c r="A87" s="4">
        <v>46874</v>
      </c>
      <c r="B87">
        <v>0.36204691943127953</v>
      </c>
      <c r="C87">
        <f t="shared" si="2"/>
        <v>1.0036204691943127</v>
      </c>
      <c r="D87">
        <f t="shared" si="3"/>
        <v>1.5922601271727528</v>
      </c>
    </row>
    <row r="88" spans="1:4">
      <c r="A88" s="4">
        <v>46905</v>
      </c>
      <c r="B88">
        <v>0.33419715639810421</v>
      </c>
      <c r="C88">
        <f t="shared" si="2"/>
        <v>1.0033419715639811</v>
      </c>
      <c r="D88">
        <f t="shared" si="3"/>
        <v>1.597581415240225</v>
      </c>
    </row>
    <row r="89" spans="1:4" hidden="1">
      <c r="A89" s="4">
        <v>46935</v>
      </c>
      <c r="B89">
        <v>0.30634739336492883</v>
      </c>
      <c r="C89">
        <f t="shared" si="2"/>
        <v>1.0030634739336493</v>
      </c>
      <c r="D89">
        <f t="shared" si="3"/>
        <v>1.602475564262696</v>
      </c>
    </row>
    <row r="90" spans="1:4" hidden="1">
      <c r="A90" s="4">
        <v>46966</v>
      </c>
      <c r="B90">
        <v>0.15317369668246442</v>
      </c>
      <c r="C90">
        <f t="shared" si="2"/>
        <v>1.0015317369668246</v>
      </c>
      <c r="D90">
        <f t="shared" si="3"/>
        <v>1.6049301353229104</v>
      </c>
    </row>
    <row r="91" spans="1:4" hidden="1">
      <c r="A91" s="4">
        <v>46997</v>
      </c>
      <c r="B91">
        <v>8.3549289099526053E-2</v>
      </c>
      <c r="C91">
        <f t="shared" si="2"/>
        <v>1.0008354928909953</v>
      </c>
      <c r="D91">
        <f t="shared" si="3"/>
        <v>1.6062710430415168</v>
      </c>
    </row>
    <row r="92" spans="1:4" hidden="1">
      <c r="A92" s="4">
        <v>47027</v>
      </c>
      <c r="B92">
        <v>0.1113990521327014</v>
      </c>
      <c r="C92">
        <f t="shared" si="2"/>
        <v>1.0011139905213271</v>
      </c>
      <c r="D92">
        <f t="shared" si="3"/>
        <v>1.6080604137581473</v>
      </c>
    </row>
    <row r="93" spans="1:4" hidden="1">
      <c r="A93" s="4">
        <v>47058</v>
      </c>
      <c r="B93">
        <v>0.65791090047393341</v>
      </c>
      <c r="C93">
        <f t="shared" si="2"/>
        <v>1.0065791090047393</v>
      </c>
      <c r="D93">
        <f t="shared" si="3"/>
        <v>1.6186400185064684</v>
      </c>
    </row>
    <row r="94" spans="1:4">
      <c r="A94" s="4">
        <v>47088</v>
      </c>
      <c r="B94">
        <v>1.3578161137440754</v>
      </c>
      <c r="C94">
        <f t="shared" si="2"/>
        <v>1.0135781611374408</v>
      </c>
      <c r="D94">
        <f t="shared" si="3"/>
        <v>1.6406181735012595</v>
      </c>
    </row>
    <row r="95" spans="1:4" hidden="1">
      <c r="A95" s="4">
        <v>47119</v>
      </c>
      <c r="B95">
        <v>0.5879203791469193</v>
      </c>
      <c r="C95">
        <f t="shared" si="2"/>
        <v>1.0058792037914692</v>
      </c>
      <c r="D95">
        <f t="shared" si="3"/>
        <v>1.6502637020872615</v>
      </c>
    </row>
    <row r="96" spans="1:4" hidden="1">
      <c r="A96" s="4">
        <v>47150</v>
      </c>
      <c r="B96">
        <v>0.46193744075829374</v>
      </c>
      <c r="C96">
        <f t="shared" si="2"/>
        <v>1.0046193744075829</v>
      </c>
      <c r="D96">
        <f t="shared" si="3"/>
        <v>1.6578868879984463</v>
      </c>
    </row>
    <row r="97" spans="1:4" hidden="1">
      <c r="A97" s="4">
        <v>47178</v>
      </c>
      <c r="B97">
        <v>0.6999052132701421</v>
      </c>
      <c r="C97">
        <f t="shared" si="2"/>
        <v>1.0069990521327015</v>
      </c>
      <c r="D97">
        <f t="shared" si="3"/>
        <v>1.6694905247576697</v>
      </c>
    </row>
    <row r="98" spans="1:4" hidden="1">
      <c r="A98" s="4">
        <v>47209</v>
      </c>
      <c r="B98">
        <v>0.78389383886255903</v>
      </c>
      <c r="C98">
        <f t="shared" si="2"/>
        <v>1.0078389383886255</v>
      </c>
      <c r="D98">
        <f t="shared" si="3"/>
        <v>1.6825775581216391</v>
      </c>
    </row>
    <row r="99" spans="1:4" hidden="1">
      <c r="A99" s="4">
        <v>47239</v>
      </c>
      <c r="B99">
        <v>0.36395071090047387</v>
      </c>
      <c r="C99">
        <f t="shared" si="2"/>
        <v>1.0036395071090047</v>
      </c>
      <c r="D99">
        <f t="shared" si="3"/>
        <v>1.6887013111058746</v>
      </c>
    </row>
    <row r="100" spans="1:4">
      <c r="A100" s="4">
        <v>47270</v>
      </c>
      <c r="B100">
        <v>0.33595450236966817</v>
      </c>
      <c r="C100">
        <f t="shared" si="2"/>
        <v>1.0033595450236967</v>
      </c>
      <c r="D100">
        <f t="shared" si="3"/>
        <v>1.6943745791921105</v>
      </c>
    </row>
    <row r="101" spans="1:4" hidden="1">
      <c r="A101" s="4">
        <v>47300</v>
      </c>
      <c r="B101">
        <v>0.30795829383886247</v>
      </c>
      <c r="C101">
        <f t="shared" si="2"/>
        <v>1.0030795829383887</v>
      </c>
      <c r="D101">
        <f t="shared" si="3"/>
        <v>1.6995925462374302</v>
      </c>
    </row>
    <row r="102" spans="1:4" hidden="1">
      <c r="A102" s="4">
        <v>47331</v>
      </c>
      <c r="B102">
        <v>0.15397914691943124</v>
      </c>
      <c r="C102">
        <f t="shared" si="2"/>
        <v>1.0015397914691944</v>
      </c>
      <c r="D102">
        <f t="shared" si="3"/>
        <v>1.7022095643412329</v>
      </c>
    </row>
    <row r="103" spans="1:4" hidden="1">
      <c r="A103" s="4">
        <v>47362</v>
      </c>
      <c r="B103">
        <v>8.3988625592417043E-2</v>
      </c>
      <c r="C103">
        <f t="shared" si="2"/>
        <v>1.0008398862559242</v>
      </c>
      <c r="D103">
        <f t="shared" si="3"/>
        <v>1.7036392267590259</v>
      </c>
    </row>
    <row r="104" spans="1:4" hidden="1">
      <c r="A104" s="4">
        <v>47392</v>
      </c>
      <c r="B104">
        <v>0.11198483412322273</v>
      </c>
      <c r="C104">
        <f t="shared" si="2"/>
        <v>1.0011198483412322</v>
      </c>
      <c r="D104">
        <f t="shared" si="3"/>
        <v>1.7055470443211702</v>
      </c>
    </row>
    <row r="105" spans="1:4" hidden="1">
      <c r="A105" s="4">
        <v>47423</v>
      </c>
      <c r="B105">
        <v>0.66068412322274861</v>
      </c>
      <c r="C105">
        <f t="shared" si="2"/>
        <v>1.0066068412322275</v>
      </c>
      <c r="D105">
        <f t="shared" si="3"/>
        <v>1.716815322857095</v>
      </c>
    </row>
    <row r="106" spans="1:4">
      <c r="A106" s="4">
        <v>47453</v>
      </c>
      <c r="B106">
        <v>1.3635395734597153</v>
      </c>
      <c r="C106">
        <f t="shared" si="2"/>
        <v>1.0136353957345972</v>
      </c>
      <c r="D106">
        <f t="shared" si="3"/>
        <v>1.7402247791874716</v>
      </c>
    </row>
    <row r="107" spans="1:4" hidden="1">
      <c r="A107" s="4">
        <v>47484</v>
      </c>
      <c r="B107">
        <v>0.59039857819905206</v>
      </c>
      <c r="C107">
        <f t="shared" si="2"/>
        <v>1.0059039857819905</v>
      </c>
      <c r="D107">
        <f t="shared" si="3"/>
        <v>1.750499041541262</v>
      </c>
    </row>
    <row r="108" spans="1:4" hidden="1">
      <c r="A108" s="4">
        <v>47515</v>
      </c>
      <c r="B108">
        <v>0.46388459715639807</v>
      </c>
      <c r="C108">
        <f t="shared" si="2"/>
        <v>1.0046388459715641</v>
      </c>
      <c r="D108">
        <f t="shared" si="3"/>
        <v>1.7586193369683425</v>
      </c>
    </row>
    <row r="109" spans="1:4" hidden="1">
      <c r="A109" s="4">
        <v>47543</v>
      </c>
      <c r="B109">
        <v>0.70285545023696683</v>
      </c>
      <c r="C109">
        <f t="shared" si="2"/>
        <v>1.0070285545023696</v>
      </c>
      <c r="D109">
        <f t="shared" si="3"/>
        <v>1.7709798888271455</v>
      </c>
    </row>
    <row r="110" spans="1:4" hidden="1">
      <c r="A110" s="4">
        <v>47574</v>
      </c>
      <c r="B110">
        <v>0.78719810426540271</v>
      </c>
      <c r="C110">
        <f t="shared" si="2"/>
        <v>1.007871981042654</v>
      </c>
      <c r="D110">
        <f t="shared" si="3"/>
        <v>1.7849210089389143</v>
      </c>
    </row>
    <row r="111" spans="1:4" hidden="1">
      <c r="A111" s="4">
        <v>47604</v>
      </c>
      <c r="B111">
        <v>0.36548483412322269</v>
      </c>
      <c r="C111">
        <f t="shared" si="2"/>
        <v>1.0036548483412322</v>
      </c>
      <c r="D111">
        <f t="shared" si="3"/>
        <v>1.7914446245276652</v>
      </c>
    </row>
    <row r="112" spans="1:4">
      <c r="A112" s="4">
        <v>47635</v>
      </c>
      <c r="B112">
        <v>0.33737061611374403</v>
      </c>
      <c r="C112">
        <f t="shared" si="2"/>
        <v>1.0033737061611374</v>
      </c>
      <c r="D112">
        <f t="shared" si="3"/>
        <v>1.7974884322947706</v>
      </c>
    </row>
    <row r="113" spans="1:4" hidden="1">
      <c r="A113" s="4">
        <v>47665</v>
      </c>
      <c r="B113">
        <v>0.30925639810426536</v>
      </c>
      <c r="C113">
        <f t="shared" si="2"/>
        <v>1.0030925639810426</v>
      </c>
      <c r="D113">
        <f t="shared" si="3"/>
        <v>1.8030472802768263</v>
      </c>
    </row>
    <row r="114" spans="1:4" hidden="1">
      <c r="A114" s="4">
        <v>47696</v>
      </c>
      <c r="B114">
        <v>0.15462819905213268</v>
      </c>
      <c r="C114">
        <f t="shared" si="2"/>
        <v>1.0015462819905214</v>
      </c>
      <c r="D114">
        <f t="shared" si="3"/>
        <v>1.805835299814377</v>
      </c>
    </row>
    <row r="115" spans="1:4" hidden="1">
      <c r="A115" s="4">
        <v>47727</v>
      </c>
      <c r="B115">
        <v>8.4342654028436007E-2</v>
      </c>
      <c r="C115">
        <f t="shared" si="2"/>
        <v>1.0008434265402844</v>
      </c>
      <c r="D115">
        <f t="shared" si="3"/>
        <v>1.8073583892336227</v>
      </c>
    </row>
    <row r="116" spans="1:4" hidden="1">
      <c r="A116" s="4">
        <v>47757</v>
      </c>
      <c r="B116">
        <v>0.11245687203791468</v>
      </c>
      <c r="C116">
        <f t="shared" si="2"/>
        <v>1.0011245687203791</v>
      </c>
      <c r="D116">
        <f t="shared" si="3"/>
        <v>1.8093908879446696</v>
      </c>
    </row>
    <row r="117" spans="1:4" hidden="1">
      <c r="A117" s="4">
        <v>47788</v>
      </c>
      <c r="B117">
        <v>0.66295616113744049</v>
      </c>
      <c r="C117">
        <f t="shared" si="2"/>
        <v>1.0066295616113745</v>
      </c>
      <c r="D117">
        <f t="shared" si="3"/>
        <v>1.8213863563153585</v>
      </c>
    </row>
    <row r="118" spans="1:4">
      <c r="A118" s="4">
        <v>47818</v>
      </c>
      <c r="B118">
        <v>1.3682286729857818</v>
      </c>
      <c r="C118">
        <f t="shared" si="2"/>
        <v>1.0136822867298578</v>
      </c>
      <c r="D118">
        <f t="shared" si="3"/>
        <v>1.8463070866883162</v>
      </c>
    </row>
    <row r="119" spans="1:4" hidden="1">
      <c r="A119" s="4">
        <v>47849</v>
      </c>
      <c r="B119">
        <v>0.59242890995260655</v>
      </c>
      <c r="C119">
        <f t="shared" si="2"/>
        <v>1.0059242890995261</v>
      </c>
      <c r="D119">
        <f t="shared" si="3"/>
        <v>1.8572451436363617</v>
      </c>
    </row>
    <row r="120" spans="1:4" hidden="1">
      <c r="A120" s="4">
        <v>47880</v>
      </c>
      <c r="B120">
        <v>0.46547985781990514</v>
      </c>
      <c r="C120">
        <f t="shared" si="2"/>
        <v>1.0046547985781991</v>
      </c>
      <c r="D120">
        <f t="shared" si="3"/>
        <v>1.8658902456903275</v>
      </c>
    </row>
    <row r="121" spans="1:4" hidden="1">
      <c r="A121" s="4">
        <v>47908</v>
      </c>
      <c r="B121">
        <v>0.70527251184834117</v>
      </c>
      <c r="C121">
        <f t="shared" si="2"/>
        <v>1.0070527251184833</v>
      </c>
      <c r="D121">
        <f t="shared" si="3"/>
        <v>1.8790498566944407</v>
      </c>
    </row>
    <row r="122" spans="1:4" hidden="1">
      <c r="A122" s="4">
        <v>47939</v>
      </c>
      <c r="B122">
        <v>0.78990521327014207</v>
      </c>
      <c r="C122">
        <f t="shared" si="2"/>
        <v>1.0078990521327014</v>
      </c>
      <c r="D122">
        <f t="shared" si="3"/>
        <v>1.8938925694724151</v>
      </c>
    </row>
    <row r="123" spans="1:4" hidden="1">
      <c r="A123" s="4">
        <v>47969</v>
      </c>
      <c r="B123">
        <v>0.36674170616113738</v>
      </c>
      <c r="C123">
        <f t="shared" si="2"/>
        <v>1.0036674170616113</v>
      </c>
      <c r="D123">
        <f t="shared" si="3"/>
        <v>1.9008382633945573</v>
      </c>
    </row>
    <row r="124" spans="1:4">
      <c r="A124" s="4">
        <v>48000</v>
      </c>
      <c r="B124">
        <v>0.33853080568720373</v>
      </c>
      <c r="C124">
        <f t="shared" si="2"/>
        <v>1.003385308056872</v>
      </c>
      <c r="D124">
        <f t="shared" si="3"/>
        <v>1.9072731864824375</v>
      </c>
    </row>
    <row r="125" spans="1:4" hidden="1">
      <c r="A125" s="4">
        <v>48030</v>
      </c>
      <c r="B125">
        <v>0.31031990521327008</v>
      </c>
      <c r="C125">
        <f t="shared" si="2"/>
        <v>1.0031031990521326</v>
      </c>
      <c r="D125">
        <f t="shared" si="3"/>
        <v>1.9131918348268877</v>
      </c>
    </row>
    <row r="126" spans="1:4" hidden="1">
      <c r="A126" s="4">
        <v>48061</v>
      </c>
      <c r="B126">
        <v>0.15515995260663504</v>
      </c>
      <c r="C126">
        <f t="shared" si="2"/>
        <v>1.0015515995260664</v>
      </c>
      <c r="D126">
        <f t="shared" si="3"/>
        <v>1.9161603423710794</v>
      </c>
    </row>
    <row r="127" spans="1:4" hidden="1">
      <c r="A127" s="4">
        <v>48092</v>
      </c>
      <c r="B127">
        <v>8.4632701421800932E-2</v>
      </c>
      <c r="C127">
        <f t="shared" si="2"/>
        <v>1.0008463270142181</v>
      </c>
      <c r="D127">
        <f t="shared" si="3"/>
        <v>1.9177820406324013</v>
      </c>
    </row>
    <row r="128" spans="1:4" hidden="1">
      <c r="A128" s="4">
        <v>48122</v>
      </c>
      <c r="B128">
        <v>0.11315639810426539</v>
      </c>
      <c r="C128">
        <f t="shared" si="2"/>
        <v>1.0011315639810427</v>
      </c>
      <c r="D128">
        <f t="shared" si="3"/>
        <v>1.9199521337130716</v>
      </c>
    </row>
    <row r="129" spans="1:4" hidden="1">
      <c r="A129" s="4">
        <v>48153</v>
      </c>
      <c r="B129">
        <v>0.66479383886255905</v>
      </c>
      <c r="C129">
        <f t="shared" si="2"/>
        <v>1.0066479383886255</v>
      </c>
      <c r="D129">
        <f t="shared" si="3"/>
        <v>1.9327158572071061</v>
      </c>
    </row>
    <row r="130" spans="1:4">
      <c r="A130" s="4">
        <v>48183</v>
      </c>
      <c r="B130">
        <v>1.3720213270142179</v>
      </c>
      <c r="C130">
        <f t="shared" si="2"/>
        <v>1.0137202132701422</v>
      </c>
      <c r="D130">
        <f t="shared" si="3"/>
        <v>1.9592331309585733</v>
      </c>
    </row>
    <row r="131" spans="1:4" hidden="1">
      <c r="A131" s="4">
        <v>48214</v>
      </c>
      <c r="B131">
        <v>0.59407109004739334</v>
      </c>
      <c r="C131">
        <f t="shared" ref="C131:C194" si="4">1+B131/100</f>
        <v>1.0059407109004739</v>
      </c>
      <c r="D131">
        <f t="shared" si="3"/>
        <v>1.9708723685762284</v>
      </c>
    </row>
    <row r="132" spans="1:4" hidden="1">
      <c r="A132" s="4">
        <v>48245</v>
      </c>
      <c r="B132">
        <v>0.46677014218009472</v>
      </c>
      <c r="C132">
        <f t="shared" si="4"/>
        <v>1.0046677014218008</v>
      </c>
      <c r="D132">
        <f t="shared" ref="D132:D195" si="5">C132*D131</f>
        <v>1.9800718123332197</v>
      </c>
    </row>
    <row r="133" spans="1:4" hidden="1">
      <c r="A133" s="4">
        <v>48274</v>
      </c>
      <c r="B133">
        <v>0.7072274881516587</v>
      </c>
      <c r="C133">
        <f t="shared" si="4"/>
        <v>1.0070722748815166</v>
      </c>
      <c r="D133">
        <f t="shared" si="5"/>
        <v>1.994075424475183</v>
      </c>
    </row>
    <row r="134" spans="1:4" hidden="1">
      <c r="A134" s="4">
        <v>48305</v>
      </c>
      <c r="B134">
        <v>0.79209478672985778</v>
      </c>
      <c r="C134">
        <f t="shared" si="4"/>
        <v>1.0079209478672986</v>
      </c>
      <c r="D134">
        <f t="shared" si="5"/>
        <v>2.0098703919559124</v>
      </c>
    </row>
    <row r="135" spans="1:4" hidden="1">
      <c r="A135" s="4">
        <v>48335</v>
      </c>
      <c r="B135">
        <v>0.36775829383886255</v>
      </c>
      <c r="C135">
        <f t="shared" si="4"/>
        <v>1.0036775829383886</v>
      </c>
      <c r="D135">
        <f t="shared" si="5"/>
        <v>2.0172618570177421</v>
      </c>
    </row>
    <row r="136" spans="1:4">
      <c r="A136" s="4">
        <v>48366</v>
      </c>
      <c r="B136">
        <v>0.33946919431279615</v>
      </c>
      <c r="C136">
        <f t="shared" si="4"/>
        <v>1.003394691943128</v>
      </c>
      <c r="D136">
        <f t="shared" si="5"/>
        <v>2.0241098395909396</v>
      </c>
    </row>
    <row r="137" spans="1:4" hidden="1">
      <c r="A137" s="4">
        <v>48396</v>
      </c>
      <c r="B137">
        <v>0.31118009478672981</v>
      </c>
      <c r="C137">
        <f t="shared" si="4"/>
        <v>1.0031118009478672</v>
      </c>
      <c r="D137">
        <f t="shared" si="5"/>
        <v>2.0304084665083661</v>
      </c>
    </row>
    <row r="138" spans="1:4" hidden="1">
      <c r="A138" s="4">
        <v>48427</v>
      </c>
      <c r="B138">
        <v>0.15559004739336491</v>
      </c>
      <c r="C138">
        <f t="shared" si="4"/>
        <v>1.0015559004739336</v>
      </c>
      <c r="D138">
        <f t="shared" si="5"/>
        <v>2.0335675800036852</v>
      </c>
    </row>
    <row r="139" spans="1:4" hidden="1">
      <c r="A139" s="4">
        <v>48458</v>
      </c>
      <c r="B139">
        <v>8.4867298578199038E-2</v>
      </c>
      <c r="C139">
        <f t="shared" si="4"/>
        <v>1.000848672985782</v>
      </c>
      <c r="D139">
        <f t="shared" si="5"/>
        <v>2.0352934138735965</v>
      </c>
    </row>
    <row r="140" spans="1:4" hidden="1">
      <c r="A140" s="4">
        <v>48488</v>
      </c>
      <c r="B140">
        <v>0.11341207582938387</v>
      </c>
      <c r="C140">
        <f t="shared" si="4"/>
        <v>1.0011341207582938</v>
      </c>
      <c r="D140">
        <f t="shared" si="5"/>
        <v>2.0376016823834893</v>
      </c>
    </row>
    <row r="141" spans="1:4" hidden="1">
      <c r="A141" s="4">
        <v>48519</v>
      </c>
      <c r="B141">
        <v>0.66629594549763016</v>
      </c>
      <c r="C141">
        <f t="shared" si="4"/>
        <v>1.0066629594549763</v>
      </c>
      <c r="D141">
        <f t="shared" si="5"/>
        <v>2.0511781397786018</v>
      </c>
    </row>
    <row r="142" spans="1:4">
      <c r="A142" s="4">
        <v>48549</v>
      </c>
      <c r="B142">
        <v>1.3751214194312793</v>
      </c>
      <c r="C142">
        <f t="shared" si="4"/>
        <v>1.0137512141943128</v>
      </c>
      <c r="D142">
        <f t="shared" si="5"/>
        <v>2.0793843297293892</v>
      </c>
    </row>
    <row r="143" spans="1:4" hidden="1">
      <c r="A143" s="4">
        <v>48580</v>
      </c>
      <c r="B143">
        <v>0.5954133981042653</v>
      </c>
      <c r="C143">
        <f t="shared" si="4"/>
        <v>1.0059541339810427</v>
      </c>
      <c r="D143">
        <f t="shared" si="5"/>
        <v>2.0917652626266787</v>
      </c>
    </row>
    <row r="144" spans="1:4" hidden="1">
      <c r="A144" s="4">
        <v>48611</v>
      </c>
      <c r="B144">
        <v>0.46782481279620847</v>
      </c>
      <c r="C144">
        <f t="shared" si="4"/>
        <v>1.0046782481279621</v>
      </c>
      <c r="D144">
        <f t="shared" si="5"/>
        <v>2.1015510595506983</v>
      </c>
    </row>
    <row r="145" spans="1:4" hidden="1">
      <c r="A145" s="4">
        <v>48639</v>
      </c>
      <c r="B145">
        <v>0.70882547393364925</v>
      </c>
      <c r="C145">
        <f t="shared" si="4"/>
        <v>1.0070882547393365</v>
      </c>
      <c r="D145">
        <f t="shared" si="5"/>
        <v>2.116447388808516</v>
      </c>
    </row>
    <row r="146" spans="1:4" hidden="1">
      <c r="A146" s="4">
        <v>48670</v>
      </c>
      <c r="B146">
        <v>0.79388453080568711</v>
      </c>
      <c r="C146">
        <f t="shared" si="4"/>
        <v>1.0079388453080569</v>
      </c>
      <c r="D146">
        <f t="shared" si="5"/>
        <v>2.1332495372309079</v>
      </c>
    </row>
    <row r="147" spans="1:4" hidden="1">
      <c r="A147" s="4">
        <v>48700</v>
      </c>
      <c r="B147">
        <v>0.36858924644549756</v>
      </c>
      <c r="C147">
        <f t="shared" si="4"/>
        <v>1.0036858924644549</v>
      </c>
      <c r="D147">
        <f t="shared" si="5"/>
        <v>2.1411124656249894</v>
      </c>
    </row>
    <row r="148" spans="1:4">
      <c r="A148" s="4">
        <v>48731</v>
      </c>
      <c r="B148">
        <v>0.34023622748815158</v>
      </c>
      <c r="C148">
        <f t="shared" si="4"/>
        <v>1.0034023622748816</v>
      </c>
      <c r="D148">
        <f t="shared" si="5"/>
        <v>2.1483973059043104</v>
      </c>
    </row>
    <row r="149" spans="1:4" hidden="1">
      <c r="A149" s="4">
        <v>48761</v>
      </c>
      <c r="B149">
        <v>0.31188320853080564</v>
      </c>
      <c r="C149">
        <f t="shared" si="4"/>
        <v>1.0031188320853082</v>
      </c>
      <c r="D149">
        <f t="shared" si="5"/>
        <v>2.1550977963539544</v>
      </c>
    </row>
    <row r="150" spans="1:4" hidden="1">
      <c r="A150" s="4">
        <v>48792</v>
      </c>
      <c r="B150">
        <v>0.15594160426540282</v>
      </c>
      <c r="C150">
        <f t="shared" si="4"/>
        <v>1.001559416042654</v>
      </c>
      <c r="D150">
        <f t="shared" si="5"/>
        <v>2.1584584904310771</v>
      </c>
    </row>
    <row r="151" spans="1:4" hidden="1">
      <c r="A151" s="4">
        <v>48823</v>
      </c>
      <c r="B151">
        <v>8.5059056872037894E-2</v>
      </c>
      <c r="C151">
        <f t="shared" si="4"/>
        <v>1.0008505905687204</v>
      </c>
      <c r="D151">
        <f t="shared" si="5"/>
        <v>2.1602944548660123</v>
      </c>
    </row>
    <row r="152" spans="1:4" hidden="1">
      <c r="A152" s="4">
        <v>48853</v>
      </c>
      <c r="B152">
        <v>0.11362790521327013</v>
      </c>
      <c r="C152">
        <f t="shared" si="4"/>
        <v>1.0011362790521328</v>
      </c>
      <c r="D152">
        <f t="shared" si="5"/>
        <v>2.1627491522015152</v>
      </c>
    </row>
    <row r="153" spans="1:4" hidden="1">
      <c r="A153" s="4">
        <v>48884</v>
      </c>
      <c r="B153">
        <v>0.66756394312796186</v>
      </c>
      <c r="C153">
        <f t="shared" si="4"/>
        <v>1.0066756394312797</v>
      </c>
      <c r="D153">
        <f t="shared" si="5"/>
        <v>2.1771868857219183</v>
      </c>
    </row>
    <row r="154" spans="1:4">
      <c r="A154" s="4">
        <v>48914</v>
      </c>
      <c r="B154">
        <v>1.3777383507109002</v>
      </c>
      <c r="C154">
        <f t="shared" si="4"/>
        <v>1.0137773835071091</v>
      </c>
      <c r="D154">
        <f t="shared" si="5"/>
        <v>2.2071828244131577</v>
      </c>
    </row>
    <row r="155" spans="1:4" hidden="1">
      <c r="A155" s="4">
        <v>48945</v>
      </c>
      <c r="B155">
        <v>0.59654650236966811</v>
      </c>
      <c r="C155">
        <f t="shared" si="4"/>
        <v>1.0059654650236967</v>
      </c>
      <c r="D155">
        <f t="shared" si="5"/>
        <v>2.2203496963530984</v>
      </c>
    </row>
    <row r="156" spans="1:4" hidden="1">
      <c r="A156" s="4">
        <v>48976</v>
      </c>
      <c r="B156">
        <v>0.46871510900473923</v>
      </c>
      <c r="C156">
        <f t="shared" si="4"/>
        <v>1.0046871510900475</v>
      </c>
      <c r="D156">
        <f t="shared" si="5"/>
        <v>2.2307568108526463</v>
      </c>
    </row>
    <row r="157" spans="1:4" hidden="1">
      <c r="A157" s="4">
        <v>49004</v>
      </c>
      <c r="B157">
        <v>0.71017440758293826</v>
      </c>
      <c r="C157">
        <f t="shared" si="4"/>
        <v>1.0071017440758294</v>
      </c>
      <c r="D157">
        <f t="shared" si="5"/>
        <v>2.2465990748187354</v>
      </c>
    </row>
    <row r="158" spans="1:4" hidden="1">
      <c r="A158" s="4">
        <v>49035</v>
      </c>
      <c r="B158">
        <v>0.79539533649289085</v>
      </c>
      <c r="C158">
        <f t="shared" si="4"/>
        <v>1.0079539533649289</v>
      </c>
      <c r="D158">
        <f t="shared" si="5"/>
        <v>2.2644684190895359</v>
      </c>
    </row>
    <row r="159" spans="1:4" hidden="1">
      <c r="A159" s="4">
        <v>49065</v>
      </c>
      <c r="B159">
        <v>0.36929069194312786</v>
      </c>
      <c r="C159">
        <f t="shared" si="4"/>
        <v>1.0036929069194314</v>
      </c>
      <c r="D159">
        <f t="shared" si="5"/>
        <v>2.2728308901832253</v>
      </c>
    </row>
    <row r="160" spans="1:4">
      <c r="A160" s="4">
        <v>49096</v>
      </c>
      <c r="B160">
        <v>0.34088371563981035</v>
      </c>
      <c r="C160">
        <f t="shared" si="4"/>
        <v>1.0034088371563981</v>
      </c>
      <c r="D160">
        <f t="shared" si="5"/>
        <v>2.2805786005718911</v>
      </c>
    </row>
    <row r="161" spans="1:4" hidden="1">
      <c r="A161" s="4">
        <v>49126</v>
      </c>
      <c r="B161">
        <v>0.31247673933649284</v>
      </c>
      <c r="C161">
        <f t="shared" si="4"/>
        <v>1.003124767393365</v>
      </c>
      <c r="D161">
        <f t="shared" si="5"/>
        <v>2.2877048782209641</v>
      </c>
    </row>
    <row r="162" spans="1:4" hidden="1">
      <c r="A162" s="4">
        <v>49157</v>
      </c>
      <c r="B162">
        <v>0.15623836966824642</v>
      </c>
      <c r="C162">
        <f t="shared" si="4"/>
        <v>1.0015623836966825</v>
      </c>
      <c r="D162">
        <f t="shared" si="5"/>
        <v>2.2912791510255177</v>
      </c>
    </row>
    <row r="163" spans="1:4" hidden="1">
      <c r="A163" s="4">
        <v>49188</v>
      </c>
      <c r="B163">
        <v>8.5220928909952587E-2</v>
      </c>
      <c r="C163">
        <f t="shared" si="4"/>
        <v>1.0008522092890995</v>
      </c>
      <c r="D163">
        <f t="shared" si="5"/>
        <v>2.2932318004019416</v>
      </c>
    </row>
    <row r="164" spans="1:4" hidden="1">
      <c r="A164" s="4">
        <v>49218</v>
      </c>
      <c r="B164">
        <v>0.11381074881516587</v>
      </c>
      <c r="C164">
        <f t="shared" si="4"/>
        <v>1.0011381074881516</v>
      </c>
      <c r="D164">
        <f t="shared" si="5"/>
        <v>2.2958417446860464</v>
      </c>
    </row>
    <row r="165" spans="1:4" hidden="1">
      <c r="A165" s="4">
        <v>49249</v>
      </c>
      <c r="B165">
        <v>0.66863814928909937</v>
      </c>
      <c r="C165">
        <f t="shared" si="4"/>
        <v>1.006686381492891</v>
      </c>
      <c r="D165">
        <f t="shared" si="5"/>
        <v>2.311192618438322</v>
      </c>
    </row>
    <row r="166" spans="1:4">
      <c r="A166" s="4">
        <v>49279</v>
      </c>
      <c r="B166">
        <v>1.3799553293838862</v>
      </c>
      <c r="C166">
        <f t="shared" si="4"/>
        <v>1.0137995532938389</v>
      </c>
      <c r="D166">
        <f t="shared" si="5"/>
        <v>2.3430860441487886</v>
      </c>
    </row>
    <row r="167" spans="1:4" hidden="1">
      <c r="A167" s="4">
        <v>49310</v>
      </c>
      <c r="B167">
        <v>0.59750643127962078</v>
      </c>
      <c r="C167">
        <f t="shared" si="4"/>
        <v>1.0059750643127963</v>
      </c>
      <c r="D167">
        <f t="shared" si="5"/>
        <v>2.3570861339529929</v>
      </c>
    </row>
    <row r="168" spans="1:4" hidden="1">
      <c r="A168" s="4">
        <v>49341</v>
      </c>
      <c r="B168">
        <v>0.4694693388625592</v>
      </c>
      <c r="C168">
        <f t="shared" si="4"/>
        <v>1.0046946933886256</v>
      </c>
      <c r="D168">
        <f t="shared" si="5"/>
        <v>2.3681519306424832</v>
      </c>
    </row>
    <row r="169" spans="1:4" hidden="1">
      <c r="A169" s="4">
        <v>49369</v>
      </c>
      <c r="B169">
        <v>0.71131718009478673</v>
      </c>
      <c r="C169">
        <f t="shared" si="4"/>
        <v>1.0071131718009478</v>
      </c>
      <c r="D169">
        <f t="shared" si="5"/>
        <v>2.3849970021758895</v>
      </c>
    </row>
    <row r="170" spans="1:4" hidden="1">
      <c r="A170" s="4">
        <v>49400</v>
      </c>
      <c r="B170">
        <v>0.79667524170616111</v>
      </c>
      <c r="C170">
        <f t="shared" si="4"/>
        <v>1.0079667524170617</v>
      </c>
      <c r="D170">
        <f t="shared" si="5"/>
        <v>2.4039976828076592</v>
      </c>
    </row>
    <row r="171" spans="1:4" hidden="1">
      <c r="A171" s="4">
        <v>49430</v>
      </c>
      <c r="B171">
        <v>0.36988493364928909</v>
      </c>
      <c r="C171">
        <f t="shared" si="4"/>
        <v>1.0036988493364929</v>
      </c>
      <c r="D171">
        <f t="shared" si="5"/>
        <v>2.4128897080416429</v>
      </c>
    </row>
    <row r="172" spans="1:4">
      <c r="A172" s="4">
        <v>49461</v>
      </c>
      <c r="B172">
        <v>0.34143224644549758</v>
      </c>
      <c r="C172">
        <f t="shared" si="4"/>
        <v>1.0034143224644549</v>
      </c>
      <c r="D172">
        <f t="shared" si="5"/>
        <v>2.4211280915760618</v>
      </c>
    </row>
    <row r="173" spans="1:4" hidden="1">
      <c r="A173" s="4">
        <v>49491</v>
      </c>
      <c r="B173">
        <v>0.31297955924170612</v>
      </c>
      <c r="C173">
        <f t="shared" si="4"/>
        <v>1.003129795592417</v>
      </c>
      <c r="D173">
        <f t="shared" si="5"/>
        <v>2.4287057276057533</v>
      </c>
    </row>
    <row r="174" spans="1:4" hidden="1">
      <c r="A174" s="4">
        <v>49522</v>
      </c>
      <c r="B174">
        <v>0.15648977962085306</v>
      </c>
      <c r="C174">
        <f t="shared" si="4"/>
        <v>1.0015648977962086</v>
      </c>
      <c r="D174">
        <f t="shared" si="5"/>
        <v>2.4325064038465229</v>
      </c>
    </row>
    <row r="175" spans="1:4" hidden="1">
      <c r="A175" s="4">
        <v>49553</v>
      </c>
      <c r="B175">
        <v>8.5358061611374395E-2</v>
      </c>
      <c r="C175">
        <f t="shared" si="4"/>
        <v>1.0008535806161138</v>
      </c>
      <c r="D175">
        <f t="shared" si="5"/>
        <v>2.434582744161419</v>
      </c>
    </row>
    <row r="176" spans="1:4" hidden="1">
      <c r="A176" s="4">
        <v>49583</v>
      </c>
      <c r="B176">
        <v>0.11396756398104264</v>
      </c>
      <c r="C176">
        <f t="shared" si="4"/>
        <v>1.0011396756398103</v>
      </c>
      <c r="D176">
        <f t="shared" si="5"/>
        <v>2.4373573788080423</v>
      </c>
    </row>
    <row r="177" spans="1:4" hidden="1">
      <c r="A177" s="4">
        <v>49614</v>
      </c>
      <c r="B177">
        <v>0.66955943838862542</v>
      </c>
      <c r="C177">
        <f t="shared" si="4"/>
        <v>1.0066955943838862</v>
      </c>
      <c r="D177">
        <f t="shared" si="5"/>
        <v>2.4536769351851131</v>
      </c>
    </row>
    <row r="178" spans="1:4">
      <c r="A178" s="4">
        <v>49644</v>
      </c>
      <c r="B178">
        <v>1.381856713270142</v>
      </c>
      <c r="C178">
        <f t="shared" si="4"/>
        <v>1.0138185671327014</v>
      </c>
      <c r="D178">
        <f t="shared" si="5"/>
        <v>2.4875832346359297</v>
      </c>
    </row>
    <row r="179" spans="1:4" hidden="1">
      <c r="A179" s="4">
        <v>49675</v>
      </c>
      <c r="B179">
        <v>0.59832971090047393</v>
      </c>
      <c r="C179">
        <f t="shared" si="4"/>
        <v>1.0059832971090048</v>
      </c>
      <c r="D179">
        <f t="shared" si="5"/>
        <v>2.5024671842121355</v>
      </c>
    </row>
    <row r="180" spans="1:4" hidden="1">
      <c r="A180" s="4">
        <v>49706</v>
      </c>
      <c r="B180">
        <v>0.47011620142180088</v>
      </c>
      <c r="C180">
        <f t="shared" si="4"/>
        <v>1.0047011620142181</v>
      </c>
      <c r="D180">
        <f t="shared" si="5"/>
        <v>2.5142316878803808</v>
      </c>
    </row>
    <row r="181" spans="1:4" hidden="1">
      <c r="A181" s="4">
        <v>49735</v>
      </c>
      <c r="B181">
        <v>0.71229727488151651</v>
      </c>
      <c r="C181">
        <f t="shared" si="4"/>
        <v>1.0071229727488151</v>
      </c>
      <c r="D181">
        <f t="shared" si="5"/>
        <v>2.5321404916773602</v>
      </c>
    </row>
    <row r="182" spans="1:4" hidden="1">
      <c r="A182" s="4">
        <v>49766</v>
      </c>
      <c r="B182">
        <v>0.79777294786729847</v>
      </c>
      <c r="C182">
        <f t="shared" si="4"/>
        <v>1.0079777294786729</v>
      </c>
      <c r="D182">
        <f t="shared" si="5"/>
        <v>2.5523412235219562</v>
      </c>
    </row>
    <row r="183" spans="1:4" hidden="1">
      <c r="A183" s="4">
        <v>49796</v>
      </c>
      <c r="B183">
        <v>0.37039458293838856</v>
      </c>
      <c r="C183">
        <f t="shared" si="4"/>
        <v>1.0037039458293839</v>
      </c>
      <c r="D183">
        <f t="shared" si="5"/>
        <v>2.5617949571519851</v>
      </c>
    </row>
    <row r="184" spans="1:4">
      <c r="A184" s="4">
        <v>49827</v>
      </c>
      <c r="B184">
        <v>0.34190269194312795</v>
      </c>
      <c r="C184">
        <f t="shared" si="4"/>
        <v>1.0034190269194312</v>
      </c>
      <c r="D184">
        <f t="shared" si="5"/>
        <v>2.570553803072551</v>
      </c>
    </row>
    <row r="185" spans="1:4" hidden="1">
      <c r="A185" s="4">
        <v>49857</v>
      </c>
      <c r="B185">
        <v>0.31341080094786727</v>
      </c>
      <c r="C185">
        <f t="shared" si="4"/>
        <v>1.0031341080094787</v>
      </c>
      <c r="D185">
        <f t="shared" si="5"/>
        <v>2.5786101963355565</v>
      </c>
    </row>
    <row r="186" spans="1:4" hidden="1">
      <c r="A186" s="4">
        <v>49888</v>
      </c>
      <c r="B186">
        <v>0.15670540047393364</v>
      </c>
      <c r="C186">
        <f t="shared" si="4"/>
        <v>1.0015670540047394</v>
      </c>
      <c r="D186">
        <f t="shared" si="5"/>
        <v>2.5826510177703863</v>
      </c>
    </row>
    <row r="187" spans="1:4" hidden="1">
      <c r="A187" s="4">
        <v>49919</v>
      </c>
      <c r="B187">
        <v>8.5475672985781986E-2</v>
      </c>
      <c r="C187">
        <f t="shared" si="4"/>
        <v>1.0008547567298578</v>
      </c>
      <c r="D187">
        <f t="shared" si="5"/>
        <v>2.5848585561086996</v>
      </c>
    </row>
    <row r="188" spans="1:4" hidden="1">
      <c r="A188" s="4">
        <v>49949</v>
      </c>
      <c r="B188">
        <v>0.11410348815165874</v>
      </c>
      <c r="C188">
        <f t="shared" si="4"/>
        <v>1.0011410348815166</v>
      </c>
      <c r="D188">
        <f t="shared" si="5"/>
        <v>2.5878079698850063</v>
      </c>
    </row>
    <row r="189" spans="1:4" hidden="1">
      <c r="A189" s="4">
        <v>49980</v>
      </c>
      <c r="B189">
        <v>0.67035799289099507</v>
      </c>
      <c r="C189">
        <f t="shared" si="4"/>
        <v>1.0067035799289099</v>
      </c>
      <c r="D189">
        <f t="shared" si="5"/>
        <v>2.6051555474518007</v>
      </c>
    </row>
    <row r="190" spans="1:4">
      <c r="A190" s="4">
        <v>50010</v>
      </c>
      <c r="B190">
        <v>1.3835047938388623</v>
      </c>
      <c r="C190">
        <f t="shared" si="4"/>
        <v>1.0138350479383886</v>
      </c>
      <c r="D190">
        <f t="shared" si="5"/>
        <v>2.6411979993377552</v>
      </c>
    </row>
    <row r="191" spans="1:4" hidden="1">
      <c r="A191" s="4">
        <v>50041</v>
      </c>
      <c r="B191">
        <v>0.59904331279620837</v>
      </c>
      <c r="C191">
        <f t="shared" si="4"/>
        <v>1.0059904331279621</v>
      </c>
      <c r="D191">
        <f t="shared" si="5"/>
        <v>2.6570199193304953</v>
      </c>
    </row>
    <row r="192" spans="1:4" hidden="1">
      <c r="A192" s="4">
        <v>50072</v>
      </c>
      <c r="B192">
        <v>0.47067688862559232</v>
      </c>
      <c r="C192">
        <f t="shared" si="4"/>
        <v>1.0047067688862559</v>
      </c>
      <c r="D192">
        <f t="shared" si="5"/>
        <v>2.6695258980169623</v>
      </c>
    </row>
    <row r="193" spans="1:4" hidden="1">
      <c r="A193" s="4">
        <v>50100</v>
      </c>
      <c r="B193">
        <v>0.7131468009478672</v>
      </c>
      <c r="C193">
        <f t="shared" si="4"/>
        <v>1.0071314680094787</v>
      </c>
      <c r="D193">
        <f t="shared" si="5"/>
        <v>2.6885635365591454</v>
      </c>
    </row>
    <row r="194" spans="1:4" hidden="1">
      <c r="A194" s="4">
        <v>50131</v>
      </c>
      <c r="B194">
        <v>0.79872441706161124</v>
      </c>
      <c r="C194">
        <f t="shared" si="4"/>
        <v>1.0079872441706161</v>
      </c>
      <c r="D194">
        <f t="shared" si="5"/>
        <v>2.7100377499938584</v>
      </c>
    </row>
    <row r="195" spans="1:4" hidden="1">
      <c r="A195" s="4">
        <v>50161</v>
      </c>
      <c r="B195">
        <v>0.37083633649289094</v>
      </c>
      <c r="C195">
        <f t="shared" ref="C195:C258" si="6">1+B195/100</f>
        <v>1.0037083633649289</v>
      </c>
      <c r="D195">
        <f t="shared" si="5"/>
        <v>2.7200875547035097</v>
      </c>
    </row>
    <row r="196" spans="1:4">
      <c r="A196" s="4">
        <v>50192</v>
      </c>
      <c r="B196">
        <v>0.3423104644549762</v>
      </c>
      <c r="C196">
        <f t="shared" si="6"/>
        <v>1.0034231046445499</v>
      </c>
      <c r="D196">
        <f t="shared" ref="D196:D259" si="7">C196*D195</f>
        <v>2.7293986990455976</v>
      </c>
    </row>
    <row r="197" spans="1:4" hidden="1">
      <c r="A197" s="4">
        <v>50222</v>
      </c>
      <c r="B197">
        <v>0.31378459241706153</v>
      </c>
      <c r="C197">
        <f t="shared" si="6"/>
        <v>1.0031378459241707</v>
      </c>
      <c r="D197">
        <f t="shared" si="7"/>
        <v>2.7379631316288346</v>
      </c>
    </row>
    <row r="198" spans="1:4" hidden="1">
      <c r="A198" s="4">
        <v>50253</v>
      </c>
      <c r="B198">
        <v>0.15689229620853076</v>
      </c>
      <c r="C198">
        <f t="shared" si="6"/>
        <v>1.0015689229620852</v>
      </c>
      <c r="D198">
        <f t="shared" si="7"/>
        <v>2.7422587848553897</v>
      </c>
    </row>
    <row r="199" spans="1:4" hidden="1">
      <c r="A199" s="4">
        <v>50284</v>
      </c>
      <c r="B199">
        <v>8.5577616113744051E-2</v>
      </c>
      <c r="C199">
        <f t="shared" si="6"/>
        <v>1.0008557761611374</v>
      </c>
      <c r="D199">
        <f t="shared" si="7"/>
        <v>2.7446055445511384</v>
      </c>
    </row>
    <row r="200" spans="1:4" hidden="1">
      <c r="A200" s="4">
        <v>50314</v>
      </c>
      <c r="B200">
        <v>0.11422240758293838</v>
      </c>
      <c r="C200">
        <f t="shared" si="6"/>
        <v>1.0011422240758294</v>
      </c>
      <c r="D200">
        <f t="shared" si="7"/>
        <v>2.7477404990827794</v>
      </c>
    </row>
    <row r="201" spans="1:4" hidden="1">
      <c r="A201" s="4">
        <v>50345</v>
      </c>
      <c r="B201">
        <v>0.67105664454976288</v>
      </c>
      <c r="C201">
        <f t="shared" si="6"/>
        <v>1.0067105664454976</v>
      </c>
      <c r="D201">
        <f t="shared" si="7"/>
        <v>2.7661793942768593</v>
      </c>
    </row>
    <row r="202" spans="1:4">
      <c r="A202" s="4">
        <v>50375</v>
      </c>
      <c r="B202">
        <v>1.3849466919431277</v>
      </c>
      <c r="C202">
        <f t="shared" si="6"/>
        <v>1.0138494669194313</v>
      </c>
      <c r="D202">
        <f t="shared" si="7"/>
        <v>2.8044895042911091</v>
      </c>
    </row>
    <row r="203" spans="1:4" hidden="1">
      <c r="A203" s="4">
        <v>50406</v>
      </c>
      <c r="B203">
        <v>0.59966763981042648</v>
      </c>
      <c r="C203">
        <f t="shared" si="6"/>
        <v>1.0059966763981043</v>
      </c>
      <c r="D203">
        <f t="shared" si="7"/>
        <v>2.8213071203102227</v>
      </c>
    </row>
    <row r="204" spans="1:4" hidden="1">
      <c r="A204" s="4">
        <v>50437</v>
      </c>
      <c r="B204">
        <v>0.4711674312796208</v>
      </c>
      <c r="C204">
        <f t="shared" si="6"/>
        <v>1.0047116743127962</v>
      </c>
      <c r="D204">
        <f t="shared" si="7"/>
        <v>2.8346002005974973</v>
      </c>
    </row>
    <row r="205" spans="1:4" hidden="1">
      <c r="A205" s="4">
        <v>50465</v>
      </c>
      <c r="B205">
        <v>0.71389004739336481</v>
      </c>
      <c r="C205">
        <f t="shared" si="6"/>
        <v>1.0071389004739337</v>
      </c>
      <c r="D205">
        <f t="shared" si="7"/>
        <v>2.8548361293129556</v>
      </c>
    </row>
    <row r="206" spans="1:4" hidden="1">
      <c r="A206" s="4">
        <v>50496</v>
      </c>
      <c r="B206">
        <v>0.79955685308056856</v>
      </c>
      <c r="C206">
        <f t="shared" si="6"/>
        <v>1.0079955685308057</v>
      </c>
      <c r="D206">
        <f t="shared" si="7"/>
        <v>2.8776621672290976</v>
      </c>
    </row>
    <row r="207" spans="1:4" hidden="1">
      <c r="A207" s="4">
        <v>50526</v>
      </c>
      <c r="B207">
        <v>0.3712228246445497</v>
      </c>
      <c r="C207">
        <f t="shared" si="6"/>
        <v>1.0037122282464455</v>
      </c>
      <c r="D207">
        <f t="shared" si="7"/>
        <v>2.8883447060100131</v>
      </c>
    </row>
    <row r="208" spans="1:4">
      <c r="A208" s="4">
        <v>50557</v>
      </c>
      <c r="B208">
        <v>0.34266722274881511</v>
      </c>
      <c r="C208">
        <f t="shared" si="6"/>
        <v>1.003426672227488</v>
      </c>
      <c r="D208">
        <f t="shared" si="7"/>
        <v>2.8982421165975096</v>
      </c>
    </row>
    <row r="209" spans="1:4" hidden="1">
      <c r="A209" s="4">
        <v>50587</v>
      </c>
      <c r="B209">
        <v>0.31411162085308053</v>
      </c>
      <c r="C209">
        <f t="shared" si="6"/>
        <v>1.0031411162085309</v>
      </c>
      <c r="D209">
        <f t="shared" si="7"/>
        <v>2.9073458318862007</v>
      </c>
    </row>
    <row r="210" spans="1:4" hidden="1">
      <c r="A210" s="4">
        <v>50618</v>
      </c>
      <c r="B210">
        <v>0.15705581042654027</v>
      </c>
      <c r="C210">
        <f t="shared" si="6"/>
        <v>1.0015705581042653</v>
      </c>
      <c r="D210">
        <f t="shared" si="7"/>
        <v>2.9119119874443715</v>
      </c>
    </row>
    <row r="211" spans="1:4" hidden="1">
      <c r="A211" s="4">
        <v>50649</v>
      </c>
      <c r="B211">
        <v>8.5666805687203779E-2</v>
      </c>
      <c r="C211">
        <f t="shared" si="6"/>
        <v>1.000856668056872</v>
      </c>
      <c r="D211">
        <f t="shared" si="7"/>
        <v>2.9144065294284376</v>
      </c>
    </row>
    <row r="212" spans="1:4" hidden="1">
      <c r="A212" s="4">
        <v>50679</v>
      </c>
      <c r="B212">
        <v>0.11432733649289098</v>
      </c>
      <c r="C212">
        <f t="shared" si="6"/>
        <v>1.0011432733649288</v>
      </c>
      <c r="D212">
        <f t="shared" si="7"/>
        <v>2.9177384927881076</v>
      </c>
    </row>
    <row r="213" spans="1:4" hidden="1">
      <c r="A213" s="4">
        <v>50710</v>
      </c>
      <c r="B213">
        <v>0.67167310189573437</v>
      </c>
      <c r="C213">
        <f t="shared" si="6"/>
        <v>1.0067167310189573</v>
      </c>
      <c r="D213">
        <f t="shared" si="7"/>
        <v>2.9373361574278234</v>
      </c>
    </row>
    <row r="214" spans="1:4">
      <c r="A214" s="4">
        <v>50740</v>
      </c>
      <c r="B214">
        <v>1.3862189549763031</v>
      </c>
      <c r="C214">
        <f t="shared" si="6"/>
        <v>1.013862189549763</v>
      </c>
      <c r="D214">
        <f t="shared" si="7"/>
        <v>2.9780540680134604</v>
      </c>
    </row>
    <row r="215" spans="1:4" hidden="1">
      <c r="A215" s="4">
        <v>50771</v>
      </c>
      <c r="B215">
        <v>0.60021851658767766</v>
      </c>
      <c r="C215">
        <f t="shared" si="6"/>
        <v>1.0060021851658767</v>
      </c>
      <c r="D215">
        <f t="shared" si="7"/>
        <v>2.9959288999636695</v>
      </c>
    </row>
    <row r="216" spans="1:4" hidden="1">
      <c r="A216" s="4">
        <v>50802</v>
      </c>
      <c r="B216">
        <v>0.47160026303317526</v>
      </c>
      <c r="C216">
        <f t="shared" si="6"/>
        <v>1.0047160026303317</v>
      </c>
      <c r="D216">
        <f t="shared" si="7"/>
        <v>3.010057708536185</v>
      </c>
    </row>
    <row r="217" spans="1:4" hidden="1">
      <c r="A217" s="4">
        <v>50830</v>
      </c>
      <c r="B217">
        <v>0.71454585308056862</v>
      </c>
      <c r="C217">
        <f t="shared" si="6"/>
        <v>1.0071454585308057</v>
      </c>
      <c r="D217">
        <f t="shared" si="7"/>
        <v>3.0315659510678623</v>
      </c>
    </row>
    <row r="218" spans="1:4" hidden="1">
      <c r="A218" s="4">
        <v>50861</v>
      </c>
      <c r="B218">
        <v>0.80029135545023689</v>
      </c>
      <c r="C218">
        <f t="shared" si="6"/>
        <v>1.0080029135545023</v>
      </c>
      <c r="D218">
        <f t="shared" si="7"/>
        <v>3.0558273113090308</v>
      </c>
    </row>
    <row r="219" spans="1:4" hidden="1">
      <c r="A219" s="4">
        <v>50891</v>
      </c>
      <c r="B219">
        <v>0.3715638436018957</v>
      </c>
      <c r="C219">
        <f t="shared" si="6"/>
        <v>1.0037156384360189</v>
      </c>
      <c r="D219">
        <f t="shared" si="7"/>
        <v>3.0671816607207667</v>
      </c>
    </row>
    <row r="220" spans="1:4">
      <c r="A220" s="4">
        <v>50922</v>
      </c>
      <c r="B220">
        <v>0.34298200947867291</v>
      </c>
      <c r="C220">
        <f t="shared" si="6"/>
        <v>1.0034298200947867</v>
      </c>
      <c r="D220">
        <f t="shared" si="7"/>
        <v>3.0777015420150677</v>
      </c>
    </row>
    <row r="221" spans="1:4" hidden="1">
      <c r="A221" s="4">
        <v>50952</v>
      </c>
      <c r="B221">
        <v>0.31440017535545017</v>
      </c>
      <c r="C221">
        <f t="shared" si="6"/>
        <v>1.0031440017535544</v>
      </c>
      <c r="D221">
        <f t="shared" si="7"/>
        <v>3.0873778410600803</v>
      </c>
    </row>
    <row r="222" spans="1:4" hidden="1">
      <c r="A222" s="4">
        <v>50983</v>
      </c>
      <c r="B222">
        <v>0.15720008767772509</v>
      </c>
      <c r="C222">
        <f t="shared" si="6"/>
        <v>1.0015720008767772</v>
      </c>
      <c r="D222">
        <f t="shared" si="7"/>
        <v>3.0922312017331692</v>
      </c>
    </row>
    <row r="223" spans="1:4" hidden="1">
      <c r="A223" s="4">
        <v>51014</v>
      </c>
      <c r="B223">
        <v>8.5745502369668228E-2</v>
      </c>
      <c r="C223">
        <f t="shared" si="6"/>
        <v>1.0008574550236966</v>
      </c>
      <c r="D223">
        <f t="shared" si="7"/>
        <v>3.0948826509115266</v>
      </c>
    </row>
    <row r="224" spans="1:4" hidden="1">
      <c r="A224" s="4">
        <v>51044</v>
      </c>
      <c r="B224">
        <v>0.11442060663507109</v>
      </c>
      <c r="C224">
        <f t="shared" si="6"/>
        <v>1.0011442060663507</v>
      </c>
      <c r="D224">
        <f t="shared" si="7"/>
        <v>3.098423834415343</v>
      </c>
    </row>
    <row r="225" spans="1:4" hidden="1">
      <c r="A225" s="4">
        <v>51075</v>
      </c>
      <c r="B225">
        <v>0.67222106398104253</v>
      </c>
      <c r="C225">
        <f t="shared" si="6"/>
        <v>1.0067222106398104</v>
      </c>
      <c r="D225">
        <f t="shared" si="7"/>
        <v>3.119252092081692</v>
      </c>
    </row>
    <row r="226" spans="1:4">
      <c r="A226" s="4">
        <v>51105</v>
      </c>
      <c r="B226">
        <v>1.3873498554502368</v>
      </c>
      <c r="C226">
        <f t="shared" si="6"/>
        <v>1.0138734985545024</v>
      </c>
      <c r="D226">
        <f t="shared" si="7"/>
        <v>3.1625270314723157</v>
      </c>
    </row>
    <row r="227" spans="1:4" hidden="1">
      <c r="A227" s="4">
        <v>51136</v>
      </c>
      <c r="B227">
        <v>0.60070818483412314</v>
      </c>
      <c r="C227">
        <f t="shared" si="6"/>
        <v>1.0060070818483413</v>
      </c>
      <c r="D227">
        <f t="shared" si="7"/>
        <v>3.1815245901979616</v>
      </c>
    </row>
    <row r="228" spans="1:4" hidden="1">
      <c r="A228" s="4">
        <v>51167</v>
      </c>
      <c r="B228">
        <v>0.47198500236966817</v>
      </c>
      <c r="C228">
        <f t="shared" si="6"/>
        <v>1.0047198500236967</v>
      </c>
      <c r="D228">
        <f t="shared" si="7"/>
        <v>3.1965409091103991</v>
      </c>
    </row>
    <row r="229" spans="1:4" hidden="1">
      <c r="A229" s="4">
        <v>51196</v>
      </c>
      <c r="B229">
        <v>0.71512879146919428</v>
      </c>
      <c r="C229">
        <f t="shared" si="6"/>
        <v>1.007151287914692</v>
      </c>
      <c r="D229">
        <f t="shared" si="7"/>
        <v>3.219400293482539</v>
      </c>
    </row>
    <row r="230" spans="1:4" hidden="1">
      <c r="A230" s="4">
        <v>51227</v>
      </c>
      <c r="B230">
        <v>0.80094424644549755</v>
      </c>
      <c r="C230">
        <f t="shared" si="6"/>
        <v>1.008009442464455</v>
      </c>
      <c r="D230">
        <f t="shared" si="7"/>
        <v>3.2451858949032371</v>
      </c>
    </row>
    <row r="231" spans="1:4" hidden="1">
      <c r="A231" s="4">
        <v>51257</v>
      </c>
      <c r="B231">
        <v>0.37186697156398102</v>
      </c>
      <c r="C231">
        <f t="shared" si="6"/>
        <v>1.0037186697156397</v>
      </c>
      <c r="D231">
        <f t="shared" si="7"/>
        <v>3.2572536694122349</v>
      </c>
    </row>
    <row r="232" spans="1:4">
      <c r="A232" s="4">
        <v>51288</v>
      </c>
      <c r="B232">
        <v>0.34326181990521321</v>
      </c>
      <c r="C232">
        <f t="shared" si="6"/>
        <v>1.0034326181990521</v>
      </c>
      <c r="D232">
        <f t="shared" si="7"/>
        <v>3.2684345776367882</v>
      </c>
    </row>
    <row r="233" spans="1:4" hidden="1">
      <c r="A233" s="4">
        <v>51318</v>
      </c>
      <c r="B233">
        <v>0.31465666824644545</v>
      </c>
      <c r="C233">
        <f t="shared" si="6"/>
        <v>1.0031465666824644</v>
      </c>
      <c r="D233">
        <f t="shared" si="7"/>
        <v>3.2787189249825945</v>
      </c>
    </row>
    <row r="234" spans="1:4" hidden="1">
      <c r="A234" s="4">
        <v>51349</v>
      </c>
      <c r="B234">
        <v>0.15732833412322272</v>
      </c>
      <c r="C234">
        <f t="shared" si="6"/>
        <v>1.0015732833412323</v>
      </c>
      <c r="D234">
        <f t="shared" si="7"/>
        <v>3.2838772788478527</v>
      </c>
    </row>
    <row r="235" spans="1:4" hidden="1">
      <c r="A235" s="4">
        <v>51380</v>
      </c>
      <c r="B235">
        <v>8.5815454976303301E-2</v>
      </c>
      <c r="C235">
        <f t="shared" si="6"/>
        <v>1.000858154549763</v>
      </c>
      <c r="D235">
        <f t="shared" si="7"/>
        <v>3.2866953530755594</v>
      </c>
    </row>
    <row r="236" spans="1:4" hidden="1">
      <c r="A236" s="4">
        <v>51410</v>
      </c>
      <c r="B236">
        <v>0.11450403791469192</v>
      </c>
      <c r="C236">
        <f t="shared" si="6"/>
        <v>1.0011450403791469</v>
      </c>
      <c r="D236">
        <f t="shared" si="7"/>
        <v>3.2904587519687851</v>
      </c>
    </row>
    <row r="237" spans="1:4" hidden="1">
      <c r="A237" s="4">
        <v>51441</v>
      </c>
      <c r="B237">
        <v>0.67271122274881501</v>
      </c>
      <c r="C237">
        <f t="shared" si="6"/>
        <v>1.0067271122274881</v>
      </c>
      <c r="D237">
        <f t="shared" si="7"/>
        <v>3.3125940372731995</v>
      </c>
    </row>
    <row r="238" spans="1:4">
      <c r="A238" s="4">
        <v>51471</v>
      </c>
      <c r="B238">
        <v>1.3883614597156395</v>
      </c>
      <c r="C238">
        <f t="shared" si="6"/>
        <v>1.0138836145971564</v>
      </c>
      <c r="D238">
        <f t="shared" si="7"/>
        <v>3.358584816203539</v>
      </c>
    </row>
    <row r="239" spans="1:4" hidden="1">
      <c r="A239" s="4">
        <v>51502</v>
      </c>
      <c r="B239">
        <v>0.60114619905213262</v>
      </c>
      <c r="C239">
        <f t="shared" si="6"/>
        <v>1.0060114619905214</v>
      </c>
      <c r="D239">
        <f t="shared" si="7"/>
        <v>3.378774821168089</v>
      </c>
    </row>
    <row r="240" spans="1:4" hidden="1">
      <c r="A240" s="4">
        <v>51533</v>
      </c>
      <c r="B240">
        <v>0.47232915639810419</v>
      </c>
      <c r="C240">
        <f t="shared" si="6"/>
        <v>1.004723291563981</v>
      </c>
      <c r="D240">
        <f t="shared" si="7"/>
        <v>3.3947337597775036</v>
      </c>
    </row>
    <row r="241" spans="1:4" hidden="1">
      <c r="A241" s="4">
        <v>51561</v>
      </c>
      <c r="B241">
        <v>0.71565023696682462</v>
      </c>
      <c r="C241">
        <f t="shared" si="6"/>
        <v>1.0071565023696682</v>
      </c>
      <c r="D241">
        <f t="shared" si="7"/>
        <v>3.4190281799737443</v>
      </c>
    </row>
    <row r="242" spans="1:4" hidden="1">
      <c r="A242" s="4">
        <v>51592</v>
      </c>
      <c r="B242">
        <v>0.8015282654028435</v>
      </c>
      <c r="C242">
        <f t="shared" si="6"/>
        <v>1.0080152826540285</v>
      </c>
      <c r="D242">
        <f t="shared" si="7"/>
        <v>3.4464326572383226</v>
      </c>
    </row>
    <row r="243" spans="1:4" hidden="1">
      <c r="A243" s="4">
        <v>51622</v>
      </c>
      <c r="B243">
        <v>0.37213812322274875</v>
      </c>
      <c r="C243">
        <f t="shared" si="6"/>
        <v>1.0037213812322274</v>
      </c>
      <c r="D243">
        <f t="shared" si="7"/>
        <v>3.4592581470471049</v>
      </c>
    </row>
    <row r="244" spans="1:4">
      <c r="A244" s="4">
        <v>51653</v>
      </c>
      <c r="B244">
        <v>0.34351211374407575</v>
      </c>
      <c r="C244">
        <f t="shared" si="6"/>
        <v>1.0034351211374408</v>
      </c>
      <c r="D244">
        <f t="shared" si="7"/>
        <v>3.4711411178278908</v>
      </c>
    </row>
    <row r="245" spans="1:4" hidden="1">
      <c r="A245" s="4">
        <v>51683</v>
      </c>
      <c r="B245">
        <v>0.31488610426540276</v>
      </c>
      <c r="C245">
        <f t="shared" si="6"/>
        <v>1.003148861042654</v>
      </c>
      <c r="D245">
        <f t="shared" si="7"/>
        <v>3.4820712588673737</v>
      </c>
    </row>
    <row r="246" spans="1:4" hidden="1">
      <c r="A246" s="4">
        <v>51714</v>
      </c>
      <c r="B246">
        <v>0.15744305213270138</v>
      </c>
      <c r="C246">
        <f t="shared" si="6"/>
        <v>1.001574430521327</v>
      </c>
      <c r="D246">
        <f t="shared" si="7"/>
        <v>3.4875535381347702</v>
      </c>
    </row>
    <row r="247" spans="1:4" hidden="1">
      <c r="A247" s="4">
        <v>51745</v>
      </c>
      <c r="B247">
        <v>8.5878028436018938E-2</v>
      </c>
      <c r="C247">
        <f t="shared" si="6"/>
        <v>1.0008587802843603</v>
      </c>
      <c r="D247">
        <f t="shared" si="7"/>
        <v>3.4905485803539711</v>
      </c>
    </row>
    <row r="248" spans="1:4" hidden="1">
      <c r="A248" s="4">
        <v>51775</v>
      </c>
      <c r="B248">
        <v>0.1145791279620853</v>
      </c>
      <c r="C248">
        <f t="shared" si="6"/>
        <v>1.0011457912796209</v>
      </c>
      <c r="D248">
        <f t="shared" si="7"/>
        <v>3.4945480204784336</v>
      </c>
    </row>
    <row r="249" spans="1:4" hidden="1">
      <c r="A249" s="4">
        <v>51806</v>
      </c>
      <c r="B249">
        <v>0.67315237677725104</v>
      </c>
      <c r="C249">
        <f t="shared" si="6"/>
        <v>1.0067315237677725</v>
      </c>
      <c r="D249">
        <f t="shared" si="7"/>
        <v>3.5180716535359067</v>
      </c>
    </row>
    <row r="250" spans="1:4">
      <c r="A250" s="4">
        <v>51836</v>
      </c>
      <c r="B250">
        <v>1.3892719265402842</v>
      </c>
      <c r="C250">
        <f t="shared" si="6"/>
        <v>1.0138927192654028</v>
      </c>
      <c r="D250">
        <f t="shared" si="7"/>
        <v>3.5669472353740526</v>
      </c>
    </row>
    <row r="251" spans="1:4" hidden="1">
      <c r="A251" s="4">
        <v>51867</v>
      </c>
      <c r="B251">
        <v>0.6015404218009478</v>
      </c>
      <c r="C251">
        <f t="shared" si="6"/>
        <v>1.0060154042180094</v>
      </c>
      <c r="D251">
        <f t="shared" si="7"/>
        <v>3.5884038648191385</v>
      </c>
    </row>
    <row r="252" spans="1:4" hidden="1">
      <c r="A252" s="4">
        <v>51898</v>
      </c>
      <c r="B252">
        <v>0.47263890284360183</v>
      </c>
      <c r="C252">
        <f t="shared" si="6"/>
        <v>1.0047263890284359</v>
      </c>
      <c r="D252">
        <f t="shared" si="7"/>
        <v>3.6053640574754167</v>
      </c>
    </row>
    <row r="253" spans="1:4" hidden="1">
      <c r="A253" s="4">
        <v>51926</v>
      </c>
      <c r="B253">
        <v>0.71611954976303316</v>
      </c>
      <c r="C253">
        <f t="shared" si="6"/>
        <v>1.0071611954976303</v>
      </c>
      <c r="D253">
        <f t="shared" si="7"/>
        <v>3.6311827743311276</v>
      </c>
    </row>
    <row r="254" spans="1:4" hidden="1">
      <c r="A254" s="4">
        <v>51957</v>
      </c>
      <c r="B254">
        <v>0.80205389573459707</v>
      </c>
      <c r="C254">
        <f t="shared" si="6"/>
        <v>1.008020538957346</v>
      </c>
      <c r="D254">
        <f t="shared" si="7"/>
        <v>3.6603068172338942</v>
      </c>
    </row>
    <row r="255" spans="1:4" hidden="1">
      <c r="A255" s="4">
        <v>51987</v>
      </c>
      <c r="B255">
        <v>0.37238216587677719</v>
      </c>
      <c r="C255">
        <f t="shared" si="6"/>
        <v>1.0037238216587678</v>
      </c>
      <c r="D255">
        <f t="shared" si="7"/>
        <v>3.6739371470376452</v>
      </c>
    </row>
    <row r="256" spans="1:4">
      <c r="A256" s="4">
        <v>52018</v>
      </c>
      <c r="B256">
        <v>0.34373738388625585</v>
      </c>
      <c r="C256">
        <f t="shared" si="6"/>
        <v>1.0034373738388627</v>
      </c>
      <c r="D256">
        <f t="shared" si="7"/>
        <v>3.6865658424724983</v>
      </c>
    </row>
    <row r="257" spans="1:4" hidden="1">
      <c r="A257" s="4">
        <v>52048</v>
      </c>
      <c r="B257">
        <v>0.31509260189573457</v>
      </c>
      <c r="C257">
        <f t="shared" si="6"/>
        <v>1.0031509260189573</v>
      </c>
      <c r="D257">
        <f t="shared" si="7"/>
        <v>3.6981819387061439</v>
      </c>
    </row>
    <row r="258" spans="1:4" hidden="1">
      <c r="A258" s="4">
        <v>52079</v>
      </c>
      <c r="B258">
        <v>0.15754630094786728</v>
      </c>
      <c r="C258">
        <f t="shared" si="6"/>
        <v>1.0015754630094786</v>
      </c>
      <c r="D258">
        <f t="shared" si="7"/>
        <v>3.7040082875528975</v>
      </c>
    </row>
    <row r="259" spans="1:4" hidden="1">
      <c r="A259" s="4">
        <v>52110</v>
      </c>
      <c r="B259">
        <v>8.5934345971563963E-2</v>
      </c>
      <c r="C259">
        <f t="shared" ref="C259:C302" si="8">1+B259/100</f>
        <v>1.0008593434597157</v>
      </c>
      <c r="D259">
        <f t="shared" si="7"/>
        <v>3.7071913028495387</v>
      </c>
    </row>
    <row r="260" spans="1:4" hidden="1">
      <c r="A260" s="4">
        <v>52140</v>
      </c>
      <c r="B260">
        <v>0.11464707109004739</v>
      </c>
      <c r="C260">
        <f t="shared" si="8"/>
        <v>1.0011464707109006</v>
      </c>
      <c r="D260">
        <f t="shared" ref="D260:D302" si="9">C260*D259</f>
        <v>3.711441489097961</v>
      </c>
    </row>
    <row r="261" spans="1:4" hidden="1">
      <c r="A261" s="4">
        <v>52171</v>
      </c>
      <c r="B261">
        <v>0.67355154265402828</v>
      </c>
      <c r="C261">
        <f t="shared" si="8"/>
        <v>1.0067355154265403</v>
      </c>
      <c r="D261">
        <f t="shared" si="9"/>
        <v>3.7364399605024818</v>
      </c>
    </row>
    <row r="262" spans="1:4">
      <c r="A262" s="4">
        <v>52201</v>
      </c>
      <c r="B262">
        <v>1.3900957369668245</v>
      </c>
      <c r="C262">
        <f t="shared" si="8"/>
        <v>1.0139009573696682</v>
      </c>
      <c r="D262">
        <f t="shared" si="9"/>
        <v>3.7883800531077516</v>
      </c>
    </row>
    <row r="263" spans="1:4" hidden="1">
      <c r="A263" s="4">
        <v>52232</v>
      </c>
      <c r="B263">
        <v>0.6018971232227488</v>
      </c>
      <c r="C263">
        <f t="shared" si="8"/>
        <v>1.0060189712322274</v>
      </c>
      <c r="D263">
        <f t="shared" si="9"/>
        <v>3.8111822036641514</v>
      </c>
    </row>
    <row r="264" spans="1:4" hidden="1">
      <c r="A264" s="4">
        <v>52263</v>
      </c>
      <c r="B264">
        <v>0.47291916824644548</v>
      </c>
      <c r="C264">
        <f t="shared" si="8"/>
        <v>1.0047291916824646</v>
      </c>
      <c r="D264">
        <f t="shared" si="9"/>
        <v>3.829206014842077</v>
      </c>
    </row>
    <row r="265" spans="1:4" hidden="1">
      <c r="A265" s="4">
        <v>52291</v>
      </c>
      <c r="B265">
        <v>0.71654419431279615</v>
      </c>
      <c r="C265">
        <f t="shared" si="8"/>
        <v>1.007165441943128</v>
      </c>
      <c r="D265">
        <f t="shared" si="9"/>
        <v>3.8566439682297045</v>
      </c>
    </row>
    <row r="266" spans="1:4" hidden="1">
      <c r="A266" s="4">
        <v>52322</v>
      </c>
      <c r="B266">
        <v>0.80252949763033166</v>
      </c>
      <c r="C266">
        <f t="shared" si="8"/>
        <v>1.0080252949763033</v>
      </c>
      <c r="D266">
        <f t="shared" si="9"/>
        <v>3.8875946736933287</v>
      </c>
    </row>
    <row r="267" spans="1:4" hidden="1">
      <c r="A267" s="4">
        <v>52352</v>
      </c>
      <c r="B267">
        <v>0.37260298104265399</v>
      </c>
      <c r="C267">
        <f t="shared" si="8"/>
        <v>1.0037260298104265</v>
      </c>
      <c r="D267">
        <f t="shared" si="9"/>
        <v>3.902079967338365</v>
      </c>
    </row>
    <row r="268" spans="1:4">
      <c r="A268" s="4">
        <v>52383</v>
      </c>
      <c r="B268">
        <v>0.34394121327014215</v>
      </c>
      <c r="C268">
        <f t="shared" si="8"/>
        <v>1.0034394121327015</v>
      </c>
      <c r="D268">
        <f t="shared" si="9"/>
        <v>3.9155008285208002</v>
      </c>
    </row>
    <row r="269" spans="1:4" hidden="1">
      <c r="A269" s="4">
        <v>52413</v>
      </c>
      <c r="B269">
        <v>0.31527944549763026</v>
      </c>
      <c r="C269">
        <f t="shared" si="8"/>
        <v>1.0031527944549763</v>
      </c>
      <c r="D269">
        <f t="shared" si="9"/>
        <v>3.9278455978214155</v>
      </c>
    </row>
    <row r="270" spans="1:4" hidden="1">
      <c r="A270" s="4">
        <v>52444</v>
      </c>
      <c r="B270">
        <v>0.15763972274881513</v>
      </c>
      <c r="C270">
        <f t="shared" si="8"/>
        <v>1.0015763972274883</v>
      </c>
      <c r="D270">
        <f t="shared" si="9"/>
        <v>3.9340374427318232</v>
      </c>
    </row>
    <row r="271" spans="1:4" hidden="1">
      <c r="A271" s="4">
        <v>52475</v>
      </c>
      <c r="B271">
        <v>8.5985303317535539E-2</v>
      </c>
      <c r="C271">
        <f t="shared" si="8"/>
        <v>1.0008598530331754</v>
      </c>
      <c r="D271">
        <f t="shared" si="9"/>
        <v>3.9374201367595818</v>
      </c>
    </row>
    <row r="272" spans="1:4" hidden="1">
      <c r="A272" s="4">
        <v>52505</v>
      </c>
      <c r="B272">
        <v>0.11470881516587676</v>
      </c>
      <c r="C272">
        <f t="shared" si="8"/>
        <v>1.0011470881516589</v>
      </c>
      <c r="D272">
        <f t="shared" si="9"/>
        <v>3.9419367047465617</v>
      </c>
    </row>
    <row r="273" spans="1:4" hidden="1">
      <c r="A273" s="4">
        <v>52536</v>
      </c>
      <c r="B273">
        <v>0.67391428909952589</v>
      </c>
      <c r="C273">
        <f t="shared" si="8"/>
        <v>1.0067391428909953</v>
      </c>
      <c r="D273">
        <f t="shared" si="9"/>
        <v>3.9685019794671081</v>
      </c>
    </row>
    <row r="274" spans="1:4">
      <c r="A274" s="4">
        <v>52566</v>
      </c>
      <c r="B274">
        <v>1.3908443838862556</v>
      </c>
      <c r="C274">
        <f t="shared" si="8"/>
        <v>1.0139084438388626</v>
      </c>
      <c r="D274">
        <f t="shared" si="9"/>
        <v>4.0236976663729411</v>
      </c>
    </row>
    <row r="275" spans="1:4" hidden="1">
      <c r="A275" s="4">
        <v>52597</v>
      </c>
      <c r="B275">
        <v>0.60222127962085303</v>
      </c>
      <c r="C275">
        <f t="shared" si="8"/>
        <v>1.0060222127962086</v>
      </c>
      <c r="D275">
        <f t="shared" si="9"/>
        <v>4.0479292299474467</v>
      </c>
    </row>
    <row r="276" spans="1:4" hidden="1">
      <c r="A276" s="4">
        <v>52628</v>
      </c>
      <c r="B276">
        <v>0.47317386255924165</v>
      </c>
      <c r="C276">
        <f t="shared" si="8"/>
        <v>1.0047317386255925</v>
      </c>
      <c r="D276">
        <f t="shared" si="9"/>
        <v>4.0670829730384543</v>
      </c>
    </row>
    <row r="277" spans="1:4" hidden="1">
      <c r="A277" s="4">
        <v>52657</v>
      </c>
      <c r="B277">
        <v>0.71693009478672975</v>
      </c>
      <c r="C277">
        <f t="shared" si="8"/>
        <v>1.0071693009478673</v>
      </c>
      <c r="D277">
        <f t="shared" si="9"/>
        <v>4.0962411148521136</v>
      </c>
    </row>
    <row r="278" spans="1:4" hidden="1">
      <c r="A278" s="4">
        <v>52688</v>
      </c>
      <c r="B278">
        <v>0.80296170616113727</v>
      </c>
      <c r="C278">
        <f t="shared" si="8"/>
        <v>1.0080296170616114</v>
      </c>
      <c r="D278">
        <f t="shared" si="9"/>
        <v>4.1291323623964047</v>
      </c>
    </row>
    <row r="279" spans="1:4" hidden="1">
      <c r="A279" s="4">
        <v>52718</v>
      </c>
      <c r="B279">
        <v>0.37280364928909948</v>
      </c>
      <c r="C279">
        <f t="shared" si="8"/>
        <v>1.0037280364928909</v>
      </c>
      <c r="D279">
        <f t="shared" si="9"/>
        <v>4.1445259185273953</v>
      </c>
    </row>
    <row r="280" spans="1:4">
      <c r="A280" s="4">
        <v>52749</v>
      </c>
      <c r="B280">
        <v>0.34412644549763027</v>
      </c>
      <c r="C280">
        <f t="shared" si="8"/>
        <v>1.0034412644549764</v>
      </c>
      <c r="D280">
        <f t="shared" si="9"/>
        <v>4.1587883282535518</v>
      </c>
    </row>
    <row r="281" spans="1:4" hidden="1">
      <c r="A281" s="4">
        <v>52779</v>
      </c>
      <c r="B281">
        <v>0.31544924170616107</v>
      </c>
      <c r="C281">
        <f t="shared" si="8"/>
        <v>1.0031544924170617</v>
      </c>
      <c r="D281">
        <f t="shared" si="9"/>
        <v>4.1719071944991919</v>
      </c>
    </row>
    <row r="282" spans="1:4" hidden="1">
      <c r="A282" s="4">
        <v>52810</v>
      </c>
      <c r="B282">
        <v>0.15772462085308053</v>
      </c>
      <c r="C282">
        <f t="shared" si="8"/>
        <v>1.0015772462085308</v>
      </c>
      <c r="D282">
        <f t="shared" si="9"/>
        <v>4.1784873193040584</v>
      </c>
    </row>
    <row r="283" spans="1:4" hidden="1">
      <c r="A283" s="4">
        <v>52841</v>
      </c>
      <c r="B283">
        <v>8.6031611374407568E-2</v>
      </c>
      <c r="C283">
        <f t="shared" si="8"/>
        <v>1.0008603161137442</v>
      </c>
      <c r="D283">
        <f t="shared" si="9"/>
        <v>4.1820821392759315</v>
      </c>
    </row>
    <row r="284" spans="1:4" hidden="1">
      <c r="A284" s="4">
        <v>52871</v>
      </c>
      <c r="B284">
        <v>0.11476519431279619</v>
      </c>
      <c r="C284">
        <f t="shared" si="8"/>
        <v>1.0011476519431279</v>
      </c>
      <c r="D284">
        <f t="shared" si="9"/>
        <v>4.1868817139693926</v>
      </c>
    </row>
    <row r="285" spans="1:4" hidden="1">
      <c r="A285" s="4">
        <v>52902</v>
      </c>
      <c r="B285">
        <v>0.67424551658767751</v>
      </c>
      <c r="C285">
        <f t="shared" si="8"/>
        <v>1.0067424551658768</v>
      </c>
      <c r="D285">
        <f t="shared" si="9"/>
        <v>4.2151115762106608</v>
      </c>
    </row>
    <row r="286" spans="1:4">
      <c r="A286" s="4">
        <v>52932</v>
      </c>
      <c r="B286">
        <v>1.3915279810426537</v>
      </c>
      <c r="C286">
        <f t="shared" si="8"/>
        <v>1.0139152798104265</v>
      </c>
      <c r="D286">
        <f t="shared" si="9"/>
        <v>4.2737660332258001</v>
      </c>
    </row>
    <row r="287" spans="1:4" hidden="1">
      <c r="A287" s="4">
        <v>52963</v>
      </c>
      <c r="B287">
        <v>0.60251727014218004</v>
      </c>
      <c r="C287">
        <f t="shared" si="8"/>
        <v>1.0060251727014218</v>
      </c>
      <c r="D287">
        <f t="shared" si="9"/>
        <v>4.299516211661456</v>
      </c>
    </row>
    <row r="288" spans="1:4" hidden="1">
      <c r="A288" s="4">
        <v>52994</v>
      </c>
      <c r="B288">
        <v>0.47340642654028431</v>
      </c>
      <c r="C288">
        <f t="shared" si="8"/>
        <v>1.0047340642654028</v>
      </c>
      <c r="D288">
        <f t="shared" si="9"/>
        <v>4.3198703977176027</v>
      </c>
    </row>
    <row r="289" spans="1:4" hidden="1">
      <c r="A289" s="4">
        <v>53022</v>
      </c>
      <c r="B289">
        <v>0.71728246445497623</v>
      </c>
      <c r="C289">
        <f t="shared" si="8"/>
        <v>1.0071728246445497</v>
      </c>
      <c r="D289">
        <f t="shared" si="9"/>
        <v>4.3508560705676125</v>
      </c>
    </row>
    <row r="290" spans="1:4" hidden="1">
      <c r="A290" s="4">
        <v>53053</v>
      </c>
      <c r="B290">
        <v>0.80335636018957335</v>
      </c>
      <c r="C290">
        <f t="shared" si="8"/>
        <v>1.0080335636018958</v>
      </c>
      <c r="D290">
        <f t="shared" si="9"/>
        <v>4.385808949533212</v>
      </c>
    </row>
    <row r="291" spans="1:4" hidden="1">
      <c r="A291" s="4">
        <v>53083</v>
      </c>
      <c r="B291">
        <v>0.3729868815165876</v>
      </c>
      <c r="C291">
        <f t="shared" si="8"/>
        <v>1.0037298688151659</v>
      </c>
      <c r="D291">
        <f t="shared" si="9"/>
        <v>4.4021674415633516</v>
      </c>
    </row>
    <row r="292" spans="1:4">
      <c r="A292" s="4">
        <v>53114</v>
      </c>
      <c r="B292">
        <v>0.34429558293838858</v>
      </c>
      <c r="C292">
        <f t="shared" si="8"/>
        <v>1.0034429558293838</v>
      </c>
      <c r="D292">
        <f t="shared" si="9"/>
        <v>4.4173239096182053</v>
      </c>
    </row>
    <row r="293" spans="1:4" hidden="1">
      <c r="A293" s="4">
        <v>53144</v>
      </c>
      <c r="B293">
        <v>0.3156042843601895</v>
      </c>
      <c r="C293">
        <f t="shared" si="8"/>
        <v>1.0031560428436019</v>
      </c>
      <c r="D293">
        <f t="shared" si="9"/>
        <v>4.4312651731310275</v>
      </c>
    </row>
    <row r="294" spans="1:4" hidden="1">
      <c r="A294" s="4">
        <v>53175</v>
      </c>
      <c r="B294">
        <v>0.15780214218009475</v>
      </c>
      <c r="C294">
        <f t="shared" si="8"/>
        <v>1.0015780214218009</v>
      </c>
      <c r="D294">
        <f t="shared" si="9"/>
        <v>4.4382578044999086</v>
      </c>
    </row>
    <row r="295" spans="1:4" hidden="1">
      <c r="A295" s="4">
        <v>53206</v>
      </c>
      <c r="B295">
        <v>8.6112654028436E-2</v>
      </c>
      <c r="C295">
        <f t="shared" si="8"/>
        <v>1.0008611265402843</v>
      </c>
      <c r="D295">
        <f t="shared" si="9"/>
        <v>4.4420797060879869</v>
      </c>
    </row>
    <row r="296" spans="1:4" hidden="1">
      <c r="A296" s="4">
        <v>53236</v>
      </c>
      <c r="B296">
        <v>0.11476519431279619</v>
      </c>
      <c r="C296">
        <f t="shared" si="8"/>
        <v>1.0011476519431279</v>
      </c>
      <c r="D296">
        <f t="shared" si="9"/>
        <v>4.4471776674942083</v>
      </c>
    </row>
    <row r="297" spans="1:4" hidden="1">
      <c r="A297" s="4">
        <v>53267</v>
      </c>
      <c r="B297">
        <v>0.67424551658767751</v>
      </c>
      <c r="C297">
        <f t="shared" si="8"/>
        <v>1.0067424551658768</v>
      </c>
      <c r="D297">
        <f t="shared" si="9"/>
        <v>4.4771625635319765</v>
      </c>
    </row>
    <row r="298" spans="1:4">
      <c r="A298" s="4">
        <v>53297</v>
      </c>
      <c r="B298">
        <v>1.3915279810426537</v>
      </c>
      <c r="C298">
        <f t="shared" si="8"/>
        <v>1.0139152798104265</v>
      </c>
      <c r="D298">
        <f t="shared" si="9"/>
        <v>4.5394635333602906</v>
      </c>
    </row>
    <row r="299" spans="1:4" hidden="1">
      <c r="A299" s="4">
        <v>53328</v>
      </c>
      <c r="B299">
        <v>0.60251727014218004</v>
      </c>
      <c r="C299">
        <f t="shared" si="8"/>
        <v>1.0060251727014218</v>
      </c>
      <c r="D299">
        <f t="shared" si="9"/>
        <v>4.5668145851205928</v>
      </c>
    </row>
    <row r="300" spans="1:4" hidden="1">
      <c r="A300" s="4">
        <v>53359</v>
      </c>
      <c r="B300">
        <v>0.47340642654028431</v>
      </c>
      <c r="C300">
        <f t="shared" si="8"/>
        <v>1.0047340642654028</v>
      </c>
      <c r="D300">
        <f t="shared" si="9"/>
        <v>4.5884341788547323</v>
      </c>
    </row>
    <row r="301" spans="1:4" hidden="1">
      <c r="A301" s="4">
        <v>53387</v>
      </c>
      <c r="B301">
        <v>0.71728246445497623</v>
      </c>
      <c r="C301">
        <f t="shared" si="8"/>
        <v>1.0071728246445497</v>
      </c>
      <c r="D301">
        <f t="shared" si="9"/>
        <v>4.6213462126127158</v>
      </c>
    </row>
    <row r="302" spans="1:4" hidden="1">
      <c r="A302" s="4">
        <v>53418</v>
      </c>
      <c r="B302">
        <v>0.80335636018957335</v>
      </c>
      <c r="C302">
        <f t="shared" si="8"/>
        <v>1.0080335636018958</v>
      </c>
      <c r="D302">
        <f t="shared" si="9"/>
        <v>4.6584720913381199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2C11F-E616-4E0F-BE0C-676243A6A613}">
  <dimension ref="A1:D122"/>
  <sheetViews>
    <sheetView workbookViewId="0">
      <selection sqref="A1:D1"/>
    </sheetView>
  </sheetViews>
  <sheetFormatPr defaultRowHeight="15"/>
  <cols>
    <col min="1" max="1" width="11.140625" customWidth="1"/>
    <col min="2" max="2" width="10.140625" customWidth="1"/>
    <col min="4" max="4" width="13" customWidth="1"/>
  </cols>
  <sheetData>
    <row r="1" spans="1:4">
      <c r="A1" t="s">
        <v>21</v>
      </c>
      <c r="B1" t="s">
        <v>150</v>
      </c>
      <c r="C1" t="s">
        <v>22</v>
      </c>
      <c r="D1" t="s">
        <v>149</v>
      </c>
    </row>
    <row r="2" spans="1:4">
      <c r="A2" s="4">
        <v>44256</v>
      </c>
      <c r="B2" s="5">
        <v>0.93</v>
      </c>
      <c r="C2">
        <v>1.0093000000000001</v>
      </c>
      <c r="D2">
        <v>1.0093000000000001</v>
      </c>
    </row>
    <row r="3" spans="1:4" hidden="1">
      <c r="A3" s="4">
        <v>44287</v>
      </c>
      <c r="B3">
        <v>0.31</v>
      </c>
      <c r="C3">
        <v>1.0031000000000001</v>
      </c>
      <c r="D3">
        <f>C3*D2</f>
        <v>1.0124288300000002</v>
      </c>
    </row>
    <row r="4" spans="1:4" hidden="1">
      <c r="A4" s="4">
        <v>44317</v>
      </c>
      <c r="B4">
        <v>0.83</v>
      </c>
      <c r="C4">
        <v>1.0083</v>
      </c>
      <c r="D4">
        <f t="shared" ref="D4:D67" si="0">C4*D3</f>
        <v>1.0208319892890001</v>
      </c>
    </row>
    <row r="5" spans="1:4" hidden="1">
      <c r="A5" s="4">
        <v>44348</v>
      </c>
      <c r="B5">
        <v>0.53</v>
      </c>
      <c r="C5">
        <v>1.0053000000000001</v>
      </c>
      <c r="D5">
        <f t="shared" si="0"/>
        <v>1.0262423988322318</v>
      </c>
    </row>
    <row r="6" spans="1:4" hidden="1">
      <c r="A6" s="4">
        <v>44378</v>
      </c>
      <c r="B6">
        <v>0.96</v>
      </c>
      <c r="C6">
        <v>1.0096000000000001</v>
      </c>
      <c r="D6">
        <f t="shared" si="0"/>
        <v>1.0360943258610213</v>
      </c>
    </row>
    <row r="7" spans="1:4" hidden="1">
      <c r="A7" s="4">
        <v>44409</v>
      </c>
      <c r="B7">
        <v>0.87</v>
      </c>
      <c r="C7">
        <v>1.0086999999999999</v>
      </c>
      <c r="D7">
        <f t="shared" si="0"/>
        <v>1.0451083464960123</v>
      </c>
    </row>
    <row r="8" spans="1:4">
      <c r="A8" s="4">
        <v>44440</v>
      </c>
      <c r="B8">
        <v>1.1599999999999999</v>
      </c>
      <c r="C8">
        <v>1.0116000000000001</v>
      </c>
      <c r="D8">
        <f t="shared" si="0"/>
        <v>1.0572316033153661</v>
      </c>
    </row>
    <row r="9" spans="1:4" hidden="1">
      <c r="A9" s="4">
        <v>44470</v>
      </c>
      <c r="B9">
        <v>1.25</v>
      </c>
      <c r="C9">
        <v>1.0125</v>
      </c>
      <c r="D9">
        <f t="shared" si="0"/>
        <v>1.0704469983568081</v>
      </c>
    </row>
    <row r="10" spans="1:4" hidden="1">
      <c r="A10" s="4">
        <v>44501</v>
      </c>
      <c r="B10">
        <v>0.95</v>
      </c>
      <c r="C10">
        <v>1.0095000000000001</v>
      </c>
      <c r="D10">
        <f t="shared" si="0"/>
        <v>1.0806162448411978</v>
      </c>
    </row>
    <row r="11" spans="1:4" hidden="1">
      <c r="A11" s="4">
        <v>44531</v>
      </c>
      <c r="B11">
        <v>0.73</v>
      </c>
      <c r="C11">
        <v>1.0073000000000001</v>
      </c>
      <c r="D11">
        <f t="shared" si="0"/>
        <v>1.0885047434285386</v>
      </c>
    </row>
    <row r="12" spans="1:4" hidden="1">
      <c r="A12" s="4">
        <v>44562</v>
      </c>
      <c r="B12">
        <v>0.54</v>
      </c>
      <c r="C12">
        <v>1.0054000000000001</v>
      </c>
      <c r="D12">
        <f t="shared" si="0"/>
        <v>1.0943826690430529</v>
      </c>
    </row>
    <row r="13" spans="1:4" hidden="1">
      <c r="A13" s="4">
        <v>44593</v>
      </c>
      <c r="B13">
        <v>1.01</v>
      </c>
      <c r="C13">
        <v>1.0101</v>
      </c>
      <c r="D13">
        <f t="shared" si="0"/>
        <v>1.1054359340003879</v>
      </c>
    </row>
    <row r="14" spans="1:4">
      <c r="A14" s="4">
        <v>44621</v>
      </c>
      <c r="B14">
        <v>1.62</v>
      </c>
      <c r="C14">
        <v>1.0162</v>
      </c>
      <c r="D14">
        <f t="shared" si="0"/>
        <v>1.1233439961311942</v>
      </c>
    </row>
    <row r="15" spans="1:4" hidden="1">
      <c r="A15" s="4">
        <v>44652</v>
      </c>
      <c r="B15">
        <v>1.06</v>
      </c>
      <c r="C15">
        <v>1.0105999999999999</v>
      </c>
      <c r="D15">
        <f t="shared" si="0"/>
        <v>1.1352514424901847</v>
      </c>
    </row>
    <row r="16" spans="1:4" hidden="1">
      <c r="A16" s="4">
        <v>44682</v>
      </c>
      <c r="B16">
        <v>0.47</v>
      </c>
      <c r="C16">
        <v>1.0046999999999999</v>
      </c>
      <c r="D16">
        <f t="shared" si="0"/>
        <v>1.1405871242698886</v>
      </c>
    </row>
    <row r="17" spans="1:4" hidden="1">
      <c r="A17" s="4">
        <v>44713</v>
      </c>
      <c r="B17">
        <v>0.67</v>
      </c>
      <c r="C17">
        <v>1.0066999999999999</v>
      </c>
      <c r="D17">
        <f t="shared" si="0"/>
        <v>1.1482290580024967</v>
      </c>
    </row>
    <row r="18" spans="1:4" hidden="1">
      <c r="A18" s="4">
        <v>44743</v>
      </c>
      <c r="B18">
        <v>-0.68</v>
      </c>
      <c r="C18">
        <v>0.99319999999999997</v>
      </c>
      <c r="D18">
        <f t="shared" si="0"/>
        <v>1.1404211004080798</v>
      </c>
    </row>
    <row r="19" spans="1:4" hidden="1">
      <c r="A19" s="4">
        <v>44774</v>
      </c>
      <c r="B19">
        <v>-0.36</v>
      </c>
      <c r="C19">
        <v>0.99639999999999995</v>
      </c>
      <c r="D19">
        <f t="shared" si="0"/>
        <v>1.1363155844466106</v>
      </c>
    </row>
    <row r="20" spans="1:4">
      <c r="A20" s="4">
        <v>44805</v>
      </c>
      <c r="B20">
        <v>-0.28999999999999998</v>
      </c>
      <c r="C20">
        <v>0.99709999999999999</v>
      </c>
      <c r="D20">
        <f t="shared" si="0"/>
        <v>1.1330202692517155</v>
      </c>
    </row>
    <row r="21" spans="1:4" hidden="1">
      <c r="A21" s="4">
        <v>44835</v>
      </c>
      <c r="B21">
        <v>0.33</v>
      </c>
      <c r="C21">
        <v>1.0033000000000001</v>
      </c>
      <c r="D21">
        <f t="shared" si="0"/>
        <v>1.1367592361402463</v>
      </c>
    </row>
    <row r="22" spans="1:4" hidden="1">
      <c r="A22" s="4">
        <v>44866</v>
      </c>
      <c r="B22">
        <v>0.94638500140897963</v>
      </c>
      <c r="C22">
        <v>1.0094638500140898</v>
      </c>
      <c r="D22">
        <f t="shared" si="0"/>
        <v>1.147517355053209</v>
      </c>
    </row>
    <row r="23" spans="1:4" hidden="1">
      <c r="A23" s="4">
        <v>44896</v>
      </c>
      <c r="B23">
        <v>1.9531775560993834</v>
      </c>
      <c r="C23">
        <v>1.0195317755609938</v>
      </c>
      <c r="D23">
        <f t="shared" si="0"/>
        <v>1.1699304064844536</v>
      </c>
    </row>
    <row r="24" spans="1:4" hidden="1">
      <c r="A24" s="4">
        <v>44927</v>
      </c>
      <c r="B24">
        <v>0.84570574593993919</v>
      </c>
      <c r="C24">
        <v>1.0084570574593994</v>
      </c>
      <c r="D24">
        <f t="shared" si="0"/>
        <v>1.1798245751555911</v>
      </c>
    </row>
    <row r="25" spans="1:4" hidden="1">
      <c r="A25" s="4">
        <v>44958</v>
      </c>
      <c r="B25">
        <v>0.66448308609566664</v>
      </c>
      <c r="C25">
        <v>1.0066448308609566</v>
      </c>
      <c r="D25">
        <f t="shared" si="0"/>
        <v>1.1876643099030999</v>
      </c>
    </row>
    <row r="26" spans="1:4">
      <c r="A26" s="4">
        <v>44986</v>
      </c>
      <c r="B26">
        <v>1.006792554690404</v>
      </c>
      <c r="C26">
        <v>1.0100679255469041</v>
      </c>
      <c r="D26">
        <f t="shared" si="0"/>
        <v>1.1996216257499195</v>
      </c>
    </row>
    <row r="27" spans="1:4" hidden="1">
      <c r="A27" s="4">
        <v>45017</v>
      </c>
      <c r="B27">
        <v>1.1276076612532524</v>
      </c>
      <c r="C27">
        <v>1.0112760766125326</v>
      </c>
      <c r="D27">
        <f t="shared" si="0"/>
        <v>1.2131486511079266</v>
      </c>
    </row>
    <row r="28" spans="1:4" hidden="1">
      <c r="A28" s="4">
        <v>45047</v>
      </c>
      <c r="B28">
        <v>0.41494999999999999</v>
      </c>
      <c r="C28">
        <v>1.0041495</v>
      </c>
      <c r="D28">
        <f t="shared" si="0"/>
        <v>1.2181826114356991</v>
      </c>
    </row>
    <row r="29" spans="1:4" hidden="1">
      <c r="A29" s="4">
        <v>45078</v>
      </c>
      <c r="B29">
        <v>0.38303300000000001</v>
      </c>
      <c r="C29">
        <v>1.00383033</v>
      </c>
      <c r="D29">
        <f t="shared" si="0"/>
        <v>1.2228486528377596</v>
      </c>
    </row>
    <row r="30" spans="1:4" hidden="1">
      <c r="A30" s="4">
        <v>45108</v>
      </c>
      <c r="B30">
        <v>0.35111999999999999</v>
      </c>
      <c r="C30">
        <v>1.0035111999999999</v>
      </c>
      <c r="D30">
        <f t="shared" si="0"/>
        <v>1.2271423190276034</v>
      </c>
    </row>
    <row r="31" spans="1:4" hidden="1">
      <c r="A31" s="4">
        <v>45139</v>
      </c>
      <c r="B31">
        <v>0.17555687203791467</v>
      </c>
      <c r="C31">
        <v>1.0017555687203792</v>
      </c>
      <c r="D31">
        <f t="shared" si="0"/>
        <v>1.2292966516983419</v>
      </c>
    </row>
    <row r="32" spans="1:4">
      <c r="A32" s="4">
        <v>45170</v>
      </c>
      <c r="B32">
        <v>9.5758293838862543E-2</v>
      </c>
      <c r="C32">
        <v>1.0009575829383885</v>
      </c>
      <c r="D32">
        <f t="shared" si="0"/>
        <v>1.2304738051982265</v>
      </c>
    </row>
    <row r="33" spans="1:4" hidden="1">
      <c r="A33" s="4">
        <v>45200</v>
      </c>
      <c r="B33">
        <v>0.12767772511848341</v>
      </c>
      <c r="C33">
        <v>1.0012767772511848</v>
      </c>
      <c r="D33">
        <f t="shared" si="0"/>
        <v>1.2320448461608824</v>
      </c>
    </row>
    <row r="34" spans="1:4" hidden="1">
      <c r="A34" s="4">
        <v>45231</v>
      </c>
      <c r="B34">
        <v>0.66754478672985762</v>
      </c>
      <c r="C34">
        <v>1.0066754478672986</v>
      </c>
      <c r="D34">
        <f t="shared" si="0"/>
        <v>1.2402692973016032</v>
      </c>
    </row>
    <row r="35" spans="1:4" hidden="1">
      <c r="A35" s="4">
        <v>45261</v>
      </c>
      <c r="B35">
        <v>1.3776988151658764</v>
      </c>
      <c r="C35">
        <v>1.0137769881516587</v>
      </c>
      <c r="D35">
        <f t="shared" si="0"/>
        <v>1.2573564727153934</v>
      </c>
    </row>
    <row r="36" spans="1:4" hidden="1">
      <c r="A36" s="4">
        <v>45292</v>
      </c>
      <c r="B36">
        <v>0.59652938388625576</v>
      </c>
      <c r="C36">
        <v>1.0059652938388626</v>
      </c>
      <c r="D36">
        <f t="shared" si="0"/>
        <v>1.2648569735353365</v>
      </c>
    </row>
    <row r="37" spans="1:4" hidden="1">
      <c r="A37" s="4">
        <v>45323</v>
      </c>
      <c r="B37">
        <v>0.46870165876777242</v>
      </c>
      <c r="C37">
        <v>1.0046870165876778</v>
      </c>
      <c r="D37">
        <f t="shared" si="0"/>
        <v>1.2707853791513366</v>
      </c>
    </row>
    <row r="38" spans="1:4">
      <c r="A38" s="4">
        <v>45352</v>
      </c>
      <c r="B38">
        <v>0.71015402843601882</v>
      </c>
      <c r="C38">
        <v>1.0071015402843602</v>
      </c>
      <c r="D38">
        <f t="shared" si="0"/>
        <v>1.2798099127141558</v>
      </c>
    </row>
    <row r="39" spans="1:4" hidden="1">
      <c r="A39" s="4">
        <v>45383</v>
      </c>
      <c r="B39">
        <v>0.79537251184834112</v>
      </c>
      <c r="C39">
        <v>1.0079537251184834</v>
      </c>
      <c r="D39">
        <f t="shared" si="0"/>
        <v>1.2899891689637943</v>
      </c>
    </row>
    <row r="40" spans="1:4" hidden="1">
      <c r="A40" s="4">
        <v>45413</v>
      </c>
      <c r="B40">
        <v>0.3692800947867298</v>
      </c>
      <c r="C40">
        <v>1.0036928009478674</v>
      </c>
      <c r="D40">
        <f t="shared" si="0"/>
        <v>1.2947528421896826</v>
      </c>
    </row>
    <row r="41" spans="1:4" hidden="1">
      <c r="A41" s="4">
        <v>45444</v>
      </c>
      <c r="B41">
        <v>0.34087393364928903</v>
      </c>
      <c r="C41">
        <v>1.003408739336493</v>
      </c>
      <c r="D41">
        <f t="shared" si="0"/>
        <v>1.2991663171338907</v>
      </c>
    </row>
    <row r="42" spans="1:4" hidden="1">
      <c r="A42" s="4">
        <v>45474</v>
      </c>
      <c r="B42">
        <v>0.31246777251184826</v>
      </c>
      <c r="C42">
        <v>1.0031246777251184</v>
      </c>
      <c r="D42">
        <f t="shared" si="0"/>
        <v>1.3032257931862632</v>
      </c>
    </row>
    <row r="43" spans="1:4" hidden="1">
      <c r="A43" s="4">
        <v>45505</v>
      </c>
      <c r="B43">
        <v>0.15623388625592413</v>
      </c>
      <c r="C43">
        <v>1.0015623388625592</v>
      </c>
      <c r="D43">
        <f t="shared" si="0"/>
        <v>1.3052618734896475</v>
      </c>
    </row>
    <row r="44" spans="1:4">
      <c r="A44" s="4">
        <v>45536</v>
      </c>
      <c r="B44">
        <v>8.5218483412322257E-2</v>
      </c>
      <c r="C44">
        <v>1.0008521848341232</v>
      </c>
      <c r="D44">
        <f t="shared" si="0"/>
        <v>1.3063741978627945</v>
      </c>
    </row>
    <row r="45" spans="1:4" hidden="1">
      <c r="A45" s="4">
        <v>45566</v>
      </c>
      <c r="B45">
        <v>0.11362464454976301</v>
      </c>
      <c r="C45">
        <v>1.0011362464454976</v>
      </c>
      <c r="D45">
        <f t="shared" si="0"/>
        <v>1.3078585609016058</v>
      </c>
    </row>
    <row r="46" spans="1:4" hidden="1">
      <c r="A46" s="4">
        <v>45597</v>
      </c>
      <c r="B46">
        <v>0.64748625592417042</v>
      </c>
      <c r="C46">
        <v>1.0064748625592417</v>
      </c>
      <c r="D46">
        <f t="shared" si="0"/>
        <v>1.3163267653303714</v>
      </c>
    </row>
    <row r="47" spans="1:4" hidden="1">
      <c r="A47" s="4">
        <v>45627</v>
      </c>
      <c r="B47">
        <v>1.3363014218009477</v>
      </c>
      <c r="C47">
        <v>1.0133630142180095</v>
      </c>
      <c r="D47">
        <f t="shared" si="0"/>
        <v>1.3339168586110275</v>
      </c>
    </row>
    <row r="48" spans="1:4" hidden="1">
      <c r="A48" s="4">
        <v>45658</v>
      </c>
      <c r="B48">
        <v>0.57860473933649281</v>
      </c>
      <c r="C48">
        <v>1.0057860473933649</v>
      </c>
      <c r="D48">
        <f t="shared" si="0"/>
        <v>1.3416349647737593</v>
      </c>
    </row>
    <row r="49" spans="1:4" hidden="1">
      <c r="A49" s="4">
        <v>45689</v>
      </c>
      <c r="B49">
        <v>0.45461800947867292</v>
      </c>
      <c r="C49">
        <v>1.0045461800947868</v>
      </c>
      <c r="D49">
        <f t="shared" si="0"/>
        <v>1.3477342789450837</v>
      </c>
    </row>
    <row r="50" spans="1:4">
      <c r="A50" s="4">
        <v>45717</v>
      </c>
      <c r="B50">
        <v>0.68881516587677716</v>
      </c>
      <c r="C50">
        <v>1.0068881516587678</v>
      </c>
      <c r="D50">
        <f t="shared" si="0"/>
        <v>1.3570176770541775</v>
      </c>
    </row>
    <row r="51" spans="1:4" hidden="1">
      <c r="A51" s="4">
        <v>45748</v>
      </c>
      <c r="B51">
        <v>0.77147298578199042</v>
      </c>
      <c r="C51">
        <v>1.00771472985782</v>
      </c>
      <c r="D51">
        <f t="shared" si="0"/>
        <v>1.3674867018449368</v>
      </c>
    </row>
    <row r="52" spans="1:4" hidden="1">
      <c r="A52" s="4">
        <v>45778</v>
      </c>
      <c r="B52">
        <v>0.35818388625592412</v>
      </c>
      <c r="C52">
        <v>1.0035818388625593</v>
      </c>
      <c r="D52">
        <f t="shared" si="0"/>
        <v>1.372384818857638</v>
      </c>
    </row>
    <row r="53" spans="1:4" hidden="1">
      <c r="A53" s="4">
        <v>45809</v>
      </c>
      <c r="B53">
        <v>0.33063127962085304</v>
      </c>
      <c r="C53">
        <v>1.0033063127962085</v>
      </c>
      <c r="D53">
        <f t="shared" si="0"/>
        <v>1.3769223523455494</v>
      </c>
    </row>
    <row r="54" spans="1:4" hidden="1">
      <c r="A54" s="4">
        <v>45839</v>
      </c>
      <c r="B54">
        <v>0.30307867298578195</v>
      </c>
      <c r="C54">
        <v>1.0030307867298578</v>
      </c>
      <c r="D54">
        <f t="shared" si="0"/>
        <v>1.381095510339083</v>
      </c>
    </row>
    <row r="55" spans="1:4" hidden="1">
      <c r="A55" s="4">
        <v>45870</v>
      </c>
      <c r="B55">
        <v>0.15153933649289097</v>
      </c>
      <c r="C55">
        <v>1.001515393364929</v>
      </c>
      <c r="D55">
        <f t="shared" si="0"/>
        <v>1.383188413311784</v>
      </c>
    </row>
    <row r="56" spans="1:4">
      <c r="A56" s="4">
        <v>45901</v>
      </c>
      <c r="B56">
        <v>8.2657819905213259E-2</v>
      </c>
      <c r="C56">
        <v>1.0008265781990522</v>
      </c>
      <c r="D56">
        <f t="shared" si="0"/>
        <v>1.3843317266994091</v>
      </c>
    </row>
    <row r="57" spans="1:4" hidden="1">
      <c r="A57" s="4">
        <v>45931</v>
      </c>
      <c r="B57">
        <v>0.11021042654028435</v>
      </c>
      <c r="C57">
        <v>1.0011021042654029</v>
      </c>
      <c r="D57">
        <f t="shared" si="0"/>
        <v>1.3858574046001371</v>
      </c>
    </row>
    <row r="58" spans="1:4" hidden="1">
      <c r="A58" s="4">
        <v>45962</v>
      </c>
      <c r="B58">
        <v>0.64681800947867285</v>
      </c>
      <c r="C58">
        <v>1.0064681800947868</v>
      </c>
      <c r="D58">
        <f t="shared" si="0"/>
        <v>1.3948213798787845</v>
      </c>
    </row>
    <row r="59" spans="1:4" hidden="1">
      <c r="A59" s="4">
        <v>45992</v>
      </c>
      <c r="B59">
        <v>1.3349222748815164</v>
      </c>
      <c r="C59">
        <v>1.0133492227488152</v>
      </c>
      <c r="D59">
        <f t="shared" si="0"/>
        <v>1.4134411611735962</v>
      </c>
    </row>
    <row r="60" spans="1:4" hidden="1">
      <c r="A60" s="4">
        <v>46023</v>
      </c>
      <c r="B60">
        <v>0.5780075829383885</v>
      </c>
      <c r="C60">
        <v>1.0057800758293838</v>
      </c>
      <c r="D60">
        <f t="shared" si="0"/>
        <v>1.4216109582655518</v>
      </c>
    </row>
    <row r="61" spans="1:4" hidden="1">
      <c r="A61" s="4">
        <v>46054</v>
      </c>
      <c r="B61">
        <v>0.45414881516587668</v>
      </c>
      <c r="C61">
        <v>1.0045414881516588</v>
      </c>
      <c r="D61">
        <f t="shared" si="0"/>
        <v>1.4280671875887831</v>
      </c>
    </row>
    <row r="62" spans="1:4">
      <c r="A62" s="4">
        <v>46082</v>
      </c>
      <c r="B62">
        <v>0.68810426540284353</v>
      </c>
      <c r="C62">
        <v>1.0068810426540284</v>
      </c>
      <c r="D62">
        <f t="shared" si="0"/>
        <v>1.4378937788193999</v>
      </c>
    </row>
    <row r="63" spans="1:4" hidden="1">
      <c r="A63" s="4">
        <v>46113</v>
      </c>
      <c r="B63">
        <v>0.77067677725118466</v>
      </c>
      <c r="C63">
        <v>1.0077067677725118</v>
      </c>
      <c r="D63">
        <f t="shared" si="0"/>
        <v>1.4489752922543004</v>
      </c>
    </row>
    <row r="64" spans="1:4" hidden="1">
      <c r="A64" s="4">
        <v>46143</v>
      </c>
      <c r="B64">
        <v>0.3578142180094786</v>
      </c>
      <c r="C64">
        <v>1.0035781421800949</v>
      </c>
      <c r="D64">
        <f t="shared" si="0"/>
        <v>1.4541599318654308</v>
      </c>
    </row>
    <row r="65" spans="1:4" hidden="1">
      <c r="A65" s="4">
        <v>46174</v>
      </c>
      <c r="B65">
        <v>0.33029004739336487</v>
      </c>
      <c r="C65">
        <v>1.0033029004739336</v>
      </c>
      <c r="D65">
        <f t="shared" si="0"/>
        <v>1.4589628773935643</v>
      </c>
    </row>
    <row r="66" spans="1:4" hidden="1">
      <c r="A66" s="4">
        <v>46204</v>
      </c>
      <c r="B66">
        <v>0.30276587677725114</v>
      </c>
      <c r="C66">
        <v>1.0030276587677724</v>
      </c>
      <c r="D66">
        <f t="shared" si="0"/>
        <v>1.4633801191411595</v>
      </c>
    </row>
    <row r="67" spans="1:4" hidden="1">
      <c r="A67" s="4">
        <v>46235</v>
      </c>
      <c r="B67">
        <v>0.15138293838862557</v>
      </c>
      <c r="C67">
        <v>1.0015138293838863</v>
      </c>
      <c r="D67">
        <f t="shared" si="0"/>
        <v>1.4655954269653104</v>
      </c>
    </row>
    <row r="68" spans="1:4">
      <c r="A68" s="4">
        <v>46266</v>
      </c>
      <c r="B68">
        <v>8.2572511848341218E-2</v>
      </c>
      <c r="C68">
        <v>1.0008257251184833</v>
      </c>
      <c r="D68">
        <f t="shared" ref="D68:D122" si="1">C68*D67</f>
        <v>1.46680560592289</v>
      </c>
    </row>
    <row r="69" spans="1:4" hidden="1">
      <c r="A69" s="4">
        <v>46296</v>
      </c>
      <c r="B69">
        <v>0.11009668246445496</v>
      </c>
      <c r="C69">
        <v>1.0011009668246444</v>
      </c>
      <c r="D69">
        <f t="shared" si="1"/>
        <v>1.4684205102332135</v>
      </c>
    </row>
    <row r="70" spans="1:4" hidden="1">
      <c r="A70" s="4">
        <v>46327</v>
      </c>
      <c r="B70">
        <v>0.65048222748815143</v>
      </c>
      <c r="C70">
        <v>1.0065048222748816</v>
      </c>
      <c r="D70">
        <f t="shared" si="1"/>
        <v>1.4779723246770715</v>
      </c>
    </row>
    <row r="71" spans="1:4" hidden="1">
      <c r="A71" s="4">
        <v>46357</v>
      </c>
      <c r="B71">
        <v>1.3424845971563977</v>
      </c>
      <c r="C71">
        <v>1.013424845971564</v>
      </c>
      <c r="D71">
        <f t="shared" si="1"/>
        <v>1.4978138754860957</v>
      </c>
    </row>
    <row r="72" spans="1:4" hidden="1">
      <c r="A72" s="4">
        <v>46388</v>
      </c>
      <c r="B72">
        <v>0.5812819905213269</v>
      </c>
      <c r="C72">
        <v>1.0058128199052132</v>
      </c>
      <c r="D72">
        <f t="shared" si="1"/>
        <v>1.5065203977958257</v>
      </c>
    </row>
    <row r="73" spans="1:4" hidden="1">
      <c r="A73" s="4">
        <v>46419</v>
      </c>
      <c r="B73">
        <v>0.45672156398104258</v>
      </c>
      <c r="C73">
        <v>1.0045672156398104</v>
      </c>
      <c r="D73">
        <f t="shared" si="1"/>
        <v>1.5134010013183323</v>
      </c>
    </row>
    <row r="74" spans="1:4">
      <c r="A74" s="4">
        <v>46447</v>
      </c>
      <c r="B74">
        <v>0.69200236966824635</v>
      </c>
      <c r="C74">
        <v>1.0069200236966824</v>
      </c>
      <c r="D74">
        <f t="shared" si="1"/>
        <v>1.5238737721100382</v>
      </c>
    </row>
    <row r="75" spans="1:4" hidden="1">
      <c r="A75" s="4">
        <v>46478</v>
      </c>
      <c r="B75">
        <v>0.77504265402843586</v>
      </c>
      <c r="C75">
        <v>1.0077504265402843</v>
      </c>
      <c r="D75">
        <f t="shared" si="1"/>
        <v>1.5356844438374431</v>
      </c>
    </row>
    <row r="76" spans="1:4" hidden="1">
      <c r="A76" s="4">
        <v>46508</v>
      </c>
      <c r="B76">
        <v>0.35984123222748809</v>
      </c>
      <c r="C76">
        <v>1.003598412322275</v>
      </c>
      <c r="D76">
        <f t="shared" si="1"/>
        <v>1.5412104696632738</v>
      </c>
    </row>
    <row r="77" spans="1:4" hidden="1">
      <c r="A77" s="4">
        <v>46539</v>
      </c>
      <c r="B77">
        <v>0.3321611374407582</v>
      </c>
      <c r="C77">
        <v>1.0033216113744077</v>
      </c>
      <c r="D77">
        <f t="shared" si="1"/>
        <v>1.5463297718896636</v>
      </c>
    </row>
    <row r="78" spans="1:4" hidden="1">
      <c r="A78" s="4">
        <v>46569</v>
      </c>
      <c r="B78">
        <v>0.30448104265402837</v>
      </c>
      <c r="C78">
        <v>1.0030448104265404</v>
      </c>
      <c r="D78">
        <f t="shared" si="1"/>
        <v>1.5510380529019829</v>
      </c>
    </row>
    <row r="79" spans="1:4" hidden="1">
      <c r="A79" s="4">
        <v>46600</v>
      </c>
      <c r="B79">
        <v>0.15224052132701418</v>
      </c>
      <c r="C79">
        <v>1.0015224052132701</v>
      </c>
      <c r="D79">
        <f t="shared" si="1"/>
        <v>1.5533993613197012</v>
      </c>
    </row>
    <row r="80" spans="1:4">
      <c r="A80" s="4">
        <v>46631</v>
      </c>
      <c r="B80">
        <v>8.3040284360189551E-2</v>
      </c>
      <c r="C80">
        <v>1.0008304028436019</v>
      </c>
      <c r="D80">
        <f t="shared" si="1"/>
        <v>1.5546893085665905</v>
      </c>
    </row>
    <row r="81" spans="1:4" hidden="1">
      <c r="A81" s="4">
        <v>46661</v>
      </c>
      <c r="B81">
        <v>0.11072037914691941</v>
      </c>
      <c r="C81">
        <v>1.0011072037914692</v>
      </c>
      <c r="D81">
        <f t="shared" si="1"/>
        <v>1.5564106664635922</v>
      </c>
    </row>
    <row r="82" spans="1:4" hidden="1">
      <c r="A82" s="4">
        <v>46692</v>
      </c>
      <c r="B82">
        <v>0.65446943127962065</v>
      </c>
      <c r="C82">
        <v>1.0065446943127963</v>
      </c>
      <c r="D82">
        <f t="shared" si="1"/>
        <v>1.5665968985007719</v>
      </c>
    </row>
    <row r="83" spans="1:4" hidden="1">
      <c r="A83" s="4">
        <v>46722</v>
      </c>
      <c r="B83">
        <v>1.3507135071090044</v>
      </c>
      <c r="C83">
        <v>1.01350713507109</v>
      </c>
      <c r="D83">
        <f t="shared" si="1"/>
        <v>1.5877571344107726</v>
      </c>
    </row>
    <row r="84" spans="1:4" hidden="1">
      <c r="A84" s="4">
        <v>46753</v>
      </c>
      <c r="B84">
        <v>0.58484502369668234</v>
      </c>
      <c r="C84">
        <v>1.0058484502369669</v>
      </c>
      <c r="D84">
        <f t="shared" si="1"/>
        <v>1.5970430529997632</v>
      </c>
    </row>
    <row r="85" spans="1:4" hidden="1">
      <c r="A85" s="4">
        <v>46784</v>
      </c>
      <c r="B85">
        <v>0.45952109004739328</v>
      </c>
      <c r="C85">
        <v>1.0045952109004739</v>
      </c>
      <c r="D85">
        <f t="shared" si="1"/>
        <v>1.6043818026454337</v>
      </c>
    </row>
    <row r="86" spans="1:4">
      <c r="A86" s="4">
        <v>46813</v>
      </c>
      <c r="B86">
        <v>0.69624407582938375</v>
      </c>
      <c r="C86">
        <v>1.0069624407582938</v>
      </c>
      <c r="D86">
        <f t="shared" si="1"/>
        <v>1.6155522159000371</v>
      </c>
    </row>
    <row r="87" spans="1:4" hidden="1">
      <c r="A87" s="4">
        <v>46844</v>
      </c>
      <c r="B87">
        <v>0.77979336492890983</v>
      </c>
      <c r="C87">
        <v>1.007797933649289</v>
      </c>
      <c r="D87">
        <f t="shared" si="1"/>
        <v>1.6281501848865874</v>
      </c>
    </row>
    <row r="88" spans="1:4" hidden="1">
      <c r="A88" s="4">
        <v>46874</v>
      </c>
      <c r="B88">
        <v>0.36204691943127953</v>
      </c>
      <c r="C88">
        <v>1.0036204691943127</v>
      </c>
      <c r="D88">
        <f t="shared" si="1"/>
        <v>1.6340448524746838</v>
      </c>
    </row>
    <row r="89" spans="1:4" hidden="1">
      <c r="A89" s="4">
        <v>46905</v>
      </c>
      <c r="B89">
        <v>0.33419715639810421</v>
      </c>
      <c r="C89">
        <v>1.0033419715639811</v>
      </c>
      <c r="D89">
        <f t="shared" si="1"/>
        <v>1.6395057839059239</v>
      </c>
    </row>
    <row r="90" spans="1:4" hidden="1">
      <c r="A90" s="4">
        <v>46935</v>
      </c>
      <c r="B90">
        <v>0.30634739336492883</v>
      </c>
      <c r="C90">
        <v>1.0030634739336493</v>
      </c>
      <c r="D90">
        <f t="shared" si="1"/>
        <v>1.644528367138987</v>
      </c>
    </row>
    <row r="91" spans="1:4" hidden="1">
      <c r="A91" s="4">
        <v>46966</v>
      </c>
      <c r="B91">
        <v>0.15317369668246442</v>
      </c>
      <c r="C91">
        <v>1.0015317369668246</v>
      </c>
      <c r="D91">
        <f t="shared" si="1"/>
        <v>1.6470473520319255</v>
      </c>
    </row>
    <row r="92" spans="1:4">
      <c r="A92" s="4">
        <v>46997</v>
      </c>
      <c r="B92">
        <v>8.3549289099526053E-2</v>
      </c>
      <c r="C92">
        <v>1.0008354928909953</v>
      </c>
      <c r="D92">
        <f t="shared" si="1"/>
        <v>1.6484234483856808</v>
      </c>
    </row>
    <row r="93" spans="1:4" hidden="1">
      <c r="A93" s="4">
        <v>47027</v>
      </c>
      <c r="B93">
        <v>0.1113990521327014</v>
      </c>
      <c r="C93">
        <v>1.0011139905213271</v>
      </c>
      <c r="D93">
        <f t="shared" si="1"/>
        <v>1.6502597764823157</v>
      </c>
    </row>
    <row r="94" spans="1:4" hidden="1">
      <c r="A94" s="4">
        <v>47058</v>
      </c>
      <c r="B94">
        <v>0.65791090047393341</v>
      </c>
      <c r="C94">
        <v>1.0065791090047393</v>
      </c>
      <c r="D94">
        <f t="shared" si="1"/>
        <v>1.6611170154379296</v>
      </c>
    </row>
    <row r="95" spans="1:4" hidden="1">
      <c r="A95" s="4">
        <v>47088</v>
      </c>
      <c r="B95">
        <v>1.3578161137440754</v>
      </c>
      <c r="C95">
        <v>1.0135781611374408</v>
      </c>
      <c r="D95">
        <f t="shared" si="1"/>
        <v>1.6836719299416905</v>
      </c>
    </row>
    <row r="96" spans="1:4" hidden="1">
      <c r="A96" s="4">
        <v>47119</v>
      </c>
      <c r="B96">
        <v>0.5879203791469193</v>
      </c>
      <c r="C96">
        <v>1.0058792037914692</v>
      </c>
      <c r="D96">
        <f t="shared" si="1"/>
        <v>1.6935705803357939</v>
      </c>
    </row>
    <row r="97" spans="1:4" hidden="1">
      <c r="A97" s="4">
        <v>47150</v>
      </c>
      <c r="B97">
        <v>0.46193744075829374</v>
      </c>
      <c r="C97">
        <v>1.0046193744075829</v>
      </c>
      <c r="D97">
        <f t="shared" si="1"/>
        <v>1.7013938169320324</v>
      </c>
    </row>
    <row r="98" spans="1:4">
      <c r="A98" s="4">
        <v>47178</v>
      </c>
      <c r="B98">
        <v>0.6999052132701421</v>
      </c>
      <c r="C98">
        <v>1.0069990521327015</v>
      </c>
      <c r="D98">
        <f t="shared" si="1"/>
        <v>1.7133019609549955</v>
      </c>
    </row>
    <row r="99" spans="1:4" hidden="1">
      <c r="A99" s="4">
        <v>47209</v>
      </c>
      <c r="B99">
        <v>0.78389383886255903</v>
      </c>
      <c r="C99">
        <v>1.0078389383886255</v>
      </c>
      <c r="D99">
        <f t="shared" si="1"/>
        <v>1.7267324294680331</v>
      </c>
    </row>
    <row r="100" spans="1:4" hidden="1">
      <c r="A100" s="4">
        <v>47239</v>
      </c>
      <c r="B100">
        <v>0.36395071090047387</v>
      </c>
      <c r="C100">
        <v>1.0036395071090047</v>
      </c>
      <c r="D100">
        <f t="shared" si="1"/>
        <v>1.733016884420431</v>
      </c>
    </row>
    <row r="101" spans="1:4" hidden="1">
      <c r="A101" s="4">
        <v>47270</v>
      </c>
      <c r="B101">
        <v>0.33595450236966817</v>
      </c>
      <c r="C101">
        <v>1.0033595450236967</v>
      </c>
      <c r="D101">
        <f t="shared" si="1"/>
        <v>1.7388390326704681</v>
      </c>
    </row>
    <row r="102" spans="1:4" hidden="1">
      <c r="A102" s="4">
        <v>47300</v>
      </c>
      <c r="B102">
        <v>0.30795829383886247</v>
      </c>
      <c r="C102">
        <v>1.0030795829383887</v>
      </c>
      <c r="D102">
        <f t="shared" si="1"/>
        <v>1.7441939316880846</v>
      </c>
    </row>
    <row r="103" spans="1:4" hidden="1">
      <c r="A103" s="4">
        <v>47331</v>
      </c>
      <c r="B103">
        <v>0.15397914691943124</v>
      </c>
      <c r="C103">
        <v>1.0015397914691944</v>
      </c>
      <c r="D103">
        <f t="shared" si="1"/>
        <v>1.7468796266247184</v>
      </c>
    </row>
    <row r="104" spans="1:4">
      <c r="A104" s="4">
        <v>47362</v>
      </c>
      <c r="B104">
        <v>8.3988625592417043E-2</v>
      </c>
      <c r="C104">
        <v>1.0008398862559242</v>
      </c>
      <c r="D104">
        <f t="shared" si="1"/>
        <v>1.7483468068138746</v>
      </c>
    </row>
    <row r="105" spans="1:4" hidden="1">
      <c r="A105" s="4">
        <v>47392</v>
      </c>
      <c r="B105">
        <v>0.11198483412322273</v>
      </c>
      <c r="C105">
        <v>1.0011198483412322</v>
      </c>
      <c r="D105">
        <f t="shared" si="1"/>
        <v>1.7503046900853838</v>
      </c>
    </row>
    <row r="106" spans="1:4" hidden="1">
      <c r="A106" s="4">
        <v>47423</v>
      </c>
      <c r="B106">
        <v>0.66068412322274861</v>
      </c>
      <c r="C106">
        <v>1.0066068412322275</v>
      </c>
      <c r="D106">
        <f t="shared" si="1"/>
        <v>1.7618686752808013</v>
      </c>
    </row>
    <row r="107" spans="1:4" hidden="1">
      <c r="A107" s="4">
        <v>47453</v>
      </c>
      <c r="B107">
        <v>1.3635395734597153</v>
      </c>
      <c r="C107">
        <v>1.0136353957345972</v>
      </c>
      <c r="D107">
        <f t="shared" si="1"/>
        <v>1.7858924519006454</v>
      </c>
    </row>
    <row r="108" spans="1:4" hidden="1">
      <c r="A108" s="4">
        <v>47484</v>
      </c>
      <c r="B108">
        <v>0.59039857819905206</v>
      </c>
      <c r="C108">
        <v>1.0059039857819905</v>
      </c>
      <c r="D108">
        <f t="shared" si="1"/>
        <v>1.796436335544831</v>
      </c>
    </row>
    <row r="109" spans="1:4" hidden="1">
      <c r="A109" s="4">
        <v>47515</v>
      </c>
      <c r="B109">
        <v>0.46388459715639807</v>
      </c>
      <c r="C109">
        <v>1.0046388459715641</v>
      </c>
      <c r="D109">
        <f t="shared" si="1"/>
        <v>1.8047697270031444</v>
      </c>
    </row>
    <row r="110" spans="1:4">
      <c r="A110" s="4">
        <v>47543</v>
      </c>
      <c r="B110">
        <v>0.70285545023696683</v>
      </c>
      <c r="C110">
        <v>1.0070285545023696</v>
      </c>
      <c r="D110">
        <f t="shared" si="1"/>
        <v>1.8174546493936128</v>
      </c>
    </row>
    <row r="111" spans="1:4" hidden="1">
      <c r="A111" s="4">
        <v>47574</v>
      </c>
      <c r="B111">
        <v>0.78719810426540271</v>
      </c>
      <c r="C111">
        <v>1.007871981042654</v>
      </c>
      <c r="D111">
        <f t="shared" si="1"/>
        <v>1.8317616179395226</v>
      </c>
    </row>
    <row r="112" spans="1:4" hidden="1">
      <c r="A112" s="4">
        <v>47604</v>
      </c>
      <c r="B112">
        <v>0.36548483412322269</v>
      </c>
      <c r="C112">
        <v>1.0036548483412322</v>
      </c>
      <c r="D112">
        <f t="shared" si="1"/>
        <v>1.8384564288503817</v>
      </c>
    </row>
    <row r="113" spans="1:4" hidden="1">
      <c r="A113" s="4">
        <v>47635</v>
      </c>
      <c r="B113">
        <v>0.33737061611374403</v>
      </c>
      <c r="C113">
        <v>1.0033737061611374</v>
      </c>
      <c r="D113">
        <f t="shared" si="1"/>
        <v>1.8446588406313769</v>
      </c>
    </row>
    <row r="114" spans="1:4" hidden="1">
      <c r="A114" s="4">
        <v>47665</v>
      </c>
      <c r="B114">
        <v>0.30925639810426536</v>
      </c>
      <c r="C114">
        <v>1.0030925639810426</v>
      </c>
      <c r="D114">
        <f t="shared" si="1"/>
        <v>1.8503635661192253</v>
      </c>
    </row>
    <row r="115" spans="1:4" hidden="1">
      <c r="A115" s="4">
        <v>47696</v>
      </c>
      <c r="B115">
        <v>0.15462819905213268</v>
      </c>
      <c r="C115">
        <v>1.0015462819905214</v>
      </c>
      <c r="D115">
        <f t="shared" si="1"/>
        <v>1.8532247499774324</v>
      </c>
    </row>
    <row r="116" spans="1:4">
      <c r="A116" s="4">
        <v>47727</v>
      </c>
      <c r="B116">
        <v>8.4342654028436007E-2</v>
      </c>
      <c r="C116">
        <v>1.0008434265402844</v>
      </c>
      <c r="D116">
        <f t="shared" si="1"/>
        <v>1.8547878089166752</v>
      </c>
    </row>
    <row r="117" spans="1:4" hidden="1">
      <c r="A117" s="4">
        <v>47757</v>
      </c>
      <c r="B117">
        <v>0.11245687203791468</v>
      </c>
      <c r="C117">
        <v>1.0011245687203791</v>
      </c>
      <c r="D117">
        <f t="shared" si="1"/>
        <v>1.8568736452695234</v>
      </c>
    </row>
    <row r="118" spans="1:4" hidden="1">
      <c r="A118" s="4">
        <v>47788</v>
      </c>
      <c r="B118">
        <v>0.66295616113744049</v>
      </c>
      <c r="C118">
        <v>1.0066295616113745</v>
      </c>
      <c r="D118">
        <f t="shared" si="1"/>
        <v>1.8691839035053752</v>
      </c>
    </row>
    <row r="119" spans="1:4" hidden="1">
      <c r="A119" s="4">
        <v>47818</v>
      </c>
      <c r="B119">
        <v>1.3682286729857818</v>
      </c>
      <c r="C119">
        <v>1.0136822867298578</v>
      </c>
      <c r="D119">
        <f t="shared" si="1"/>
        <v>1.8947586136239707</v>
      </c>
    </row>
    <row r="120" spans="1:4" hidden="1">
      <c r="A120" s="4">
        <v>47849</v>
      </c>
      <c r="B120">
        <v>0.59242890995260655</v>
      </c>
      <c r="C120">
        <v>1.0059242890995261</v>
      </c>
      <c r="D120">
        <f t="shared" si="1"/>
        <v>1.9059837114248965</v>
      </c>
    </row>
    <row r="121" spans="1:4" hidden="1">
      <c r="A121" s="4">
        <v>47880</v>
      </c>
      <c r="B121">
        <v>0.46547985781990514</v>
      </c>
      <c r="C121">
        <v>1.0046547985781991</v>
      </c>
      <c r="D121">
        <f t="shared" si="1"/>
        <v>1.9148556816949076</v>
      </c>
    </row>
    <row r="122" spans="1:4">
      <c r="A122" s="4">
        <v>47908</v>
      </c>
      <c r="B122">
        <v>0.70527251184834117</v>
      </c>
      <c r="C122">
        <v>1.0070527251184833</v>
      </c>
      <c r="D122">
        <f t="shared" si="1"/>
        <v>1.9283606324594678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4E42D-434B-40CD-A975-9B02233B267F}">
  <dimension ref="A1:D85"/>
  <sheetViews>
    <sheetView workbookViewId="0">
      <selection sqref="A1:D1"/>
    </sheetView>
  </sheetViews>
  <sheetFormatPr defaultRowHeight="15"/>
  <cols>
    <col min="1" max="1" width="11.140625" customWidth="1"/>
    <col min="2" max="2" width="10.140625" customWidth="1"/>
    <col min="4" max="4" width="13" customWidth="1"/>
  </cols>
  <sheetData>
    <row r="1" spans="1:4">
      <c r="A1" t="s">
        <v>21</v>
      </c>
      <c r="B1" t="s">
        <v>150</v>
      </c>
      <c r="C1" t="s">
        <v>22</v>
      </c>
      <c r="D1" t="s">
        <v>149</v>
      </c>
    </row>
    <row r="2" spans="1:4" hidden="1">
      <c r="A2" s="4">
        <v>44256</v>
      </c>
      <c r="B2" s="5">
        <v>0.93</v>
      </c>
      <c r="C2">
        <v>1.0093000000000001</v>
      </c>
      <c r="D2">
        <v>1.0093000000000001</v>
      </c>
    </row>
    <row r="3" spans="1:4" hidden="1">
      <c r="A3" s="4">
        <v>44287</v>
      </c>
      <c r="B3" s="5">
        <v>0.31</v>
      </c>
      <c r="C3">
        <v>1.0031000000000001</v>
      </c>
      <c r="D3">
        <f>C3*D2</f>
        <v>1.0124288300000002</v>
      </c>
    </row>
    <row r="4" spans="1:4" hidden="1">
      <c r="A4" s="4">
        <v>44317</v>
      </c>
      <c r="B4" s="5">
        <v>0.83</v>
      </c>
      <c r="C4">
        <v>1.0083</v>
      </c>
      <c r="D4">
        <f t="shared" ref="D4:D67" si="0">C4*D3</f>
        <v>1.0208319892890001</v>
      </c>
    </row>
    <row r="5" spans="1:4" hidden="1">
      <c r="A5" s="4">
        <v>44348</v>
      </c>
      <c r="B5" s="5">
        <v>0.53</v>
      </c>
      <c r="C5">
        <v>1.0053000000000001</v>
      </c>
      <c r="D5">
        <f t="shared" si="0"/>
        <v>1.0262423988322318</v>
      </c>
    </row>
    <row r="6" spans="1:4" hidden="1">
      <c r="A6" s="4">
        <v>44378</v>
      </c>
      <c r="B6">
        <v>0.96</v>
      </c>
      <c r="C6">
        <v>1.0096000000000001</v>
      </c>
      <c r="D6">
        <f t="shared" si="0"/>
        <v>1.0360943258610213</v>
      </c>
    </row>
    <row r="7" spans="1:4">
      <c r="A7" s="4">
        <v>44409</v>
      </c>
      <c r="B7">
        <v>0.87</v>
      </c>
      <c r="C7">
        <v>1.0086999999999999</v>
      </c>
      <c r="D7">
        <f t="shared" si="0"/>
        <v>1.0451083464960123</v>
      </c>
    </row>
    <row r="8" spans="1:4" hidden="1">
      <c r="A8" s="4">
        <v>44440</v>
      </c>
      <c r="B8">
        <v>1.1599999999999999</v>
      </c>
      <c r="C8">
        <v>1.0116000000000001</v>
      </c>
      <c r="D8">
        <f t="shared" si="0"/>
        <v>1.0572316033153661</v>
      </c>
    </row>
    <row r="9" spans="1:4" hidden="1">
      <c r="A9" s="4">
        <v>44470</v>
      </c>
      <c r="B9">
        <v>1.25</v>
      </c>
      <c r="C9">
        <v>1.0125</v>
      </c>
      <c r="D9">
        <f t="shared" si="0"/>
        <v>1.0704469983568081</v>
      </c>
    </row>
    <row r="10" spans="1:4" hidden="1">
      <c r="A10" s="4">
        <v>44501</v>
      </c>
      <c r="B10">
        <v>0.95</v>
      </c>
      <c r="C10">
        <v>1.0095000000000001</v>
      </c>
      <c r="D10">
        <f t="shared" si="0"/>
        <v>1.0806162448411978</v>
      </c>
    </row>
    <row r="11" spans="1:4" hidden="1">
      <c r="A11" s="4">
        <v>44531</v>
      </c>
      <c r="B11">
        <v>0.73</v>
      </c>
      <c r="C11">
        <v>1.0073000000000001</v>
      </c>
      <c r="D11">
        <f t="shared" si="0"/>
        <v>1.0885047434285386</v>
      </c>
    </row>
    <row r="12" spans="1:4" hidden="1">
      <c r="A12" s="4">
        <v>44562</v>
      </c>
      <c r="B12">
        <v>0.54</v>
      </c>
      <c r="C12">
        <v>1.0054000000000001</v>
      </c>
      <c r="D12">
        <f t="shared" si="0"/>
        <v>1.0943826690430529</v>
      </c>
    </row>
    <row r="13" spans="1:4">
      <c r="A13" s="4">
        <v>44593</v>
      </c>
      <c r="B13">
        <v>1.01</v>
      </c>
      <c r="C13">
        <v>1.0101</v>
      </c>
      <c r="D13">
        <f t="shared" si="0"/>
        <v>1.1054359340003879</v>
      </c>
    </row>
    <row r="14" spans="1:4" hidden="1">
      <c r="A14" s="4">
        <v>44621</v>
      </c>
      <c r="B14">
        <v>1.62</v>
      </c>
      <c r="C14">
        <v>1.0162</v>
      </c>
      <c r="D14">
        <f t="shared" si="0"/>
        <v>1.1233439961311942</v>
      </c>
    </row>
    <row r="15" spans="1:4" hidden="1">
      <c r="A15" s="4">
        <v>44652</v>
      </c>
      <c r="B15">
        <v>1.06</v>
      </c>
      <c r="C15">
        <v>1.0105999999999999</v>
      </c>
      <c r="D15">
        <f t="shared" si="0"/>
        <v>1.1352514424901847</v>
      </c>
    </row>
    <row r="16" spans="1:4" hidden="1">
      <c r="A16" s="4">
        <v>44682</v>
      </c>
      <c r="B16">
        <v>0.47</v>
      </c>
      <c r="C16">
        <v>1.0046999999999999</v>
      </c>
      <c r="D16">
        <f t="shared" si="0"/>
        <v>1.1405871242698886</v>
      </c>
    </row>
    <row r="17" spans="1:4" hidden="1">
      <c r="A17" s="4">
        <v>44713</v>
      </c>
      <c r="B17">
        <v>0.67</v>
      </c>
      <c r="C17">
        <v>1.0066999999999999</v>
      </c>
      <c r="D17">
        <f t="shared" si="0"/>
        <v>1.1482290580024967</v>
      </c>
    </row>
    <row r="18" spans="1:4" hidden="1">
      <c r="A18" s="4">
        <v>44743</v>
      </c>
      <c r="B18">
        <v>-0.68</v>
      </c>
      <c r="C18">
        <v>0.99319999999999997</v>
      </c>
      <c r="D18">
        <f t="shared" si="0"/>
        <v>1.1404211004080798</v>
      </c>
    </row>
    <row r="19" spans="1:4">
      <c r="A19" s="4">
        <v>44774</v>
      </c>
      <c r="B19">
        <v>-0.36</v>
      </c>
      <c r="C19">
        <v>0.99639999999999995</v>
      </c>
      <c r="D19">
        <f t="shared" si="0"/>
        <v>1.1363155844466106</v>
      </c>
    </row>
    <row r="20" spans="1:4" hidden="1">
      <c r="A20" s="4">
        <v>44805</v>
      </c>
      <c r="B20">
        <v>-0.28999999999999998</v>
      </c>
      <c r="C20">
        <v>0.99709999999999999</v>
      </c>
      <c r="D20">
        <f t="shared" si="0"/>
        <v>1.1330202692517155</v>
      </c>
    </row>
    <row r="21" spans="1:4" hidden="1">
      <c r="A21" s="4">
        <v>44835</v>
      </c>
      <c r="B21">
        <v>0.33</v>
      </c>
      <c r="C21">
        <v>1.0033000000000001</v>
      </c>
      <c r="D21">
        <f t="shared" si="0"/>
        <v>1.1367592361402463</v>
      </c>
    </row>
    <row r="22" spans="1:4" hidden="1">
      <c r="A22" s="4">
        <v>44866</v>
      </c>
      <c r="B22">
        <v>0.94638500140897963</v>
      </c>
      <c r="C22">
        <v>1.0094638500140898</v>
      </c>
      <c r="D22">
        <f t="shared" si="0"/>
        <v>1.147517355053209</v>
      </c>
    </row>
    <row r="23" spans="1:4" hidden="1">
      <c r="A23" s="4">
        <v>44896</v>
      </c>
      <c r="B23">
        <v>1.9531775560993834</v>
      </c>
      <c r="C23">
        <v>1.0195317755609938</v>
      </c>
      <c r="D23">
        <f t="shared" si="0"/>
        <v>1.1699304064844536</v>
      </c>
    </row>
    <row r="24" spans="1:4" hidden="1">
      <c r="A24" s="4">
        <v>44927</v>
      </c>
      <c r="B24">
        <v>0.84570574593993919</v>
      </c>
      <c r="C24">
        <v>1.0084570574593994</v>
      </c>
      <c r="D24">
        <f t="shared" si="0"/>
        <v>1.1798245751555911</v>
      </c>
    </row>
    <row r="25" spans="1:4">
      <c r="A25" s="4">
        <v>44958</v>
      </c>
      <c r="B25">
        <v>0.66448308609566664</v>
      </c>
      <c r="C25">
        <v>1.0066448308609566</v>
      </c>
      <c r="D25">
        <f t="shared" si="0"/>
        <v>1.1876643099030999</v>
      </c>
    </row>
    <row r="26" spans="1:4" hidden="1">
      <c r="A26" s="4">
        <v>44986</v>
      </c>
      <c r="B26">
        <v>1.006792554690404</v>
      </c>
      <c r="C26">
        <v>1.0100679255469041</v>
      </c>
      <c r="D26">
        <f t="shared" si="0"/>
        <v>1.1996216257499195</v>
      </c>
    </row>
    <row r="27" spans="1:4" hidden="1">
      <c r="A27" s="4">
        <v>45017</v>
      </c>
      <c r="B27">
        <v>1.1276076612532524</v>
      </c>
      <c r="C27">
        <v>1.0112760766125326</v>
      </c>
      <c r="D27">
        <f t="shared" si="0"/>
        <v>1.2131486511079266</v>
      </c>
    </row>
    <row r="28" spans="1:4" hidden="1">
      <c r="A28" s="4">
        <v>45047</v>
      </c>
      <c r="B28">
        <v>0.41494999999999999</v>
      </c>
      <c r="C28">
        <v>1.0041495</v>
      </c>
      <c r="D28">
        <f t="shared" si="0"/>
        <v>1.2181826114356991</v>
      </c>
    </row>
    <row r="29" spans="1:4" hidden="1">
      <c r="A29" s="4">
        <v>45078</v>
      </c>
      <c r="B29">
        <v>0.38303300000000001</v>
      </c>
      <c r="C29">
        <v>1.00383033</v>
      </c>
      <c r="D29">
        <f t="shared" si="0"/>
        <v>1.2228486528377596</v>
      </c>
    </row>
    <row r="30" spans="1:4" hidden="1">
      <c r="A30" s="4">
        <v>45108</v>
      </c>
      <c r="B30">
        <v>0.35111999999999999</v>
      </c>
      <c r="C30">
        <v>1.0035111999999999</v>
      </c>
      <c r="D30">
        <f t="shared" si="0"/>
        <v>1.2271423190276034</v>
      </c>
    </row>
    <row r="31" spans="1:4">
      <c r="A31" s="4">
        <v>45139</v>
      </c>
      <c r="B31">
        <v>0.17555687203791467</v>
      </c>
      <c r="C31">
        <v>1.0017555687203792</v>
      </c>
      <c r="D31">
        <f t="shared" si="0"/>
        <v>1.2292966516983419</v>
      </c>
    </row>
    <row r="32" spans="1:4" hidden="1">
      <c r="A32" s="4">
        <v>45170</v>
      </c>
      <c r="B32">
        <v>9.5758293838862543E-2</v>
      </c>
      <c r="C32">
        <v>1.0009575829383885</v>
      </c>
      <c r="D32">
        <f t="shared" si="0"/>
        <v>1.2304738051982265</v>
      </c>
    </row>
    <row r="33" spans="1:4" hidden="1">
      <c r="A33" s="4">
        <v>45200</v>
      </c>
      <c r="B33">
        <v>0.12767772511848341</v>
      </c>
      <c r="C33">
        <v>1.0012767772511848</v>
      </c>
      <c r="D33">
        <f t="shared" si="0"/>
        <v>1.2320448461608824</v>
      </c>
    </row>
    <row r="34" spans="1:4" hidden="1">
      <c r="A34" s="4">
        <v>45231</v>
      </c>
      <c r="B34">
        <v>0.66754478672985762</v>
      </c>
      <c r="C34">
        <v>1.0066754478672986</v>
      </c>
      <c r="D34">
        <f t="shared" si="0"/>
        <v>1.2402692973016032</v>
      </c>
    </row>
    <row r="35" spans="1:4" hidden="1">
      <c r="A35" s="4">
        <v>45261</v>
      </c>
      <c r="B35">
        <v>1.3776988151658764</v>
      </c>
      <c r="C35">
        <v>1.0137769881516587</v>
      </c>
      <c r="D35">
        <f t="shared" si="0"/>
        <v>1.2573564727153934</v>
      </c>
    </row>
    <row r="36" spans="1:4" hidden="1">
      <c r="A36" s="4">
        <v>45292</v>
      </c>
      <c r="B36">
        <v>0.59652938388625576</v>
      </c>
      <c r="C36">
        <v>1.0059652938388626</v>
      </c>
      <c r="D36">
        <f t="shared" si="0"/>
        <v>1.2648569735353365</v>
      </c>
    </row>
    <row r="37" spans="1:4">
      <c r="A37" s="4">
        <v>45323</v>
      </c>
      <c r="B37">
        <v>0.46870165876777242</v>
      </c>
      <c r="C37">
        <v>1.0046870165876778</v>
      </c>
      <c r="D37">
        <f t="shared" si="0"/>
        <v>1.2707853791513366</v>
      </c>
    </row>
    <row r="38" spans="1:4" hidden="1">
      <c r="A38" s="4">
        <v>45352</v>
      </c>
      <c r="B38">
        <v>0.71015402843601882</v>
      </c>
      <c r="C38">
        <v>1.0071015402843602</v>
      </c>
      <c r="D38">
        <f t="shared" si="0"/>
        <v>1.2798099127141558</v>
      </c>
    </row>
    <row r="39" spans="1:4" hidden="1">
      <c r="A39" s="4">
        <v>45383</v>
      </c>
      <c r="B39">
        <v>0.79537251184834112</v>
      </c>
      <c r="C39">
        <v>1.0079537251184834</v>
      </c>
      <c r="D39">
        <f t="shared" si="0"/>
        <v>1.2899891689637943</v>
      </c>
    </row>
    <row r="40" spans="1:4" hidden="1">
      <c r="A40" s="4">
        <v>45413</v>
      </c>
      <c r="B40">
        <v>0.3692800947867298</v>
      </c>
      <c r="C40">
        <v>1.0036928009478674</v>
      </c>
      <c r="D40">
        <f t="shared" si="0"/>
        <v>1.2947528421896826</v>
      </c>
    </row>
    <row r="41" spans="1:4" hidden="1">
      <c r="A41" s="4">
        <v>45444</v>
      </c>
      <c r="B41">
        <v>0.34087393364928903</v>
      </c>
      <c r="C41">
        <v>1.003408739336493</v>
      </c>
      <c r="D41">
        <f t="shared" si="0"/>
        <v>1.2991663171338907</v>
      </c>
    </row>
    <row r="42" spans="1:4" hidden="1">
      <c r="A42" s="4">
        <v>45474</v>
      </c>
      <c r="B42">
        <v>0.31246777251184826</v>
      </c>
      <c r="C42">
        <v>1.0031246777251184</v>
      </c>
      <c r="D42">
        <f t="shared" si="0"/>
        <v>1.3032257931862632</v>
      </c>
    </row>
    <row r="43" spans="1:4">
      <c r="A43" s="4">
        <v>45505</v>
      </c>
      <c r="B43">
        <v>0.15623388625592413</v>
      </c>
      <c r="C43">
        <v>1.0015623388625592</v>
      </c>
      <c r="D43">
        <f t="shared" si="0"/>
        <v>1.3052618734896475</v>
      </c>
    </row>
    <row r="44" spans="1:4" hidden="1">
      <c r="A44" s="4">
        <v>45536</v>
      </c>
      <c r="B44">
        <v>8.5218483412322257E-2</v>
      </c>
      <c r="C44">
        <v>1.0008521848341232</v>
      </c>
      <c r="D44">
        <f t="shared" si="0"/>
        <v>1.3063741978627945</v>
      </c>
    </row>
    <row r="45" spans="1:4" hidden="1">
      <c r="A45" s="4">
        <v>45566</v>
      </c>
      <c r="B45">
        <v>0.11362464454976301</v>
      </c>
      <c r="C45">
        <v>1.0011362464454976</v>
      </c>
      <c r="D45">
        <f t="shared" si="0"/>
        <v>1.3078585609016058</v>
      </c>
    </row>
    <row r="46" spans="1:4" hidden="1">
      <c r="A46" s="4">
        <v>45597</v>
      </c>
      <c r="B46">
        <v>0.64748625592417042</v>
      </c>
      <c r="C46">
        <v>1.0064748625592417</v>
      </c>
      <c r="D46">
        <f t="shared" si="0"/>
        <v>1.3163267653303714</v>
      </c>
    </row>
    <row r="47" spans="1:4" hidden="1">
      <c r="A47" s="4">
        <v>45627</v>
      </c>
      <c r="B47">
        <v>1.3363014218009477</v>
      </c>
      <c r="C47">
        <v>1.0133630142180095</v>
      </c>
      <c r="D47">
        <f t="shared" si="0"/>
        <v>1.3339168586110275</v>
      </c>
    </row>
    <row r="48" spans="1:4" hidden="1">
      <c r="A48" s="4">
        <v>45658</v>
      </c>
      <c r="B48">
        <v>0.57860473933649281</v>
      </c>
      <c r="C48">
        <v>1.0057860473933649</v>
      </c>
      <c r="D48">
        <f t="shared" si="0"/>
        <v>1.3416349647737593</v>
      </c>
    </row>
    <row r="49" spans="1:4">
      <c r="A49" s="4">
        <v>45689</v>
      </c>
      <c r="B49">
        <v>0.45461800947867292</v>
      </c>
      <c r="C49">
        <v>1.0045461800947868</v>
      </c>
      <c r="D49">
        <f t="shared" si="0"/>
        <v>1.3477342789450837</v>
      </c>
    </row>
    <row r="50" spans="1:4" hidden="1">
      <c r="A50" s="4">
        <v>45717</v>
      </c>
      <c r="B50">
        <v>0.68881516587677716</v>
      </c>
      <c r="C50">
        <v>1.0068881516587678</v>
      </c>
      <c r="D50">
        <f t="shared" si="0"/>
        <v>1.3570176770541775</v>
      </c>
    </row>
    <row r="51" spans="1:4" hidden="1">
      <c r="A51" s="4">
        <v>45748</v>
      </c>
      <c r="B51">
        <v>0.77147298578199042</v>
      </c>
      <c r="C51">
        <v>1.00771472985782</v>
      </c>
      <c r="D51">
        <f t="shared" si="0"/>
        <v>1.3674867018449368</v>
      </c>
    </row>
    <row r="52" spans="1:4" hidden="1">
      <c r="A52" s="4">
        <v>45778</v>
      </c>
      <c r="B52">
        <v>0.35818388625592412</v>
      </c>
      <c r="C52">
        <v>1.0035818388625593</v>
      </c>
      <c r="D52">
        <f t="shared" si="0"/>
        <v>1.372384818857638</v>
      </c>
    </row>
    <row r="53" spans="1:4" hidden="1">
      <c r="A53" s="4">
        <v>45809</v>
      </c>
      <c r="B53">
        <v>0.33063127962085304</v>
      </c>
      <c r="C53">
        <v>1.0033063127962085</v>
      </c>
      <c r="D53">
        <f t="shared" si="0"/>
        <v>1.3769223523455494</v>
      </c>
    </row>
    <row r="54" spans="1:4" hidden="1">
      <c r="A54" s="4">
        <v>45839</v>
      </c>
      <c r="B54">
        <v>0.30307867298578195</v>
      </c>
      <c r="C54">
        <v>1.0030307867298578</v>
      </c>
      <c r="D54">
        <f t="shared" si="0"/>
        <v>1.381095510339083</v>
      </c>
    </row>
    <row r="55" spans="1:4">
      <c r="A55" s="4">
        <v>45870</v>
      </c>
      <c r="B55">
        <v>0.15153933649289097</v>
      </c>
      <c r="C55">
        <v>1.001515393364929</v>
      </c>
      <c r="D55">
        <f t="shared" si="0"/>
        <v>1.383188413311784</v>
      </c>
    </row>
    <row r="56" spans="1:4" hidden="1">
      <c r="A56" s="4">
        <v>45901</v>
      </c>
      <c r="B56">
        <v>8.2657819905213259E-2</v>
      </c>
      <c r="C56">
        <v>1.0008265781990522</v>
      </c>
      <c r="D56">
        <f t="shared" si="0"/>
        <v>1.3843317266994091</v>
      </c>
    </row>
    <row r="57" spans="1:4" hidden="1">
      <c r="A57" s="4">
        <v>45931</v>
      </c>
      <c r="B57">
        <v>0.11021042654028435</v>
      </c>
      <c r="C57">
        <v>1.0011021042654029</v>
      </c>
      <c r="D57">
        <f t="shared" si="0"/>
        <v>1.3858574046001371</v>
      </c>
    </row>
    <row r="58" spans="1:4" hidden="1">
      <c r="A58" s="4">
        <v>45962</v>
      </c>
      <c r="B58">
        <v>0.64681800947867285</v>
      </c>
      <c r="C58">
        <v>1.0064681800947868</v>
      </c>
      <c r="D58">
        <f t="shared" si="0"/>
        <v>1.3948213798787845</v>
      </c>
    </row>
    <row r="59" spans="1:4" hidden="1">
      <c r="A59" s="4">
        <v>45992</v>
      </c>
      <c r="B59">
        <v>1.3349222748815164</v>
      </c>
      <c r="C59">
        <v>1.0133492227488152</v>
      </c>
      <c r="D59">
        <f t="shared" si="0"/>
        <v>1.4134411611735962</v>
      </c>
    </row>
    <row r="60" spans="1:4" hidden="1">
      <c r="A60" s="4">
        <v>46023</v>
      </c>
      <c r="B60">
        <v>0.5780075829383885</v>
      </c>
      <c r="C60">
        <v>1.0057800758293838</v>
      </c>
      <c r="D60">
        <f t="shared" si="0"/>
        <v>1.4216109582655518</v>
      </c>
    </row>
    <row r="61" spans="1:4">
      <c r="A61" s="4">
        <v>46054</v>
      </c>
      <c r="B61">
        <v>0.45414881516587668</v>
      </c>
      <c r="C61">
        <v>1.0045414881516588</v>
      </c>
      <c r="D61">
        <f t="shared" si="0"/>
        <v>1.4280671875887831</v>
      </c>
    </row>
    <row r="62" spans="1:4" hidden="1">
      <c r="A62" s="4">
        <v>46082</v>
      </c>
      <c r="B62">
        <v>0.68810426540284353</v>
      </c>
      <c r="C62">
        <v>1.0068810426540284</v>
      </c>
      <c r="D62">
        <f t="shared" si="0"/>
        <v>1.4378937788193999</v>
      </c>
    </row>
    <row r="63" spans="1:4" hidden="1">
      <c r="A63" s="4">
        <v>46113</v>
      </c>
      <c r="B63">
        <v>0.77067677725118466</v>
      </c>
      <c r="C63">
        <v>1.0077067677725118</v>
      </c>
      <c r="D63">
        <f t="shared" si="0"/>
        <v>1.4489752922543004</v>
      </c>
    </row>
    <row r="64" spans="1:4" hidden="1">
      <c r="A64" s="4">
        <v>46143</v>
      </c>
      <c r="B64">
        <v>0.3578142180094786</v>
      </c>
      <c r="C64">
        <v>1.0035781421800949</v>
      </c>
      <c r="D64">
        <f t="shared" si="0"/>
        <v>1.4541599318654308</v>
      </c>
    </row>
    <row r="65" spans="1:4" hidden="1">
      <c r="A65" s="4">
        <v>46174</v>
      </c>
      <c r="B65">
        <v>0.33029004739336487</v>
      </c>
      <c r="C65">
        <v>1.0033029004739336</v>
      </c>
      <c r="D65">
        <f t="shared" si="0"/>
        <v>1.4589628773935643</v>
      </c>
    </row>
    <row r="66" spans="1:4" hidden="1">
      <c r="A66" s="4">
        <v>46204</v>
      </c>
      <c r="B66">
        <v>0.30276587677725114</v>
      </c>
      <c r="C66">
        <v>1.0030276587677724</v>
      </c>
      <c r="D66">
        <f t="shared" si="0"/>
        <v>1.4633801191411595</v>
      </c>
    </row>
    <row r="67" spans="1:4">
      <c r="A67" s="4">
        <v>46235</v>
      </c>
      <c r="B67">
        <v>0.15138293838862557</v>
      </c>
      <c r="C67">
        <v>1.0015138293838863</v>
      </c>
      <c r="D67">
        <f t="shared" si="0"/>
        <v>1.4655954269653104</v>
      </c>
    </row>
    <row r="68" spans="1:4" hidden="1">
      <c r="A68" s="4">
        <v>46266</v>
      </c>
      <c r="B68">
        <v>8.2572511848341218E-2</v>
      </c>
      <c r="C68">
        <v>1.0008257251184833</v>
      </c>
      <c r="D68">
        <f t="shared" ref="D68:D85" si="1">C68*D67</f>
        <v>1.46680560592289</v>
      </c>
    </row>
    <row r="69" spans="1:4" hidden="1">
      <c r="A69" s="4">
        <v>46296</v>
      </c>
      <c r="B69">
        <v>0.11009668246445496</v>
      </c>
      <c r="C69">
        <v>1.0011009668246444</v>
      </c>
      <c r="D69">
        <f t="shared" si="1"/>
        <v>1.4684205102332135</v>
      </c>
    </row>
    <row r="70" spans="1:4" hidden="1">
      <c r="A70" s="4">
        <v>46327</v>
      </c>
      <c r="B70">
        <v>0.65048222748815143</v>
      </c>
      <c r="C70">
        <v>1.0065048222748816</v>
      </c>
      <c r="D70">
        <f t="shared" si="1"/>
        <v>1.4779723246770715</v>
      </c>
    </row>
    <row r="71" spans="1:4" hidden="1">
      <c r="A71" s="4">
        <v>46357</v>
      </c>
      <c r="B71">
        <v>1.3424845971563977</v>
      </c>
      <c r="C71">
        <v>1.013424845971564</v>
      </c>
      <c r="D71">
        <f t="shared" si="1"/>
        <v>1.4978138754860957</v>
      </c>
    </row>
    <row r="72" spans="1:4" hidden="1">
      <c r="A72" s="4">
        <v>46388</v>
      </c>
      <c r="B72">
        <v>0.5812819905213269</v>
      </c>
      <c r="C72">
        <v>1.0058128199052132</v>
      </c>
      <c r="D72">
        <f t="shared" si="1"/>
        <v>1.5065203977958257</v>
      </c>
    </row>
    <row r="73" spans="1:4">
      <c r="A73" s="4">
        <v>46419</v>
      </c>
      <c r="B73">
        <v>0.45672156398104258</v>
      </c>
      <c r="C73">
        <v>1.0045672156398104</v>
      </c>
      <c r="D73">
        <f t="shared" si="1"/>
        <v>1.5134010013183323</v>
      </c>
    </row>
    <row r="74" spans="1:4" hidden="1">
      <c r="A74" s="4">
        <v>46447</v>
      </c>
      <c r="B74">
        <v>0.69200236966824635</v>
      </c>
      <c r="C74">
        <v>1.0069200236966824</v>
      </c>
      <c r="D74">
        <f t="shared" si="1"/>
        <v>1.5238737721100382</v>
      </c>
    </row>
    <row r="75" spans="1:4" hidden="1">
      <c r="A75" s="4">
        <v>46478</v>
      </c>
      <c r="B75">
        <v>0.77504265402843586</v>
      </c>
      <c r="C75">
        <v>1.0077504265402843</v>
      </c>
      <c r="D75">
        <f t="shared" si="1"/>
        <v>1.5356844438374431</v>
      </c>
    </row>
    <row r="76" spans="1:4" hidden="1">
      <c r="A76" s="4">
        <v>46508</v>
      </c>
      <c r="B76">
        <v>0.35984123222748809</v>
      </c>
      <c r="C76">
        <v>1.003598412322275</v>
      </c>
      <c r="D76">
        <f t="shared" si="1"/>
        <v>1.5412104696632738</v>
      </c>
    </row>
    <row r="77" spans="1:4" hidden="1">
      <c r="A77" s="4">
        <v>46539</v>
      </c>
      <c r="B77">
        <v>0.3321611374407582</v>
      </c>
      <c r="C77">
        <v>1.0033216113744077</v>
      </c>
      <c r="D77">
        <f t="shared" si="1"/>
        <v>1.5463297718896636</v>
      </c>
    </row>
    <row r="78" spans="1:4" hidden="1">
      <c r="A78" s="4">
        <v>46569</v>
      </c>
      <c r="B78">
        <v>0.30448104265402837</v>
      </c>
      <c r="C78">
        <v>1.0030448104265404</v>
      </c>
      <c r="D78">
        <f t="shared" si="1"/>
        <v>1.5510380529019829</v>
      </c>
    </row>
    <row r="79" spans="1:4">
      <c r="A79" s="4">
        <v>46600</v>
      </c>
      <c r="B79">
        <v>0.15224052132701418</v>
      </c>
      <c r="C79">
        <v>1.0015224052132701</v>
      </c>
      <c r="D79">
        <f t="shared" si="1"/>
        <v>1.5533993613197012</v>
      </c>
    </row>
    <row r="80" spans="1:4" hidden="1">
      <c r="A80" s="4">
        <v>46631</v>
      </c>
      <c r="B80">
        <v>8.3040284360189551E-2</v>
      </c>
      <c r="C80">
        <v>1.0008304028436019</v>
      </c>
      <c r="D80">
        <f t="shared" si="1"/>
        <v>1.5546893085665905</v>
      </c>
    </row>
    <row r="81" spans="1:4" hidden="1">
      <c r="A81" s="4">
        <v>46661</v>
      </c>
      <c r="B81">
        <v>0.11072037914691941</v>
      </c>
      <c r="C81">
        <v>1.0011072037914692</v>
      </c>
      <c r="D81">
        <f t="shared" si="1"/>
        <v>1.5564106664635922</v>
      </c>
    </row>
    <row r="82" spans="1:4" hidden="1">
      <c r="A82" s="4">
        <v>46692</v>
      </c>
      <c r="B82">
        <v>0.65446943127962065</v>
      </c>
      <c r="C82">
        <v>1.0065446943127963</v>
      </c>
      <c r="D82">
        <f t="shared" si="1"/>
        <v>1.5665968985007719</v>
      </c>
    </row>
    <row r="83" spans="1:4" hidden="1">
      <c r="A83" s="4">
        <v>46722</v>
      </c>
      <c r="B83">
        <v>1.3507135071090044</v>
      </c>
      <c r="C83">
        <v>1.01350713507109</v>
      </c>
      <c r="D83">
        <f t="shared" si="1"/>
        <v>1.5877571344107726</v>
      </c>
    </row>
    <row r="84" spans="1:4" hidden="1">
      <c r="A84" s="4">
        <v>46753</v>
      </c>
      <c r="B84">
        <v>0.58484502369668234</v>
      </c>
      <c r="C84">
        <v>1.0058484502369669</v>
      </c>
      <c r="D84">
        <f t="shared" si="1"/>
        <v>1.5970430529997632</v>
      </c>
    </row>
    <row r="85" spans="1:4">
      <c r="A85" s="4">
        <v>46784</v>
      </c>
      <c r="B85">
        <v>0.45952109004739328</v>
      </c>
      <c r="C85">
        <v>1.0045952109004739</v>
      </c>
      <c r="D85">
        <f t="shared" si="1"/>
        <v>1.6043818026454337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7B7F2-B748-4AE7-A5F7-01B93A73CDB5}">
  <dimension ref="A1:D163"/>
  <sheetViews>
    <sheetView topLeftCell="A115" workbookViewId="0">
      <selection sqref="A1:D1"/>
    </sheetView>
  </sheetViews>
  <sheetFormatPr defaultRowHeight="15"/>
  <cols>
    <col min="1" max="1" width="11.140625" customWidth="1"/>
    <col min="2" max="2" width="10.140625" customWidth="1"/>
    <col min="4" max="4" width="13" customWidth="1"/>
  </cols>
  <sheetData>
    <row r="1" spans="1:4">
      <c r="A1" t="s">
        <v>21</v>
      </c>
      <c r="B1" t="s">
        <v>150</v>
      </c>
      <c r="C1" t="s">
        <v>22</v>
      </c>
      <c r="D1" t="s">
        <v>149</v>
      </c>
    </row>
    <row r="2" spans="1:4">
      <c r="A2" s="4">
        <v>44378</v>
      </c>
      <c r="B2">
        <v>0.96</v>
      </c>
      <c r="C2">
        <v>1.0096000000000001</v>
      </c>
      <c r="D2">
        <v>1.0096000000000001</v>
      </c>
    </row>
    <row r="3" spans="1:4">
      <c r="A3" s="4">
        <v>44409</v>
      </c>
      <c r="B3">
        <v>0.87</v>
      </c>
      <c r="C3">
        <v>1.0086999999999999</v>
      </c>
      <c r="D3">
        <f>C3*D2</f>
        <v>1.01838352</v>
      </c>
    </row>
    <row r="4" spans="1:4">
      <c r="A4" s="4">
        <v>44440</v>
      </c>
      <c r="B4">
        <v>1.1599999999999999</v>
      </c>
      <c r="C4">
        <v>1.0116000000000001</v>
      </c>
      <c r="D4">
        <f t="shared" ref="D4:D67" si="0">C4*D3</f>
        <v>1.030196768832</v>
      </c>
    </row>
    <row r="5" spans="1:4">
      <c r="A5" s="4">
        <v>44470</v>
      </c>
      <c r="B5">
        <v>1.25</v>
      </c>
      <c r="C5">
        <v>1.0125</v>
      </c>
      <c r="D5">
        <f t="shared" si="0"/>
        <v>1.0430742284423999</v>
      </c>
    </row>
    <row r="6" spans="1:4">
      <c r="A6" s="4">
        <v>44501</v>
      </c>
      <c r="B6">
        <v>0.95</v>
      </c>
      <c r="C6">
        <v>1.0095000000000001</v>
      </c>
      <c r="D6">
        <f t="shared" si="0"/>
        <v>1.0529834336126027</v>
      </c>
    </row>
    <row r="7" spans="1:4">
      <c r="A7" s="4">
        <v>44531</v>
      </c>
      <c r="B7">
        <v>0.73</v>
      </c>
      <c r="C7">
        <v>1.0073000000000001</v>
      </c>
      <c r="D7">
        <f t="shared" si="0"/>
        <v>1.0606702126779748</v>
      </c>
    </row>
    <row r="8" spans="1:4">
      <c r="A8" s="4">
        <v>44562</v>
      </c>
      <c r="B8">
        <v>0.54</v>
      </c>
      <c r="C8">
        <v>1.0054000000000001</v>
      </c>
      <c r="D8">
        <f t="shared" si="0"/>
        <v>1.066397831826436</v>
      </c>
    </row>
    <row r="9" spans="1:4">
      <c r="A9" s="4">
        <v>44593</v>
      </c>
      <c r="B9">
        <v>1.01</v>
      </c>
      <c r="C9">
        <v>1.0101</v>
      </c>
      <c r="D9">
        <f t="shared" si="0"/>
        <v>1.0771684499278831</v>
      </c>
    </row>
    <row r="10" spans="1:4">
      <c r="A10" s="4">
        <v>44621</v>
      </c>
      <c r="B10">
        <v>1.62</v>
      </c>
      <c r="C10">
        <v>1.0162</v>
      </c>
      <c r="D10">
        <f t="shared" si="0"/>
        <v>1.0946185788167149</v>
      </c>
    </row>
    <row r="11" spans="1:4">
      <c r="A11" s="4">
        <v>44652</v>
      </c>
      <c r="B11">
        <v>1.06</v>
      </c>
      <c r="C11">
        <v>1.0105999999999999</v>
      </c>
      <c r="D11">
        <f t="shared" si="0"/>
        <v>1.1062215357521721</v>
      </c>
    </row>
    <row r="12" spans="1:4">
      <c r="A12" s="4">
        <v>44682</v>
      </c>
      <c r="B12">
        <v>0.47</v>
      </c>
      <c r="C12">
        <v>1.0046999999999999</v>
      </c>
      <c r="D12">
        <f t="shared" si="0"/>
        <v>1.1114207769702071</v>
      </c>
    </row>
    <row r="13" spans="1:4">
      <c r="A13" s="4">
        <v>44713</v>
      </c>
      <c r="B13">
        <v>0.67</v>
      </c>
      <c r="C13">
        <v>1.0066999999999999</v>
      </c>
      <c r="D13">
        <f t="shared" si="0"/>
        <v>1.1188672961759074</v>
      </c>
    </row>
    <row r="14" spans="1:4">
      <c r="A14" s="4">
        <v>44743</v>
      </c>
      <c r="B14">
        <v>-0.68</v>
      </c>
      <c r="C14">
        <v>0.99319999999999997</v>
      </c>
      <c r="D14">
        <f t="shared" si="0"/>
        <v>1.1112589985619112</v>
      </c>
    </row>
    <row r="15" spans="1:4">
      <c r="A15" s="4">
        <v>44774</v>
      </c>
      <c r="B15">
        <v>-0.36</v>
      </c>
      <c r="C15">
        <v>0.99639999999999995</v>
      </c>
      <c r="D15">
        <f t="shared" si="0"/>
        <v>1.1072584661670883</v>
      </c>
    </row>
    <row r="16" spans="1:4">
      <c r="A16" s="4">
        <v>44805</v>
      </c>
      <c r="B16">
        <v>-0.28999999999999998</v>
      </c>
      <c r="C16">
        <v>0.99709999999999999</v>
      </c>
      <c r="D16">
        <f t="shared" si="0"/>
        <v>1.1040474166152037</v>
      </c>
    </row>
    <row r="17" spans="1:4">
      <c r="A17" s="4">
        <v>44835</v>
      </c>
      <c r="B17">
        <v>0.33</v>
      </c>
      <c r="C17">
        <v>1.0033000000000001</v>
      </c>
      <c r="D17">
        <f t="shared" si="0"/>
        <v>1.1076907730900338</v>
      </c>
    </row>
    <row r="18" spans="1:4">
      <c r="A18" s="4">
        <v>44866</v>
      </c>
      <c r="B18">
        <v>0.94638500140897963</v>
      </c>
      <c r="C18">
        <v>1.0094638500140898</v>
      </c>
      <c r="D18">
        <f t="shared" si="0"/>
        <v>1.1181737924285491</v>
      </c>
    </row>
    <row r="19" spans="1:4">
      <c r="A19" s="4">
        <v>44896</v>
      </c>
      <c r="B19">
        <v>1.9531775560993834</v>
      </c>
      <c r="C19">
        <v>1.0195317755609938</v>
      </c>
      <c r="D19">
        <f t="shared" si="0"/>
        <v>1.1400137119804488</v>
      </c>
    </row>
    <row r="20" spans="1:4">
      <c r="A20" s="4">
        <v>44927</v>
      </c>
      <c r="B20">
        <v>0.84570574593993919</v>
      </c>
      <c r="C20">
        <v>1.0084570574593994</v>
      </c>
      <c r="D20">
        <f t="shared" si="0"/>
        <v>1.1496548734471705</v>
      </c>
    </row>
    <row r="21" spans="1:4">
      <c r="A21" s="4">
        <v>44958</v>
      </c>
      <c r="B21">
        <v>0.66448308609566664</v>
      </c>
      <c r="C21">
        <v>1.0066448308609566</v>
      </c>
      <c r="D21">
        <f t="shared" si="0"/>
        <v>1.1572941356297015</v>
      </c>
    </row>
    <row r="22" spans="1:4">
      <c r="A22" s="4">
        <v>44986</v>
      </c>
      <c r="B22">
        <v>1.006792554690404</v>
      </c>
      <c r="C22">
        <v>1.0100679255469041</v>
      </c>
      <c r="D22">
        <f t="shared" si="0"/>
        <v>1.1689456868230901</v>
      </c>
    </row>
    <row r="23" spans="1:4">
      <c r="A23" s="4">
        <v>45017</v>
      </c>
      <c r="B23">
        <v>1.1276076612532524</v>
      </c>
      <c r="C23">
        <v>1.0112760766125326</v>
      </c>
      <c r="D23">
        <f t="shared" si="0"/>
        <v>1.1821268079435967</v>
      </c>
    </row>
    <row r="24" spans="1:4">
      <c r="A24" s="4">
        <v>45047</v>
      </c>
      <c r="B24">
        <v>0.41494999999999999</v>
      </c>
      <c r="C24">
        <v>1.0041495</v>
      </c>
      <c r="D24">
        <f t="shared" si="0"/>
        <v>1.1870320431331587</v>
      </c>
    </row>
    <row r="25" spans="1:4">
      <c r="A25" s="4">
        <v>45078</v>
      </c>
      <c r="B25">
        <v>0.38303300000000001</v>
      </c>
      <c r="C25">
        <v>1.00383033</v>
      </c>
      <c r="D25">
        <f t="shared" si="0"/>
        <v>1.1915787675789329</v>
      </c>
    </row>
    <row r="26" spans="1:4">
      <c r="A26" s="4">
        <v>45108</v>
      </c>
      <c r="B26">
        <v>0.35111999999999999</v>
      </c>
      <c r="C26">
        <v>1.0035111999999999</v>
      </c>
      <c r="D26">
        <f t="shared" si="0"/>
        <v>1.1957626389476559</v>
      </c>
    </row>
    <row r="27" spans="1:4">
      <c r="A27" s="4">
        <v>45139</v>
      </c>
      <c r="B27">
        <v>0.17555687203791467</v>
      </c>
      <c r="C27">
        <v>1.0017555687203792</v>
      </c>
      <c r="D27">
        <f t="shared" si="0"/>
        <v>1.1978618824335905</v>
      </c>
    </row>
    <row r="28" spans="1:4">
      <c r="A28" s="4">
        <v>45170</v>
      </c>
      <c r="B28">
        <v>9.5758293838862543E-2</v>
      </c>
      <c r="C28">
        <v>1.0009575829383885</v>
      </c>
      <c r="D28">
        <f t="shared" si="0"/>
        <v>1.199008934534755</v>
      </c>
    </row>
    <row r="29" spans="1:4">
      <c r="A29" s="4">
        <v>45200</v>
      </c>
      <c r="B29">
        <v>0.12767772511848341</v>
      </c>
      <c r="C29">
        <v>1.0012767772511848</v>
      </c>
      <c r="D29">
        <f t="shared" si="0"/>
        <v>1.2005398018663362</v>
      </c>
    </row>
    <row r="30" spans="1:4">
      <c r="A30" s="4">
        <v>45231</v>
      </c>
      <c r="B30">
        <v>0.66754478672985762</v>
      </c>
      <c r="C30">
        <v>1.0066754478672986</v>
      </c>
      <c r="D30">
        <f t="shared" si="0"/>
        <v>1.2085539427263119</v>
      </c>
    </row>
    <row r="31" spans="1:4">
      <c r="A31" s="4">
        <v>45261</v>
      </c>
      <c r="B31">
        <v>1.3776988151658764</v>
      </c>
      <c r="C31">
        <v>1.0137769881516587</v>
      </c>
      <c r="D31">
        <f t="shared" si="0"/>
        <v>1.2252041760758927</v>
      </c>
    </row>
    <row r="32" spans="1:4">
      <c r="A32" s="4">
        <v>45292</v>
      </c>
      <c r="B32">
        <v>0.59652938388625576</v>
      </c>
      <c r="C32">
        <v>1.0059652938388626</v>
      </c>
      <c r="D32">
        <f t="shared" si="0"/>
        <v>1.2325128789987869</v>
      </c>
    </row>
    <row r="33" spans="1:4">
      <c r="A33" s="4">
        <v>45323</v>
      </c>
      <c r="B33">
        <v>0.46870165876777242</v>
      </c>
      <c r="C33">
        <v>1.0046870165876778</v>
      </c>
      <c r="D33">
        <f t="shared" si="0"/>
        <v>1.2382896873071807</v>
      </c>
    </row>
    <row r="34" spans="1:4">
      <c r="A34" s="4">
        <v>45352</v>
      </c>
      <c r="B34">
        <v>0.71015402843601882</v>
      </c>
      <c r="C34">
        <v>1.0071015402843602</v>
      </c>
      <c r="D34">
        <f t="shared" si="0"/>
        <v>1.2470834514053004</v>
      </c>
    </row>
    <row r="35" spans="1:4">
      <c r="A35" s="4">
        <v>45383</v>
      </c>
      <c r="B35">
        <v>0.79537251184834112</v>
      </c>
      <c r="C35">
        <v>1.0079537251184834</v>
      </c>
      <c r="D35">
        <f t="shared" si="0"/>
        <v>1.2570024103775876</v>
      </c>
    </row>
    <row r="36" spans="1:4">
      <c r="A36" s="4">
        <v>45413</v>
      </c>
      <c r="B36">
        <v>0.3692800947867298</v>
      </c>
      <c r="C36">
        <v>1.0036928009478674</v>
      </c>
      <c r="D36">
        <f t="shared" si="0"/>
        <v>1.2616442700701016</v>
      </c>
    </row>
    <row r="37" spans="1:4">
      <c r="A37" s="4">
        <v>45444</v>
      </c>
      <c r="B37">
        <v>0.34087393364928903</v>
      </c>
      <c r="C37">
        <v>1.003408739336493</v>
      </c>
      <c r="D37">
        <f t="shared" si="0"/>
        <v>1.2659448865221505</v>
      </c>
    </row>
    <row r="38" spans="1:4">
      <c r="A38" s="4">
        <v>45474</v>
      </c>
      <c r="B38">
        <v>0.31246777251184826</v>
      </c>
      <c r="C38">
        <v>1.0031246777251184</v>
      </c>
      <c r="D38">
        <f t="shared" si="0"/>
        <v>1.2699005563102939</v>
      </c>
    </row>
    <row r="39" spans="1:4">
      <c r="A39" s="4">
        <v>45505</v>
      </c>
      <c r="B39">
        <v>0.15623388625592413</v>
      </c>
      <c r="C39">
        <v>1.0015623388625592</v>
      </c>
      <c r="D39">
        <f t="shared" si="0"/>
        <v>1.271884571301003</v>
      </c>
    </row>
    <row r="40" spans="1:4">
      <c r="A40" s="4">
        <v>45536</v>
      </c>
      <c r="B40">
        <v>8.5218483412322257E-2</v>
      </c>
      <c r="C40">
        <v>1.0008521848341232</v>
      </c>
      <c r="D40">
        <f t="shared" si="0"/>
        <v>1.272968452043421</v>
      </c>
    </row>
    <row r="41" spans="1:4">
      <c r="A41" s="4">
        <v>45566</v>
      </c>
      <c r="B41">
        <v>0.11362464454976301</v>
      </c>
      <c r="C41">
        <v>1.0011362464454976</v>
      </c>
      <c r="D41">
        <f t="shared" si="0"/>
        <v>1.2744148579222858</v>
      </c>
    </row>
    <row r="42" spans="1:4">
      <c r="A42" s="4">
        <v>45597</v>
      </c>
      <c r="B42">
        <v>0.64748625592417042</v>
      </c>
      <c r="C42">
        <v>1.0064748625592417</v>
      </c>
      <c r="D42">
        <f t="shared" si="0"/>
        <v>1.2826665189707882</v>
      </c>
    </row>
    <row r="43" spans="1:4">
      <c r="A43" s="4">
        <v>45627</v>
      </c>
      <c r="B43">
        <v>1.3363014218009477</v>
      </c>
      <c r="C43">
        <v>1.0133630142180095</v>
      </c>
      <c r="D43">
        <f t="shared" si="0"/>
        <v>1.2998068099007596</v>
      </c>
    </row>
    <row r="44" spans="1:4">
      <c r="A44" s="4">
        <v>45658</v>
      </c>
      <c r="B44">
        <v>0.57860473933649281</v>
      </c>
      <c r="C44">
        <v>1.0057860473933649</v>
      </c>
      <c r="D44">
        <f t="shared" si="0"/>
        <v>1.3073275537050637</v>
      </c>
    </row>
    <row r="45" spans="1:4">
      <c r="A45" s="4">
        <v>45689</v>
      </c>
      <c r="B45">
        <v>0.45461800947867292</v>
      </c>
      <c r="C45">
        <v>1.0045461800947868</v>
      </c>
      <c r="D45">
        <f t="shared" si="0"/>
        <v>1.3132709002070839</v>
      </c>
    </row>
    <row r="46" spans="1:4">
      <c r="A46" s="4">
        <v>45717</v>
      </c>
      <c r="B46">
        <v>0.68881516587677716</v>
      </c>
      <c r="C46">
        <v>1.0068881516587678</v>
      </c>
      <c r="D46">
        <f t="shared" si="0"/>
        <v>1.3223169093367568</v>
      </c>
    </row>
    <row r="47" spans="1:4">
      <c r="A47" s="4">
        <v>45748</v>
      </c>
      <c r="B47">
        <v>0.77147298578199042</v>
      </c>
      <c r="C47">
        <v>1.00771472985782</v>
      </c>
      <c r="D47">
        <f t="shared" si="0"/>
        <v>1.3325182270787173</v>
      </c>
    </row>
    <row r="48" spans="1:4">
      <c r="A48" s="4">
        <v>45778</v>
      </c>
      <c r="B48">
        <v>0.35818388625592412</v>
      </c>
      <c r="C48">
        <v>1.0035818388625593</v>
      </c>
      <c r="D48">
        <f t="shared" si="0"/>
        <v>1.3372910926495363</v>
      </c>
    </row>
    <row r="49" spans="1:4">
      <c r="A49" s="4">
        <v>45809</v>
      </c>
      <c r="B49">
        <v>0.33063127962085304</v>
      </c>
      <c r="C49">
        <v>1.0033063127962085</v>
      </c>
      <c r="D49">
        <f t="shared" si="0"/>
        <v>1.3417125953014191</v>
      </c>
    </row>
    <row r="50" spans="1:4">
      <c r="A50" s="4">
        <v>45839</v>
      </c>
      <c r="B50">
        <v>0.30307867298578195</v>
      </c>
      <c r="C50">
        <v>1.0030307867298578</v>
      </c>
      <c r="D50">
        <f t="shared" si="0"/>
        <v>1.3457790400305416</v>
      </c>
    </row>
    <row r="51" spans="1:4">
      <c r="A51" s="4">
        <v>45870</v>
      </c>
      <c r="B51">
        <v>0.15153933649289097</v>
      </c>
      <c r="C51">
        <v>1.001515393364929</v>
      </c>
      <c r="D51">
        <f t="shared" si="0"/>
        <v>1.3478184246584644</v>
      </c>
    </row>
    <row r="52" spans="1:4">
      <c r="A52" s="4">
        <v>45901</v>
      </c>
      <c r="B52">
        <v>8.2657819905213259E-2</v>
      </c>
      <c r="C52">
        <v>1.0008265781990522</v>
      </c>
      <c r="D52">
        <f t="shared" si="0"/>
        <v>1.3489325019845679</v>
      </c>
    </row>
    <row r="53" spans="1:4">
      <c r="A53" s="4">
        <v>45931</v>
      </c>
      <c r="B53">
        <v>0.11021042654028435</v>
      </c>
      <c r="C53">
        <v>1.0011021042654029</v>
      </c>
      <c r="D53">
        <f t="shared" si="0"/>
        <v>1.3504191662487457</v>
      </c>
    </row>
    <row r="54" spans="1:4">
      <c r="A54" s="4">
        <v>45962</v>
      </c>
      <c r="B54">
        <v>0.64681800947867285</v>
      </c>
      <c r="C54">
        <v>1.0064681800947868</v>
      </c>
      <c r="D54">
        <f t="shared" si="0"/>
        <v>1.3591539206194945</v>
      </c>
    </row>
    <row r="55" spans="1:4">
      <c r="A55" s="4">
        <v>45992</v>
      </c>
      <c r="B55">
        <v>1.3349222748815164</v>
      </c>
      <c r="C55">
        <v>1.0133492227488152</v>
      </c>
      <c r="D55">
        <f t="shared" si="0"/>
        <v>1.3772975690557696</v>
      </c>
    </row>
    <row r="56" spans="1:4">
      <c r="A56" s="4">
        <v>46023</v>
      </c>
      <c r="B56">
        <v>0.5780075829383885</v>
      </c>
      <c r="C56">
        <v>1.0057800758293838</v>
      </c>
      <c r="D56">
        <f t="shared" si="0"/>
        <v>1.3852584534445378</v>
      </c>
    </row>
    <row r="57" spans="1:4">
      <c r="A57" s="4">
        <v>46054</v>
      </c>
      <c r="B57">
        <v>0.45414881516587668</v>
      </c>
      <c r="C57">
        <v>1.0045414881516588</v>
      </c>
      <c r="D57">
        <f t="shared" si="0"/>
        <v>1.3915495882978413</v>
      </c>
    </row>
    <row r="58" spans="1:4">
      <c r="A58" s="4">
        <v>46082</v>
      </c>
      <c r="B58">
        <v>0.68810426540284353</v>
      </c>
      <c r="C58">
        <v>1.0068810426540284</v>
      </c>
      <c r="D58">
        <f t="shared" si="0"/>
        <v>1.4011249003701145</v>
      </c>
    </row>
    <row r="59" spans="1:4">
      <c r="A59" s="4">
        <v>46113</v>
      </c>
      <c r="B59">
        <v>0.77067677725118466</v>
      </c>
      <c r="C59">
        <v>1.0077067677725118</v>
      </c>
      <c r="D59">
        <f t="shared" si="0"/>
        <v>1.4119230445975506</v>
      </c>
    </row>
    <row r="60" spans="1:4">
      <c r="A60" s="4">
        <v>46143</v>
      </c>
      <c r="B60">
        <v>0.3578142180094786</v>
      </c>
      <c r="C60">
        <v>1.0035781421800949</v>
      </c>
      <c r="D60">
        <f t="shared" si="0"/>
        <v>1.416975105998473</v>
      </c>
    </row>
    <row r="61" spans="1:4">
      <c r="A61" s="4">
        <v>46174</v>
      </c>
      <c r="B61">
        <v>0.33029004739336487</v>
      </c>
      <c r="C61">
        <v>1.0033029004739336</v>
      </c>
      <c r="D61">
        <f t="shared" si="0"/>
        <v>1.4216552337476274</v>
      </c>
    </row>
    <row r="62" spans="1:4">
      <c r="A62" s="4">
        <v>46204</v>
      </c>
      <c r="B62">
        <v>0.30276587677725114</v>
      </c>
      <c r="C62">
        <v>1.0030276587677724</v>
      </c>
      <c r="D62">
        <f t="shared" si="0"/>
        <v>1.4259595206808329</v>
      </c>
    </row>
    <row r="63" spans="1:4">
      <c r="A63" s="4">
        <v>46235</v>
      </c>
      <c r="B63">
        <v>0.15138293838862557</v>
      </c>
      <c r="C63">
        <v>1.0015138293838863</v>
      </c>
      <c r="D63">
        <f t="shared" si="0"/>
        <v>1.4281181801034719</v>
      </c>
    </row>
    <row r="64" spans="1:4">
      <c r="A64" s="4">
        <v>46266</v>
      </c>
      <c r="B64">
        <v>8.2572511848341218E-2</v>
      </c>
      <c r="C64">
        <v>1.0008257251184833</v>
      </c>
      <c r="D64">
        <f t="shared" si="0"/>
        <v>1.429297413156946</v>
      </c>
    </row>
    <row r="65" spans="1:4">
      <c r="A65" s="4">
        <v>46296</v>
      </c>
      <c r="B65">
        <v>0.11009668246445496</v>
      </c>
      <c r="C65">
        <v>1.0011009668246444</v>
      </c>
      <c r="D65">
        <f t="shared" si="0"/>
        <v>1.4308710221913818</v>
      </c>
    </row>
    <row r="66" spans="1:4">
      <c r="A66" s="4">
        <v>46327</v>
      </c>
      <c r="B66">
        <v>0.65048222748815143</v>
      </c>
      <c r="C66">
        <v>1.0065048222748816</v>
      </c>
      <c r="D66">
        <f t="shared" si="0"/>
        <v>1.4401785838890149</v>
      </c>
    </row>
    <row r="67" spans="1:4">
      <c r="A67" s="4">
        <v>46357</v>
      </c>
      <c r="B67">
        <v>1.3424845971563977</v>
      </c>
      <c r="C67">
        <v>1.013424845971564</v>
      </c>
      <c r="D67">
        <f t="shared" si="0"/>
        <v>1.4595127595492701</v>
      </c>
    </row>
    <row r="68" spans="1:4">
      <c r="A68" s="4">
        <v>46388</v>
      </c>
      <c r="B68">
        <v>0.5812819905213269</v>
      </c>
      <c r="C68">
        <v>1.0058128199052132</v>
      </c>
      <c r="D68">
        <f t="shared" ref="D68:D131" si="1">C68*D67</f>
        <v>1.4679966443698906</v>
      </c>
    </row>
    <row r="69" spans="1:4">
      <c r="A69" s="4">
        <v>46419</v>
      </c>
      <c r="B69">
        <v>0.45672156398104258</v>
      </c>
      <c r="C69">
        <v>1.0045672156398104</v>
      </c>
      <c r="D69">
        <f t="shared" si="1"/>
        <v>1.474701301603246</v>
      </c>
    </row>
    <row r="70" spans="1:4">
      <c r="A70" s="4">
        <v>46447</v>
      </c>
      <c r="B70">
        <v>0.69200236966824635</v>
      </c>
      <c r="C70">
        <v>1.0069200236966824</v>
      </c>
      <c r="D70">
        <f t="shared" si="1"/>
        <v>1.4849062695558688</v>
      </c>
    </row>
    <row r="71" spans="1:4">
      <c r="A71" s="4">
        <v>46478</v>
      </c>
      <c r="B71">
        <v>0.77504265402843586</v>
      </c>
      <c r="C71">
        <v>1.0077504265402843</v>
      </c>
      <c r="D71">
        <f t="shared" si="1"/>
        <v>1.4964149265172693</v>
      </c>
    </row>
    <row r="72" spans="1:4">
      <c r="A72" s="4">
        <v>46508</v>
      </c>
      <c r="B72">
        <v>0.35984123222748809</v>
      </c>
      <c r="C72">
        <v>1.003598412322275</v>
      </c>
      <c r="D72">
        <f t="shared" si="1"/>
        <v>1.5017996444280852</v>
      </c>
    </row>
    <row r="73" spans="1:4">
      <c r="A73" s="4">
        <v>46539</v>
      </c>
      <c r="B73">
        <v>0.3321611374407582</v>
      </c>
      <c r="C73">
        <v>1.0033216113744077</v>
      </c>
      <c r="D73">
        <f t="shared" si="1"/>
        <v>1.5067880392090989</v>
      </c>
    </row>
    <row r="74" spans="1:4">
      <c r="A74" s="4">
        <v>46569</v>
      </c>
      <c r="B74">
        <v>0.30448104265402837</v>
      </c>
      <c r="C74">
        <v>1.0030448104265404</v>
      </c>
      <c r="D74">
        <f t="shared" si="1"/>
        <v>1.511375923141469</v>
      </c>
    </row>
    <row r="75" spans="1:4">
      <c r="A75" s="4">
        <v>46600</v>
      </c>
      <c r="B75">
        <v>0.15224052132701418</v>
      </c>
      <c r="C75">
        <v>1.0015224052132701</v>
      </c>
      <c r="D75">
        <f t="shared" si="1"/>
        <v>1.5136768497260704</v>
      </c>
    </row>
    <row r="76" spans="1:4">
      <c r="A76" s="4">
        <v>46631</v>
      </c>
      <c r="B76">
        <v>8.3040284360189551E-2</v>
      </c>
      <c r="C76">
        <v>1.0008304028436019</v>
      </c>
      <c r="D76">
        <f t="shared" si="1"/>
        <v>1.5149338112863773</v>
      </c>
    </row>
    <row r="77" spans="1:4">
      <c r="A77" s="4">
        <v>46661</v>
      </c>
      <c r="B77">
        <v>0.11072037914691941</v>
      </c>
      <c r="C77">
        <v>1.0011072037914692</v>
      </c>
      <c r="D77">
        <f t="shared" si="1"/>
        <v>1.5166111517460585</v>
      </c>
    </row>
    <row r="78" spans="1:4">
      <c r="A78" s="4">
        <v>46692</v>
      </c>
      <c r="B78">
        <v>0.65446943127962065</v>
      </c>
      <c r="C78">
        <v>1.0065446943127963</v>
      </c>
      <c r="D78">
        <f t="shared" si="1"/>
        <v>1.5265369081256144</v>
      </c>
    </row>
    <row r="79" spans="1:4">
      <c r="A79" s="4">
        <v>46722</v>
      </c>
      <c r="B79">
        <v>1.3507135071090044</v>
      </c>
      <c r="C79">
        <v>1.01350713507109</v>
      </c>
      <c r="D79">
        <f t="shared" si="1"/>
        <v>1.5471560483346711</v>
      </c>
    </row>
    <row r="80" spans="1:4">
      <c r="A80" s="4">
        <v>46753</v>
      </c>
      <c r="B80">
        <v>0.58484502369668234</v>
      </c>
      <c r="C80">
        <v>1.0058484502369669</v>
      </c>
      <c r="D80">
        <f t="shared" si="1"/>
        <v>1.5562045134921787</v>
      </c>
    </row>
    <row r="81" spans="1:4">
      <c r="A81" s="4">
        <v>46784</v>
      </c>
      <c r="B81">
        <v>0.45952109004739328</v>
      </c>
      <c r="C81">
        <v>1.0045952109004739</v>
      </c>
      <c r="D81">
        <f t="shared" si="1"/>
        <v>1.5633556014359447</v>
      </c>
    </row>
    <row r="82" spans="1:4">
      <c r="A82" s="4">
        <v>46813</v>
      </c>
      <c r="B82">
        <v>0.69624407582938375</v>
      </c>
      <c r="C82">
        <v>1.0069624407582938</v>
      </c>
      <c r="D82">
        <f t="shared" si="1"/>
        <v>1.5742403721950891</v>
      </c>
    </row>
    <row r="83" spans="1:4">
      <c r="A83" s="4">
        <v>46844</v>
      </c>
      <c r="B83">
        <v>0.77979336492890983</v>
      </c>
      <c r="C83">
        <v>1.007797933649289</v>
      </c>
      <c r="D83">
        <f t="shared" si="1"/>
        <v>1.5865161941654984</v>
      </c>
    </row>
    <row r="84" spans="1:4">
      <c r="A84" s="4">
        <v>46874</v>
      </c>
      <c r="B84">
        <v>0.36204691943127953</v>
      </c>
      <c r="C84">
        <v>1.0036204691943127</v>
      </c>
      <c r="D84">
        <f t="shared" si="1"/>
        <v>1.5922601271727528</v>
      </c>
    </row>
    <row r="85" spans="1:4">
      <c r="A85" s="4">
        <v>46905</v>
      </c>
      <c r="B85">
        <v>0.33419715639810421</v>
      </c>
      <c r="C85">
        <v>1.0033419715639811</v>
      </c>
      <c r="D85">
        <f t="shared" si="1"/>
        <v>1.597581415240225</v>
      </c>
    </row>
    <row r="86" spans="1:4">
      <c r="A86" s="4">
        <v>46935</v>
      </c>
      <c r="B86">
        <v>0.30634739336492883</v>
      </c>
      <c r="C86">
        <v>1.0030634739336493</v>
      </c>
      <c r="D86">
        <f t="shared" si="1"/>
        <v>1.602475564262696</v>
      </c>
    </row>
    <row r="87" spans="1:4">
      <c r="A87" s="4">
        <v>46966</v>
      </c>
      <c r="B87">
        <v>0.15317369668246442</v>
      </c>
      <c r="C87">
        <v>1.0015317369668246</v>
      </c>
      <c r="D87">
        <f t="shared" si="1"/>
        <v>1.6049301353229104</v>
      </c>
    </row>
    <row r="88" spans="1:4">
      <c r="A88" s="4">
        <v>46997</v>
      </c>
      <c r="B88">
        <v>8.3549289099526053E-2</v>
      </c>
      <c r="C88">
        <v>1.0008354928909953</v>
      </c>
      <c r="D88">
        <f t="shared" si="1"/>
        <v>1.6062710430415168</v>
      </c>
    </row>
    <row r="89" spans="1:4">
      <c r="A89" s="4">
        <v>47027</v>
      </c>
      <c r="B89">
        <v>0.1113990521327014</v>
      </c>
      <c r="C89">
        <v>1.0011139905213271</v>
      </c>
      <c r="D89">
        <f t="shared" si="1"/>
        <v>1.6080604137581473</v>
      </c>
    </row>
    <row r="90" spans="1:4">
      <c r="A90" s="4">
        <v>47058</v>
      </c>
      <c r="B90">
        <v>0.65791090047393341</v>
      </c>
      <c r="C90">
        <v>1.0065791090047393</v>
      </c>
      <c r="D90">
        <f t="shared" si="1"/>
        <v>1.6186400185064684</v>
      </c>
    </row>
    <row r="91" spans="1:4">
      <c r="A91" s="4">
        <v>47088</v>
      </c>
      <c r="B91">
        <v>1.3578161137440754</v>
      </c>
      <c r="C91">
        <v>1.0135781611374408</v>
      </c>
      <c r="D91">
        <f t="shared" si="1"/>
        <v>1.6406181735012595</v>
      </c>
    </row>
    <row r="92" spans="1:4">
      <c r="A92" s="4">
        <v>47119</v>
      </c>
      <c r="B92">
        <v>0.5879203791469193</v>
      </c>
      <c r="C92">
        <v>1.0058792037914692</v>
      </c>
      <c r="D92">
        <f t="shared" si="1"/>
        <v>1.6502637020872615</v>
      </c>
    </row>
    <row r="93" spans="1:4">
      <c r="A93" s="4">
        <v>47150</v>
      </c>
      <c r="B93">
        <v>0.46193744075829374</v>
      </c>
      <c r="C93">
        <v>1.0046193744075829</v>
      </c>
      <c r="D93">
        <f t="shared" si="1"/>
        <v>1.6578868879984463</v>
      </c>
    </row>
    <row r="94" spans="1:4">
      <c r="A94" s="4">
        <v>47178</v>
      </c>
      <c r="B94">
        <v>0.6999052132701421</v>
      </c>
      <c r="C94">
        <v>1.0069990521327015</v>
      </c>
      <c r="D94">
        <f t="shared" si="1"/>
        <v>1.6694905247576697</v>
      </c>
    </row>
    <row r="95" spans="1:4">
      <c r="A95" s="4">
        <v>47209</v>
      </c>
      <c r="B95">
        <v>0.78389383886255903</v>
      </c>
      <c r="C95">
        <v>1.0078389383886255</v>
      </c>
      <c r="D95">
        <f t="shared" si="1"/>
        <v>1.6825775581216391</v>
      </c>
    </row>
    <row r="96" spans="1:4">
      <c r="A96" s="4">
        <v>47239</v>
      </c>
      <c r="B96">
        <v>0.36395071090047387</v>
      </c>
      <c r="C96">
        <v>1.0036395071090047</v>
      </c>
      <c r="D96">
        <f t="shared" si="1"/>
        <v>1.6887013111058746</v>
      </c>
    </row>
    <row r="97" spans="1:4">
      <c r="A97" s="4">
        <v>47270</v>
      </c>
      <c r="B97">
        <v>0.33595450236966817</v>
      </c>
      <c r="C97">
        <v>1.0033595450236967</v>
      </c>
      <c r="D97">
        <f t="shared" si="1"/>
        <v>1.6943745791921105</v>
      </c>
    </row>
    <row r="98" spans="1:4">
      <c r="A98" s="4">
        <v>47300</v>
      </c>
      <c r="B98">
        <v>0.30795829383886247</v>
      </c>
      <c r="C98">
        <v>1.0030795829383887</v>
      </c>
      <c r="D98">
        <f t="shared" si="1"/>
        <v>1.6995925462374302</v>
      </c>
    </row>
    <row r="99" spans="1:4">
      <c r="A99" s="4">
        <v>47331</v>
      </c>
      <c r="B99">
        <v>0.15397914691943124</v>
      </c>
      <c r="C99">
        <v>1.0015397914691944</v>
      </c>
      <c r="D99">
        <f t="shared" si="1"/>
        <v>1.7022095643412329</v>
      </c>
    </row>
    <row r="100" spans="1:4">
      <c r="A100" s="4">
        <v>47362</v>
      </c>
      <c r="B100">
        <v>8.3988625592417043E-2</v>
      </c>
      <c r="C100">
        <v>1.0008398862559242</v>
      </c>
      <c r="D100">
        <f t="shared" si="1"/>
        <v>1.7036392267590259</v>
      </c>
    </row>
    <row r="101" spans="1:4">
      <c r="A101" s="4">
        <v>47392</v>
      </c>
      <c r="B101">
        <v>0.11198483412322273</v>
      </c>
      <c r="C101">
        <v>1.0011198483412322</v>
      </c>
      <c r="D101">
        <f t="shared" si="1"/>
        <v>1.7055470443211702</v>
      </c>
    </row>
    <row r="102" spans="1:4">
      <c r="A102" s="4">
        <v>47423</v>
      </c>
      <c r="B102">
        <v>0.66068412322274861</v>
      </c>
      <c r="C102">
        <v>1.0066068412322275</v>
      </c>
      <c r="D102">
        <f t="shared" si="1"/>
        <v>1.716815322857095</v>
      </c>
    </row>
    <row r="103" spans="1:4">
      <c r="A103" s="4">
        <v>47453</v>
      </c>
      <c r="B103">
        <v>1.3635395734597153</v>
      </c>
      <c r="C103">
        <v>1.0136353957345972</v>
      </c>
      <c r="D103">
        <f t="shared" si="1"/>
        <v>1.7402247791874716</v>
      </c>
    </row>
    <row r="104" spans="1:4">
      <c r="A104" s="4">
        <v>47484</v>
      </c>
      <c r="B104">
        <v>0.59039857819905206</v>
      </c>
      <c r="C104">
        <v>1.0059039857819905</v>
      </c>
      <c r="D104">
        <f t="shared" si="1"/>
        <v>1.750499041541262</v>
      </c>
    </row>
    <row r="105" spans="1:4">
      <c r="A105" s="4">
        <v>47515</v>
      </c>
      <c r="B105">
        <v>0.46388459715639807</v>
      </c>
      <c r="C105">
        <v>1.0046388459715641</v>
      </c>
      <c r="D105">
        <f t="shared" si="1"/>
        <v>1.7586193369683425</v>
      </c>
    </row>
    <row r="106" spans="1:4">
      <c r="A106" s="4">
        <v>47543</v>
      </c>
      <c r="B106">
        <v>0.70285545023696683</v>
      </c>
      <c r="C106">
        <v>1.0070285545023696</v>
      </c>
      <c r="D106">
        <f t="shared" si="1"/>
        <v>1.7709798888271455</v>
      </c>
    </row>
    <row r="107" spans="1:4">
      <c r="A107" s="4">
        <v>47574</v>
      </c>
      <c r="B107">
        <v>0.78719810426540271</v>
      </c>
      <c r="C107">
        <v>1.007871981042654</v>
      </c>
      <c r="D107">
        <f t="shared" si="1"/>
        <v>1.7849210089389143</v>
      </c>
    </row>
    <row r="108" spans="1:4">
      <c r="A108" s="4">
        <v>47604</v>
      </c>
      <c r="B108">
        <v>0.36548483412322269</v>
      </c>
      <c r="C108">
        <v>1.0036548483412322</v>
      </c>
      <c r="D108">
        <f t="shared" si="1"/>
        <v>1.7914446245276652</v>
      </c>
    </row>
    <row r="109" spans="1:4">
      <c r="A109" s="4">
        <v>47635</v>
      </c>
      <c r="B109">
        <v>0.33737061611374403</v>
      </c>
      <c r="C109">
        <v>1.0033737061611374</v>
      </c>
      <c r="D109">
        <f t="shared" si="1"/>
        <v>1.7974884322947706</v>
      </c>
    </row>
    <row r="110" spans="1:4">
      <c r="A110" s="4">
        <v>47665</v>
      </c>
      <c r="B110">
        <v>0.30925639810426536</v>
      </c>
      <c r="C110">
        <v>1.0030925639810426</v>
      </c>
      <c r="D110">
        <f t="shared" si="1"/>
        <v>1.8030472802768263</v>
      </c>
    </row>
    <row r="111" spans="1:4">
      <c r="A111" s="4">
        <v>47696</v>
      </c>
      <c r="B111">
        <v>0.15462819905213268</v>
      </c>
      <c r="C111">
        <v>1.0015462819905214</v>
      </c>
      <c r="D111">
        <f t="shared" si="1"/>
        <v>1.805835299814377</v>
      </c>
    </row>
    <row r="112" spans="1:4">
      <c r="A112" s="4">
        <v>47727</v>
      </c>
      <c r="B112">
        <v>8.4342654028436007E-2</v>
      </c>
      <c r="C112">
        <v>1.0008434265402844</v>
      </c>
      <c r="D112">
        <f t="shared" si="1"/>
        <v>1.8073583892336227</v>
      </c>
    </row>
    <row r="113" spans="1:4">
      <c r="A113" s="4">
        <v>47757</v>
      </c>
      <c r="B113">
        <v>0.11245687203791468</v>
      </c>
      <c r="C113">
        <v>1.0011245687203791</v>
      </c>
      <c r="D113">
        <f t="shared" si="1"/>
        <v>1.8093908879446696</v>
      </c>
    </row>
    <row r="114" spans="1:4">
      <c r="A114" s="4">
        <v>47788</v>
      </c>
      <c r="B114">
        <v>0.66295616113744049</v>
      </c>
      <c r="C114">
        <v>1.0066295616113745</v>
      </c>
      <c r="D114">
        <f t="shared" si="1"/>
        <v>1.8213863563153585</v>
      </c>
    </row>
    <row r="115" spans="1:4">
      <c r="A115" s="4">
        <v>47818</v>
      </c>
      <c r="B115">
        <v>1.3682286729857818</v>
      </c>
      <c r="C115">
        <v>1.0136822867298578</v>
      </c>
      <c r="D115">
        <f t="shared" si="1"/>
        <v>1.8463070866883162</v>
      </c>
    </row>
    <row r="116" spans="1:4">
      <c r="A116" s="4">
        <v>47849</v>
      </c>
      <c r="B116">
        <v>0.59242890995260655</v>
      </c>
      <c r="C116">
        <v>1.0059242890995261</v>
      </c>
      <c r="D116">
        <f t="shared" si="1"/>
        <v>1.8572451436363617</v>
      </c>
    </row>
    <row r="117" spans="1:4">
      <c r="A117" s="4">
        <v>47880</v>
      </c>
      <c r="B117">
        <v>0.46547985781990514</v>
      </c>
      <c r="C117">
        <v>1.0046547985781991</v>
      </c>
      <c r="D117">
        <f t="shared" si="1"/>
        <v>1.8658902456903275</v>
      </c>
    </row>
    <row r="118" spans="1:4">
      <c r="A118" s="4">
        <v>47908</v>
      </c>
      <c r="B118">
        <v>0.70527251184834117</v>
      </c>
      <c r="C118">
        <v>1.0070527251184833</v>
      </c>
      <c r="D118">
        <f t="shared" si="1"/>
        <v>1.8790498566944407</v>
      </c>
    </row>
    <row r="119" spans="1:4">
      <c r="A119" s="4">
        <v>47939</v>
      </c>
      <c r="B119">
        <v>0.78990521327014207</v>
      </c>
      <c r="C119">
        <v>1.0078990521327014</v>
      </c>
      <c r="D119">
        <f t="shared" si="1"/>
        <v>1.8938925694724151</v>
      </c>
    </row>
    <row r="120" spans="1:4">
      <c r="A120" s="4">
        <v>47969</v>
      </c>
      <c r="B120">
        <v>0.36674170616113738</v>
      </c>
      <c r="C120">
        <f>1+B120/100</f>
        <v>1.0036674170616113</v>
      </c>
      <c r="D120">
        <f t="shared" si="1"/>
        <v>1.9008382633945573</v>
      </c>
    </row>
    <row r="121" spans="1:4">
      <c r="A121" s="4">
        <v>48000</v>
      </c>
      <c r="B121">
        <v>0.33853080568720373</v>
      </c>
      <c r="C121">
        <f t="shared" ref="C121:C163" si="2">1+B121/100</f>
        <v>1.003385308056872</v>
      </c>
      <c r="D121">
        <f t="shared" si="1"/>
        <v>1.9072731864824375</v>
      </c>
    </row>
    <row r="122" spans="1:4">
      <c r="A122" s="4">
        <v>48030</v>
      </c>
      <c r="B122">
        <v>0.31031990521327008</v>
      </c>
      <c r="C122">
        <f t="shared" si="2"/>
        <v>1.0031031990521326</v>
      </c>
      <c r="D122">
        <f t="shared" si="1"/>
        <v>1.9131918348268877</v>
      </c>
    </row>
    <row r="123" spans="1:4">
      <c r="A123" s="4">
        <v>48061</v>
      </c>
      <c r="B123">
        <v>0.15515995260663504</v>
      </c>
      <c r="C123">
        <f t="shared" si="2"/>
        <v>1.0015515995260664</v>
      </c>
      <c r="D123">
        <f t="shared" si="1"/>
        <v>1.9161603423710794</v>
      </c>
    </row>
    <row r="124" spans="1:4">
      <c r="A124" s="4">
        <v>48092</v>
      </c>
      <c r="B124">
        <v>8.4632701421800932E-2</v>
      </c>
      <c r="C124">
        <f t="shared" si="2"/>
        <v>1.0008463270142181</v>
      </c>
      <c r="D124">
        <f t="shared" si="1"/>
        <v>1.9177820406324013</v>
      </c>
    </row>
    <row r="125" spans="1:4">
      <c r="A125" s="4">
        <v>48122</v>
      </c>
      <c r="B125">
        <v>0.11315639810426539</v>
      </c>
      <c r="C125">
        <f t="shared" si="2"/>
        <v>1.0011315639810427</v>
      </c>
      <c r="D125">
        <f t="shared" si="1"/>
        <v>1.9199521337130716</v>
      </c>
    </row>
    <row r="126" spans="1:4">
      <c r="A126" s="4">
        <v>48153</v>
      </c>
      <c r="B126">
        <v>0.66479383886255905</v>
      </c>
      <c r="C126">
        <f t="shared" si="2"/>
        <v>1.0066479383886255</v>
      </c>
      <c r="D126">
        <f t="shared" si="1"/>
        <v>1.9327158572071061</v>
      </c>
    </row>
    <row r="127" spans="1:4">
      <c r="A127" s="4">
        <v>48183</v>
      </c>
      <c r="B127">
        <v>1.3720213270142179</v>
      </c>
      <c r="C127">
        <f t="shared" si="2"/>
        <v>1.0137202132701422</v>
      </c>
      <c r="D127">
        <f t="shared" si="1"/>
        <v>1.9592331309585733</v>
      </c>
    </row>
    <row r="128" spans="1:4">
      <c r="A128" s="4">
        <v>48214</v>
      </c>
      <c r="B128">
        <v>0.59407109004739334</v>
      </c>
      <c r="C128">
        <f t="shared" si="2"/>
        <v>1.0059407109004739</v>
      </c>
      <c r="D128">
        <f t="shared" si="1"/>
        <v>1.9708723685762284</v>
      </c>
    </row>
    <row r="129" spans="1:4">
      <c r="A129" s="4">
        <v>48245</v>
      </c>
      <c r="B129">
        <v>0.46677014218009472</v>
      </c>
      <c r="C129">
        <f t="shared" si="2"/>
        <v>1.0046677014218008</v>
      </c>
      <c r="D129">
        <f t="shared" si="1"/>
        <v>1.9800718123332197</v>
      </c>
    </row>
    <row r="130" spans="1:4">
      <c r="A130" s="4">
        <v>48274</v>
      </c>
      <c r="B130">
        <v>0.7072274881516587</v>
      </c>
      <c r="C130">
        <f t="shared" si="2"/>
        <v>1.0070722748815166</v>
      </c>
      <c r="D130">
        <f t="shared" si="1"/>
        <v>1.994075424475183</v>
      </c>
    </row>
    <row r="131" spans="1:4">
      <c r="A131" s="4">
        <v>48305</v>
      </c>
      <c r="B131">
        <v>0.79209478672985778</v>
      </c>
      <c r="C131">
        <f t="shared" si="2"/>
        <v>1.0079209478672986</v>
      </c>
      <c r="D131">
        <f t="shared" si="1"/>
        <v>2.0098703919559124</v>
      </c>
    </row>
    <row r="132" spans="1:4">
      <c r="A132" s="4">
        <v>48335</v>
      </c>
      <c r="B132">
        <v>0.36775829383886255</v>
      </c>
      <c r="C132">
        <f t="shared" si="2"/>
        <v>1.0036775829383886</v>
      </c>
      <c r="D132">
        <f t="shared" ref="D132:D163" si="3">C132*D131</f>
        <v>2.0172618570177421</v>
      </c>
    </row>
    <row r="133" spans="1:4">
      <c r="A133" s="4">
        <v>48366</v>
      </c>
      <c r="B133">
        <v>0.33946919431279615</v>
      </c>
      <c r="C133">
        <f t="shared" si="2"/>
        <v>1.003394691943128</v>
      </c>
      <c r="D133">
        <f t="shared" si="3"/>
        <v>2.0241098395909396</v>
      </c>
    </row>
    <row r="134" spans="1:4">
      <c r="A134" s="4">
        <v>48396</v>
      </c>
      <c r="B134">
        <v>0.31118009478672981</v>
      </c>
      <c r="C134">
        <f t="shared" si="2"/>
        <v>1.0031118009478672</v>
      </c>
      <c r="D134">
        <f t="shared" si="3"/>
        <v>2.0304084665083661</v>
      </c>
    </row>
    <row r="135" spans="1:4">
      <c r="A135" s="4">
        <v>48427</v>
      </c>
      <c r="B135">
        <v>0.15559004739336491</v>
      </c>
      <c r="C135">
        <f t="shared" si="2"/>
        <v>1.0015559004739336</v>
      </c>
      <c r="D135">
        <f t="shared" si="3"/>
        <v>2.0335675800036852</v>
      </c>
    </row>
    <row r="136" spans="1:4">
      <c r="A136" s="4">
        <v>48458</v>
      </c>
      <c r="B136">
        <v>8.4867298578199038E-2</v>
      </c>
      <c r="C136">
        <f t="shared" si="2"/>
        <v>1.000848672985782</v>
      </c>
      <c r="D136">
        <f t="shared" si="3"/>
        <v>2.0352934138735965</v>
      </c>
    </row>
    <row r="137" spans="1:4">
      <c r="A137" s="4">
        <v>48488</v>
      </c>
      <c r="B137">
        <v>0.11341207582938387</v>
      </c>
      <c r="C137">
        <f t="shared" si="2"/>
        <v>1.0011341207582938</v>
      </c>
      <c r="D137">
        <f t="shared" si="3"/>
        <v>2.0376016823834893</v>
      </c>
    </row>
    <row r="138" spans="1:4">
      <c r="A138" s="4">
        <v>48519</v>
      </c>
      <c r="B138">
        <v>0.66629594549763016</v>
      </c>
      <c r="C138">
        <f t="shared" si="2"/>
        <v>1.0066629594549763</v>
      </c>
      <c r="D138">
        <f t="shared" si="3"/>
        <v>2.0511781397786018</v>
      </c>
    </row>
    <row r="139" spans="1:4">
      <c r="A139" s="4">
        <v>48549</v>
      </c>
      <c r="B139">
        <v>1.3751214194312793</v>
      </c>
      <c r="C139">
        <f t="shared" si="2"/>
        <v>1.0137512141943128</v>
      </c>
      <c r="D139">
        <f t="shared" si="3"/>
        <v>2.0793843297293892</v>
      </c>
    </row>
    <row r="140" spans="1:4">
      <c r="A140" s="4">
        <v>48580</v>
      </c>
      <c r="B140">
        <v>0.5954133981042653</v>
      </c>
      <c r="C140">
        <f t="shared" si="2"/>
        <v>1.0059541339810427</v>
      </c>
      <c r="D140">
        <f t="shared" si="3"/>
        <v>2.0917652626266787</v>
      </c>
    </row>
    <row r="141" spans="1:4">
      <c r="A141" s="4">
        <v>48611</v>
      </c>
      <c r="B141">
        <v>0.46782481279620847</v>
      </c>
      <c r="C141">
        <f t="shared" si="2"/>
        <v>1.0046782481279621</v>
      </c>
      <c r="D141">
        <f t="shared" si="3"/>
        <v>2.1015510595506983</v>
      </c>
    </row>
    <row r="142" spans="1:4">
      <c r="A142" s="4">
        <v>48639</v>
      </c>
      <c r="B142">
        <v>0.70882547393364925</v>
      </c>
      <c r="C142">
        <f t="shared" si="2"/>
        <v>1.0070882547393365</v>
      </c>
      <c r="D142">
        <f t="shared" si="3"/>
        <v>2.116447388808516</v>
      </c>
    </row>
    <row r="143" spans="1:4">
      <c r="A143" s="4">
        <v>48670</v>
      </c>
      <c r="B143">
        <v>0.79388453080568711</v>
      </c>
      <c r="C143">
        <f t="shared" si="2"/>
        <v>1.0079388453080569</v>
      </c>
      <c r="D143">
        <f t="shared" si="3"/>
        <v>2.1332495372309079</v>
      </c>
    </row>
    <row r="144" spans="1:4">
      <c r="A144" s="4">
        <v>48700</v>
      </c>
      <c r="B144">
        <v>0.36858924644549756</v>
      </c>
      <c r="C144">
        <f t="shared" si="2"/>
        <v>1.0036858924644549</v>
      </c>
      <c r="D144">
        <f t="shared" si="3"/>
        <v>2.1411124656249894</v>
      </c>
    </row>
    <row r="145" spans="1:4">
      <c r="A145" s="4">
        <v>48731</v>
      </c>
      <c r="B145">
        <v>0.34023622748815158</v>
      </c>
      <c r="C145">
        <f t="shared" si="2"/>
        <v>1.0034023622748816</v>
      </c>
      <c r="D145">
        <f t="shared" si="3"/>
        <v>2.1483973059043104</v>
      </c>
    </row>
    <row r="146" spans="1:4">
      <c r="A146" s="4">
        <v>48761</v>
      </c>
      <c r="B146">
        <v>0.31188320853080564</v>
      </c>
      <c r="C146">
        <f t="shared" si="2"/>
        <v>1.0031188320853082</v>
      </c>
      <c r="D146">
        <f t="shared" si="3"/>
        <v>2.1550977963539544</v>
      </c>
    </row>
    <row r="147" spans="1:4">
      <c r="A147" s="4">
        <v>48792</v>
      </c>
      <c r="B147">
        <v>0.15594160426540282</v>
      </c>
      <c r="C147">
        <f t="shared" si="2"/>
        <v>1.001559416042654</v>
      </c>
      <c r="D147">
        <f t="shared" si="3"/>
        <v>2.1584584904310771</v>
      </c>
    </row>
    <row r="148" spans="1:4">
      <c r="A148" s="4">
        <v>48823</v>
      </c>
      <c r="B148">
        <v>8.5059056872037894E-2</v>
      </c>
      <c r="C148">
        <f t="shared" si="2"/>
        <v>1.0008505905687204</v>
      </c>
      <c r="D148">
        <f t="shared" si="3"/>
        <v>2.1602944548660123</v>
      </c>
    </row>
    <row r="149" spans="1:4">
      <c r="A149" s="4">
        <v>48853</v>
      </c>
      <c r="B149">
        <v>0.11362790521327013</v>
      </c>
      <c r="C149">
        <f t="shared" si="2"/>
        <v>1.0011362790521328</v>
      </c>
      <c r="D149">
        <f t="shared" si="3"/>
        <v>2.1627491522015152</v>
      </c>
    </row>
    <row r="150" spans="1:4">
      <c r="A150" s="4">
        <v>48884</v>
      </c>
      <c r="B150">
        <v>0.66756394312796186</v>
      </c>
      <c r="C150">
        <f t="shared" si="2"/>
        <v>1.0066756394312797</v>
      </c>
      <c r="D150">
        <f t="shared" si="3"/>
        <v>2.1771868857219183</v>
      </c>
    </row>
    <row r="151" spans="1:4">
      <c r="A151" s="4">
        <v>48914</v>
      </c>
      <c r="B151">
        <v>1.3777383507109002</v>
      </c>
      <c r="C151">
        <f t="shared" si="2"/>
        <v>1.0137773835071091</v>
      </c>
      <c r="D151">
        <f t="shared" si="3"/>
        <v>2.2071828244131577</v>
      </c>
    </row>
    <row r="152" spans="1:4">
      <c r="A152" s="4">
        <v>48945</v>
      </c>
      <c r="B152">
        <v>0.59654650236966811</v>
      </c>
      <c r="C152">
        <f t="shared" si="2"/>
        <v>1.0059654650236967</v>
      </c>
      <c r="D152">
        <f t="shared" si="3"/>
        <v>2.2203496963530984</v>
      </c>
    </row>
    <row r="153" spans="1:4">
      <c r="A153" s="4">
        <v>48976</v>
      </c>
      <c r="B153">
        <v>0.46871510900473923</v>
      </c>
      <c r="C153">
        <f t="shared" si="2"/>
        <v>1.0046871510900475</v>
      </c>
      <c r="D153">
        <f t="shared" si="3"/>
        <v>2.2307568108526463</v>
      </c>
    </row>
    <row r="154" spans="1:4">
      <c r="A154" s="4">
        <v>49004</v>
      </c>
      <c r="B154">
        <v>0.71017440758293826</v>
      </c>
      <c r="C154">
        <f t="shared" si="2"/>
        <v>1.0071017440758294</v>
      </c>
      <c r="D154">
        <f t="shared" si="3"/>
        <v>2.2465990748187354</v>
      </c>
    </row>
    <row r="155" spans="1:4">
      <c r="A155" s="4">
        <v>49035</v>
      </c>
      <c r="B155">
        <v>0.79539533649289085</v>
      </c>
      <c r="C155">
        <f t="shared" si="2"/>
        <v>1.0079539533649289</v>
      </c>
      <c r="D155">
        <f t="shared" si="3"/>
        <v>2.2644684190895359</v>
      </c>
    </row>
    <row r="156" spans="1:4">
      <c r="A156" s="4">
        <v>49065</v>
      </c>
      <c r="B156">
        <v>0.36929069194312786</v>
      </c>
      <c r="C156">
        <f t="shared" si="2"/>
        <v>1.0036929069194314</v>
      </c>
      <c r="D156">
        <f t="shared" si="3"/>
        <v>2.2728308901832253</v>
      </c>
    </row>
    <row r="157" spans="1:4">
      <c r="A157" s="4">
        <v>49096</v>
      </c>
      <c r="B157">
        <v>0.34088371563981035</v>
      </c>
      <c r="C157">
        <f t="shared" si="2"/>
        <v>1.0034088371563981</v>
      </c>
      <c r="D157">
        <f t="shared" si="3"/>
        <v>2.2805786005718911</v>
      </c>
    </row>
    <row r="158" spans="1:4">
      <c r="A158" s="4">
        <v>49126</v>
      </c>
      <c r="B158">
        <v>0.31247673933649284</v>
      </c>
      <c r="C158">
        <f t="shared" si="2"/>
        <v>1.003124767393365</v>
      </c>
      <c r="D158">
        <f t="shared" si="3"/>
        <v>2.2877048782209641</v>
      </c>
    </row>
    <row r="159" spans="1:4">
      <c r="A159" s="4">
        <v>49157</v>
      </c>
      <c r="B159">
        <v>0.15623836966824642</v>
      </c>
      <c r="C159">
        <f t="shared" si="2"/>
        <v>1.0015623836966825</v>
      </c>
      <c r="D159">
        <f t="shared" si="3"/>
        <v>2.2912791510255177</v>
      </c>
    </row>
    <row r="160" spans="1:4">
      <c r="A160" s="4">
        <v>49188</v>
      </c>
      <c r="B160">
        <v>8.5220928909952587E-2</v>
      </c>
      <c r="C160">
        <f t="shared" si="2"/>
        <v>1.0008522092890995</v>
      </c>
      <c r="D160">
        <f t="shared" si="3"/>
        <v>2.2932318004019416</v>
      </c>
    </row>
    <row r="161" spans="1:4">
      <c r="A161" s="4">
        <v>49218</v>
      </c>
      <c r="B161">
        <v>0.11381074881516587</v>
      </c>
      <c r="C161">
        <f t="shared" si="2"/>
        <v>1.0011381074881516</v>
      </c>
      <c r="D161">
        <f t="shared" si="3"/>
        <v>2.2958417446860464</v>
      </c>
    </row>
    <row r="162" spans="1:4">
      <c r="A162" s="4">
        <v>49249</v>
      </c>
      <c r="B162">
        <v>0.66863814928909937</v>
      </c>
      <c r="C162">
        <f t="shared" si="2"/>
        <v>1.006686381492891</v>
      </c>
      <c r="D162">
        <f t="shared" si="3"/>
        <v>2.311192618438322</v>
      </c>
    </row>
    <row r="163" spans="1:4">
      <c r="A163" s="4">
        <v>49279</v>
      </c>
      <c r="B163">
        <v>1.3799553293838862</v>
      </c>
      <c r="C163">
        <f t="shared" si="2"/>
        <v>1.0137995532938389</v>
      </c>
      <c r="D163">
        <f t="shared" si="3"/>
        <v>2.3430860441487886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4F626-8ACF-4129-833D-BF3E72FC61FC}">
  <dimension ref="A1:D122"/>
  <sheetViews>
    <sheetView topLeftCell="A112" workbookViewId="0">
      <selection sqref="A1:D1"/>
    </sheetView>
  </sheetViews>
  <sheetFormatPr defaultRowHeight="15"/>
  <cols>
    <col min="1" max="1" width="11.140625" customWidth="1"/>
    <col min="2" max="2" width="10.140625" customWidth="1"/>
    <col min="4" max="4" width="13" customWidth="1"/>
  </cols>
  <sheetData>
    <row r="1" spans="1:4">
      <c r="A1" t="s">
        <v>21</v>
      </c>
      <c r="B1" t="s">
        <v>150</v>
      </c>
      <c r="C1" t="s">
        <v>22</v>
      </c>
      <c r="D1" t="s">
        <v>149</v>
      </c>
    </row>
    <row r="2" spans="1:4">
      <c r="A2" s="4">
        <v>44348</v>
      </c>
      <c r="B2">
        <v>0.53</v>
      </c>
      <c r="C2">
        <v>1.0053000000000001</v>
      </c>
      <c r="D2">
        <v>1.0053000000000001</v>
      </c>
    </row>
    <row r="3" spans="1:4">
      <c r="A3" s="4">
        <v>44378</v>
      </c>
      <c r="B3">
        <v>0.96</v>
      </c>
      <c r="C3">
        <v>1.0096000000000001</v>
      </c>
      <c r="D3">
        <f>C3*D2</f>
        <v>1.0149508800000002</v>
      </c>
    </row>
    <row r="4" spans="1:4">
      <c r="A4" s="4">
        <v>44409</v>
      </c>
      <c r="B4">
        <v>0.87</v>
      </c>
      <c r="C4">
        <v>1.0086999999999999</v>
      </c>
      <c r="D4">
        <f t="shared" ref="D4:D67" si="0">C4*D3</f>
        <v>1.0237809526560002</v>
      </c>
    </row>
    <row r="5" spans="1:4">
      <c r="A5" s="4">
        <v>44440</v>
      </c>
      <c r="B5">
        <v>1.1599999999999999</v>
      </c>
      <c r="C5">
        <v>1.0116000000000001</v>
      </c>
      <c r="D5">
        <f t="shared" si="0"/>
        <v>1.0356568117068099</v>
      </c>
    </row>
    <row r="6" spans="1:4">
      <c r="A6" s="4">
        <v>44470</v>
      </c>
      <c r="B6">
        <v>1.25</v>
      </c>
      <c r="C6">
        <v>1.0125</v>
      </c>
      <c r="D6">
        <f t="shared" si="0"/>
        <v>1.048602521853145</v>
      </c>
    </row>
    <row r="7" spans="1:4">
      <c r="A7" s="4">
        <v>44501</v>
      </c>
      <c r="B7">
        <v>0.95</v>
      </c>
      <c r="C7">
        <v>1.0095000000000001</v>
      </c>
      <c r="D7">
        <f t="shared" si="0"/>
        <v>1.0585642458107498</v>
      </c>
    </row>
    <row r="8" spans="1:4">
      <c r="A8" s="4">
        <v>44531</v>
      </c>
      <c r="B8">
        <v>0.73</v>
      </c>
      <c r="C8">
        <v>1.0073000000000001</v>
      </c>
      <c r="D8">
        <f t="shared" si="0"/>
        <v>1.0662917648051684</v>
      </c>
    </row>
    <row r="9" spans="1:4">
      <c r="A9" s="4">
        <v>44562</v>
      </c>
      <c r="B9">
        <v>0.54</v>
      </c>
      <c r="C9">
        <v>1.0054000000000001</v>
      </c>
      <c r="D9">
        <f t="shared" si="0"/>
        <v>1.0720497403351164</v>
      </c>
    </row>
    <row r="10" spans="1:4">
      <c r="A10" s="4">
        <v>44593</v>
      </c>
      <c r="B10">
        <v>1.01</v>
      </c>
      <c r="C10">
        <v>1.0101</v>
      </c>
      <c r="D10">
        <f t="shared" si="0"/>
        <v>1.082877442712501</v>
      </c>
    </row>
    <row r="11" spans="1:4">
      <c r="A11" s="4">
        <v>44621</v>
      </c>
      <c r="B11">
        <v>1.62</v>
      </c>
      <c r="C11">
        <v>1.0162</v>
      </c>
      <c r="D11">
        <f t="shared" si="0"/>
        <v>1.1004200572844436</v>
      </c>
    </row>
    <row r="12" spans="1:4">
      <c r="A12" s="4">
        <v>44652</v>
      </c>
      <c r="B12">
        <v>1.06</v>
      </c>
      <c r="C12">
        <v>1.0105999999999999</v>
      </c>
      <c r="D12">
        <f t="shared" si="0"/>
        <v>1.1120845098916585</v>
      </c>
    </row>
    <row r="13" spans="1:4">
      <c r="A13" s="4">
        <v>44682</v>
      </c>
      <c r="B13">
        <v>0.47</v>
      </c>
      <c r="C13">
        <v>1.0046999999999999</v>
      </c>
      <c r="D13">
        <f t="shared" si="0"/>
        <v>1.1173113070881493</v>
      </c>
    </row>
    <row r="14" spans="1:4">
      <c r="A14" s="4">
        <v>44713</v>
      </c>
      <c r="B14">
        <v>0.67</v>
      </c>
      <c r="C14">
        <v>1.0066999999999999</v>
      </c>
      <c r="D14">
        <f t="shared" si="0"/>
        <v>1.1247972928456398</v>
      </c>
    </row>
    <row r="15" spans="1:4">
      <c r="A15" s="4">
        <v>44743</v>
      </c>
      <c r="B15">
        <v>-0.68</v>
      </c>
      <c r="C15">
        <v>0.99319999999999997</v>
      </c>
      <c r="D15">
        <f t="shared" si="0"/>
        <v>1.1171486712542893</v>
      </c>
    </row>
    <row r="16" spans="1:4">
      <c r="A16" s="4">
        <v>44774</v>
      </c>
      <c r="B16">
        <v>-0.36</v>
      </c>
      <c r="C16">
        <v>0.99639999999999995</v>
      </c>
      <c r="D16">
        <f t="shared" si="0"/>
        <v>1.1131269360377738</v>
      </c>
    </row>
    <row r="17" spans="1:4">
      <c r="A17" s="4">
        <v>44805</v>
      </c>
      <c r="B17">
        <v>-0.28999999999999998</v>
      </c>
      <c r="C17">
        <v>0.99709999999999999</v>
      </c>
      <c r="D17">
        <f t="shared" si="0"/>
        <v>1.1098988679232642</v>
      </c>
    </row>
    <row r="18" spans="1:4">
      <c r="A18" s="4">
        <v>44835</v>
      </c>
      <c r="B18">
        <v>0.33</v>
      </c>
      <c r="C18">
        <v>1.0033000000000001</v>
      </c>
      <c r="D18">
        <f t="shared" si="0"/>
        <v>1.113561534187411</v>
      </c>
    </row>
    <row r="19" spans="1:4">
      <c r="A19" s="4">
        <v>44866</v>
      </c>
      <c r="B19">
        <v>0.94638500140897963</v>
      </c>
      <c r="C19">
        <v>1.0094638500140898</v>
      </c>
      <c r="D19">
        <f t="shared" si="0"/>
        <v>1.1241001135284203</v>
      </c>
    </row>
    <row r="20" spans="1:4">
      <c r="A20" s="4">
        <v>44896</v>
      </c>
      <c r="B20">
        <v>1.9531775560993834</v>
      </c>
      <c r="C20">
        <v>1.0195317755609938</v>
      </c>
      <c r="D20">
        <f t="shared" si="0"/>
        <v>1.1460557846539452</v>
      </c>
    </row>
    <row r="21" spans="1:4">
      <c r="A21" s="4">
        <v>44927</v>
      </c>
      <c r="B21">
        <v>0.84570574593993919</v>
      </c>
      <c r="C21">
        <v>1.0084570574593994</v>
      </c>
      <c r="D21">
        <f t="shared" si="0"/>
        <v>1.1557480442764407</v>
      </c>
    </row>
    <row r="22" spans="1:4">
      <c r="A22" s="4">
        <v>44958</v>
      </c>
      <c r="B22">
        <v>0.66448308609566664</v>
      </c>
      <c r="C22">
        <v>1.0066448308609566</v>
      </c>
      <c r="D22">
        <f t="shared" si="0"/>
        <v>1.163427794548539</v>
      </c>
    </row>
    <row r="23" spans="1:4">
      <c r="A23" s="4">
        <v>44986</v>
      </c>
      <c r="B23">
        <v>1.006792554690404</v>
      </c>
      <c r="C23">
        <v>1.0100679255469041</v>
      </c>
      <c r="D23">
        <f t="shared" si="0"/>
        <v>1.1751410989632525</v>
      </c>
    </row>
    <row r="24" spans="1:4">
      <c r="A24" s="4">
        <v>45017</v>
      </c>
      <c r="B24">
        <v>1.1276076612532524</v>
      </c>
      <c r="C24">
        <v>1.0112760766125326</v>
      </c>
      <c r="D24">
        <f t="shared" si="0"/>
        <v>1.188392080025698</v>
      </c>
    </row>
    <row r="25" spans="1:4">
      <c r="A25" s="4">
        <v>45047</v>
      </c>
      <c r="B25">
        <v>0.41494999999999999</v>
      </c>
      <c r="C25">
        <v>1.0041495</v>
      </c>
      <c r="D25">
        <f t="shared" si="0"/>
        <v>1.1933233129617646</v>
      </c>
    </row>
    <row r="26" spans="1:4">
      <c r="A26" s="4">
        <v>45078</v>
      </c>
      <c r="B26">
        <v>0.38303300000000001</v>
      </c>
      <c r="C26">
        <v>1.00383033</v>
      </c>
      <c r="D26">
        <f t="shared" si="0"/>
        <v>1.1978941350471015</v>
      </c>
    </row>
    <row r="27" spans="1:4">
      <c r="A27" s="4">
        <v>45108</v>
      </c>
      <c r="B27">
        <v>0.35111999999999999</v>
      </c>
      <c r="C27">
        <v>1.0035111999999999</v>
      </c>
      <c r="D27">
        <f t="shared" si="0"/>
        <v>1.2021001809340788</v>
      </c>
    </row>
    <row r="28" spans="1:4">
      <c r="A28" s="4">
        <v>45139</v>
      </c>
      <c r="B28">
        <v>0.17555687203791467</v>
      </c>
      <c r="C28">
        <v>1.0017555687203792</v>
      </c>
      <c r="D28">
        <f t="shared" si="0"/>
        <v>1.2042105504104887</v>
      </c>
    </row>
    <row r="29" spans="1:4">
      <c r="A29" s="4">
        <v>45170</v>
      </c>
      <c r="B29">
        <v>9.5758293838862543E-2</v>
      </c>
      <c r="C29">
        <v>1.0009575829383885</v>
      </c>
      <c r="D29">
        <f t="shared" si="0"/>
        <v>1.2053636818877893</v>
      </c>
    </row>
    <row r="30" spans="1:4">
      <c r="A30" s="4">
        <v>45200</v>
      </c>
      <c r="B30">
        <v>0.12767772511848341</v>
      </c>
      <c r="C30">
        <v>1.0012767772511848</v>
      </c>
      <c r="D30">
        <f t="shared" si="0"/>
        <v>1.206902662816228</v>
      </c>
    </row>
    <row r="31" spans="1:4">
      <c r="A31" s="4">
        <v>45231</v>
      </c>
      <c r="B31">
        <v>0.66754478672985762</v>
      </c>
      <c r="C31">
        <v>1.0066754478672986</v>
      </c>
      <c r="D31">
        <f t="shared" si="0"/>
        <v>1.2149592786227617</v>
      </c>
    </row>
    <row r="32" spans="1:4">
      <c r="A32" s="4">
        <v>45261</v>
      </c>
      <c r="B32">
        <v>1.3776988151658764</v>
      </c>
      <c r="C32">
        <v>1.0137769881516587</v>
      </c>
      <c r="D32">
        <f t="shared" si="0"/>
        <v>1.2316977582090953</v>
      </c>
    </row>
    <row r="33" spans="1:4">
      <c r="A33" s="4">
        <v>45292</v>
      </c>
      <c r="B33">
        <v>0.59652938388625576</v>
      </c>
      <c r="C33">
        <v>1.0059652938388626</v>
      </c>
      <c r="D33">
        <f t="shared" si="0"/>
        <v>1.239045197257481</v>
      </c>
    </row>
    <row r="34" spans="1:4">
      <c r="A34" s="4">
        <v>45323</v>
      </c>
      <c r="B34">
        <v>0.46870165876777242</v>
      </c>
      <c r="C34">
        <v>1.0046870165876778</v>
      </c>
      <c r="D34">
        <f t="shared" si="0"/>
        <v>1.2448526226499093</v>
      </c>
    </row>
    <row r="35" spans="1:4">
      <c r="A35" s="4">
        <v>45352</v>
      </c>
      <c r="B35">
        <v>0.71015402843601882</v>
      </c>
      <c r="C35">
        <v>1.0071015402843602</v>
      </c>
      <c r="D35">
        <f t="shared" si="0"/>
        <v>1.253692993697749</v>
      </c>
    </row>
    <row r="36" spans="1:4">
      <c r="A36" s="4">
        <v>45383</v>
      </c>
      <c r="B36">
        <v>0.79537251184834112</v>
      </c>
      <c r="C36">
        <v>1.0079537251184834</v>
      </c>
      <c r="D36">
        <f t="shared" si="0"/>
        <v>1.2636645231525894</v>
      </c>
    </row>
    <row r="37" spans="1:4">
      <c r="A37" s="4">
        <v>45413</v>
      </c>
      <c r="B37">
        <v>0.3692800947867298</v>
      </c>
      <c r="C37">
        <v>1.0036928009478674</v>
      </c>
      <c r="D37">
        <f t="shared" si="0"/>
        <v>1.2683309847014737</v>
      </c>
    </row>
    <row r="38" spans="1:4">
      <c r="A38" s="4">
        <v>45444</v>
      </c>
      <c r="B38">
        <v>0.34087393364928903</v>
      </c>
      <c r="C38">
        <v>1.003408739336493</v>
      </c>
      <c r="D38">
        <f t="shared" si="0"/>
        <v>1.2726543944207185</v>
      </c>
    </row>
    <row r="39" spans="1:4">
      <c r="A39" s="4">
        <v>45474</v>
      </c>
      <c r="B39">
        <v>0.31246777251184826</v>
      </c>
      <c r="C39">
        <v>1.0031246777251184</v>
      </c>
      <c r="D39">
        <f t="shared" si="0"/>
        <v>1.2766310292587388</v>
      </c>
    </row>
    <row r="40" spans="1:4">
      <c r="A40" s="4">
        <v>45505</v>
      </c>
      <c r="B40">
        <v>0.15623388625592413</v>
      </c>
      <c r="C40">
        <v>1.0015623388625592</v>
      </c>
      <c r="D40">
        <f t="shared" si="0"/>
        <v>1.2786255595288987</v>
      </c>
    </row>
    <row r="41" spans="1:4">
      <c r="A41" s="4">
        <v>45536</v>
      </c>
      <c r="B41">
        <v>8.5218483412322257E-2</v>
      </c>
      <c r="C41">
        <v>1.0008521848341232</v>
      </c>
      <c r="D41">
        <f t="shared" si="0"/>
        <v>1.2797151848392514</v>
      </c>
    </row>
    <row r="42" spans="1:4">
      <c r="A42" s="4">
        <v>45566</v>
      </c>
      <c r="B42">
        <v>0.11362464454976301</v>
      </c>
      <c r="C42">
        <v>1.0011362464454976</v>
      </c>
      <c r="D42">
        <f t="shared" si="0"/>
        <v>1.2811692566692743</v>
      </c>
    </row>
    <row r="43" spans="1:4">
      <c r="A43" s="4">
        <v>45597</v>
      </c>
      <c r="B43">
        <v>0.64748625592417042</v>
      </c>
      <c r="C43">
        <v>1.0064748625592417</v>
      </c>
      <c r="D43">
        <f t="shared" si="0"/>
        <v>1.2894646515213337</v>
      </c>
    </row>
    <row r="44" spans="1:4">
      <c r="A44" s="4">
        <v>45627</v>
      </c>
      <c r="B44">
        <v>1.3363014218009477</v>
      </c>
      <c r="C44">
        <v>1.0133630142180095</v>
      </c>
      <c r="D44">
        <f t="shared" si="0"/>
        <v>1.306695785993234</v>
      </c>
    </row>
    <row r="45" spans="1:4">
      <c r="A45" s="4">
        <v>45658</v>
      </c>
      <c r="B45">
        <v>0.57860473933649281</v>
      </c>
      <c r="C45">
        <v>1.0057860473933649</v>
      </c>
      <c r="D45">
        <f t="shared" si="0"/>
        <v>1.314256389739701</v>
      </c>
    </row>
    <row r="46" spans="1:4">
      <c r="A46" s="4">
        <v>45689</v>
      </c>
      <c r="B46">
        <v>0.45461800947867292</v>
      </c>
      <c r="C46">
        <v>1.0045461800947868</v>
      </c>
      <c r="D46">
        <f t="shared" si="0"/>
        <v>1.320231235978182</v>
      </c>
    </row>
    <row r="47" spans="1:4">
      <c r="A47" s="4">
        <v>45717</v>
      </c>
      <c r="B47">
        <v>0.68881516587677716</v>
      </c>
      <c r="C47">
        <v>1.0068881516587678</v>
      </c>
      <c r="D47">
        <f t="shared" si="0"/>
        <v>1.3293251889562421</v>
      </c>
    </row>
    <row r="48" spans="1:4">
      <c r="A48" s="4">
        <v>45748</v>
      </c>
      <c r="B48">
        <v>0.77147298578199042</v>
      </c>
      <c r="C48">
        <v>1.00771472985782</v>
      </c>
      <c r="D48">
        <f t="shared" si="0"/>
        <v>1.339580573682235</v>
      </c>
    </row>
    <row r="49" spans="1:4">
      <c r="A49" s="4">
        <v>45778</v>
      </c>
      <c r="B49">
        <v>0.35818388625592412</v>
      </c>
      <c r="C49">
        <v>1.0035818388625593</v>
      </c>
      <c r="D49">
        <f t="shared" si="0"/>
        <v>1.3443787354405794</v>
      </c>
    </row>
    <row r="50" spans="1:4">
      <c r="A50" s="4">
        <v>45809</v>
      </c>
      <c r="B50">
        <v>0.33063127962085304</v>
      </c>
      <c r="C50">
        <v>1.0033063127962085</v>
      </c>
      <c r="D50">
        <f t="shared" si="0"/>
        <v>1.3488236720565172</v>
      </c>
    </row>
    <row r="51" spans="1:4">
      <c r="A51" s="4">
        <v>45839</v>
      </c>
      <c r="B51">
        <v>0.30307867298578195</v>
      </c>
      <c r="C51">
        <v>1.0030307867298578</v>
      </c>
      <c r="D51">
        <f t="shared" si="0"/>
        <v>1.3529116689427041</v>
      </c>
    </row>
    <row r="52" spans="1:4">
      <c r="A52" s="4">
        <v>45870</v>
      </c>
      <c r="B52">
        <v>0.15153933649289097</v>
      </c>
      <c r="C52">
        <v>1.001515393364929</v>
      </c>
      <c r="D52">
        <f t="shared" si="0"/>
        <v>1.3549618623091548</v>
      </c>
    </row>
    <row r="53" spans="1:4">
      <c r="A53" s="4">
        <v>45901</v>
      </c>
      <c r="B53">
        <v>8.2657819905213259E-2</v>
      </c>
      <c r="C53">
        <v>1.0008265781990522</v>
      </c>
      <c r="D53">
        <f t="shared" si="0"/>
        <v>1.3560818442450868</v>
      </c>
    </row>
    <row r="54" spans="1:4">
      <c r="A54" s="4">
        <v>45931</v>
      </c>
      <c r="B54">
        <v>0.11021042654028435</v>
      </c>
      <c r="C54">
        <v>1.0011021042654029</v>
      </c>
      <c r="D54">
        <f t="shared" si="0"/>
        <v>1.3575763878298648</v>
      </c>
    </row>
    <row r="55" spans="1:4">
      <c r="A55" s="4">
        <v>45962</v>
      </c>
      <c r="B55">
        <v>0.64681800947867285</v>
      </c>
      <c r="C55">
        <v>1.0064681800947868</v>
      </c>
      <c r="D55">
        <f t="shared" si="0"/>
        <v>1.3663574363987785</v>
      </c>
    </row>
    <row r="56" spans="1:4">
      <c r="A56" s="4">
        <v>45992</v>
      </c>
      <c r="B56">
        <v>1.3349222748815164</v>
      </c>
      <c r="C56">
        <v>1.0133492227488152</v>
      </c>
      <c r="D56">
        <f t="shared" si="0"/>
        <v>1.3845972461717659</v>
      </c>
    </row>
    <row r="57" spans="1:4">
      <c r="A57" s="4">
        <v>46023</v>
      </c>
      <c r="B57">
        <v>0.5780075829383885</v>
      </c>
      <c r="C57">
        <v>1.0057800758293838</v>
      </c>
      <c r="D57">
        <f t="shared" si="0"/>
        <v>1.3926003232477948</v>
      </c>
    </row>
    <row r="58" spans="1:4">
      <c r="A58" s="4">
        <v>46054</v>
      </c>
      <c r="B58">
        <v>0.45414881516587668</v>
      </c>
      <c r="C58">
        <v>1.0045414881516588</v>
      </c>
      <c r="D58">
        <f t="shared" si="0"/>
        <v>1.3989248011158208</v>
      </c>
    </row>
    <row r="59" spans="1:4">
      <c r="A59" s="4">
        <v>46082</v>
      </c>
      <c r="B59">
        <v>0.68810426540284353</v>
      </c>
      <c r="C59">
        <v>1.0068810426540284</v>
      </c>
      <c r="D59">
        <f t="shared" si="0"/>
        <v>1.408550862342077</v>
      </c>
    </row>
    <row r="60" spans="1:4">
      <c r="A60" s="4">
        <v>46113</v>
      </c>
      <c r="B60">
        <v>0.77067677725118466</v>
      </c>
      <c r="C60">
        <v>1.0077067677725118</v>
      </c>
      <c r="D60">
        <f t="shared" si="0"/>
        <v>1.4194062367339186</v>
      </c>
    </row>
    <row r="61" spans="1:4">
      <c r="A61" s="4">
        <v>46143</v>
      </c>
      <c r="B61">
        <v>0.3578142180094786</v>
      </c>
      <c r="C61">
        <v>1.0035781421800949</v>
      </c>
      <c r="D61">
        <f t="shared" si="0"/>
        <v>1.4244850740602659</v>
      </c>
    </row>
    <row r="62" spans="1:4">
      <c r="A62" s="4">
        <v>46174</v>
      </c>
      <c r="B62">
        <v>0.33029004739336487</v>
      </c>
      <c r="C62">
        <v>1.0033029004739336</v>
      </c>
      <c r="D62">
        <f t="shared" si="0"/>
        <v>1.4291900064864909</v>
      </c>
    </row>
    <row r="63" spans="1:4">
      <c r="A63" s="4">
        <v>46204</v>
      </c>
      <c r="B63">
        <v>0.30276587677725114</v>
      </c>
      <c r="C63">
        <v>1.0030276587677724</v>
      </c>
      <c r="D63">
        <f t="shared" si="0"/>
        <v>1.4335171061404424</v>
      </c>
    </row>
    <row r="64" spans="1:4">
      <c r="A64" s="4">
        <v>46235</v>
      </c>
      <c r="B64">
        <v>0.15138293838862557</v>
      </c>
      <c r="C64">
        <v>1.0015138293838863</v>
      </c>
      <c r="D64">
        <f t="shared" si="0"/>
        <v>1.4356872064580215</v>
      </c>
    </row>
    <row r="65" spans="1:4">
      <c r="A65" s="4">
        <v>46266</v>
      </c>
      <c r="B65">
        <v>8.2572511848341218E-2</v>
      </c>
      <c r="C65">
        <v>1.0008257251184833</v>
      </c>
      <c r="D65">
        <f t="shared" si="0"/>
        <v>1.436872689446679</v>
      </c>
    </row>
    <row r="66" spans="1:4">
      <c r="A66" s="4">
        <v>46296</v>
      </c>
      <c r="B66">
        <v>0.11009668246445496</v>
      </c>
      <c r="C66">
        <v>1.0011009668246444</v>
      </c>
      <c r="D66">
        <f t="shared" si="0"/>
        <v>1.4384546386089974</v>
      </c>
    </row>
    <row r="67" spans="1:4">
      <c r="A67" s="4">
        <v>46327</v>
      </c>
      <c r="B67">
        <v>0.65048222748815143</v>
      </c>
      <c r="C67">
        <v>1.0065048222748816</v>
      </c>
      <c r="D67">
        <f t="shared" si="0"/>
        <v>1.4478115303836279</v>
      </c>
    </row>
    <row r="68" spans="1:4">
      <c r="A68" s="4">
        <v>46357</v>
      </c>
      <c r="B68">
        <v>1.3424845971563977</v>
      </c>
      <c r="C68">
        <v>1.013424845971564</v>
      </c>
      <c r="D68">
        <f t="shared" ref="D68:D122" si="1">C68*D67</f>
        <v>1.4672481771748824</v>
      </c>
    </row>
    <row r="69" spans="1:4">
      <c r="A69" s="4">
        <v>46388</v>
      </c>
      <c r="B69">
        <v>0.5812819905213269</v>
      </c>
      <c r="C69">
        <v>1.0058128199052132</v>
      </c>
      <c r="D69">
        <f t="shared" si="1"/>
        <v>1.4757770265850523</v>
      </c>
    </row>
    <row r="70" spans="1:4">
      <c r="A70" s="4">
        <v>46419</v>
      </c>
      <c r="B70">
        <v>0.45672156398104258</v>
      </c>
      <c r="C70">
        <v>1.0045672156398104</v>
      </c>
      <c r="D70">
        <f t="shared" si="1"/>
        <v>1.4825172185017446</v>
      </c>
    </row>
    <row r="71" spans="1:4">
      <c r="A71" s="4">
        <v>46447</v>
      </c>
      <c r="B71">
        <v>0.69200236966824635</v>
      </c>
      <c r="C71">
        <v>1.0069200236966824</v>
      </c>
      <c r="D71">
        <f t="shared" si="1"/>
        <v>1.4927762727845164</v>
      </c>
    </row>
    <row r="72" spans="1:4">
      <c r="A72" s="4">
        <v>46478</v>
      </c>
      <c r="B72">
        <v>0.77504265402843586</v>
      </c>
      <c r="C72">
        <v>1.0077504265402843</v>
      </c>
      <c r="D72">
        <f t="shared" si="1"/>
        <v>1.5043459256278122</v>
      </c>
    </row>
    <row r="73" spans="1:4">
      <c r="A73" s="4">
        <v>46508</v>
      </c>
      <c r="B73">
        <v>0.35984123222748809</v>
      </c>
      <c r="C73">
        <v>1.003598412322275</v>
      </c>
      <c r="D73">
        <f t="shared" si="1"/>
        <v>1.5097591825435555</v>
      </c>
    </row>
    <row r="74" spans="1:4">
      <c r="A74" s="4">
        <v>46539</v>
      </c>
      <c r="B74">
        <v>0.3321611374407582</v>
      </c>
      <c r="C74">
        <v>1.0033216113744077</v>
      </c>
      <c r="D74">
        <f t="shared" si="1"/>
        <v>1.5147740158169085</v>
      </c>
    </row>
    <row r="75" spans="1:4">
      <c r="A75" s="4">
        <v>46569</v>
      </c>
      <c r="B75">
        <v>0.30448104265402837</v>
      </c>
      <c r="C75">
        <v>1.0030448104265404</v>
      </c>
      <c r="D75">
        <f t="shared" si="1"/>
        <v>1.5193862155341202</v>
      </c>
    </row>
    <row r="76" spans="1:4">
      <c r="A76" s="4">
        <v>46600</v>
      </c>
      <c r="B76">
        <v>0.15224052132701418</v>
      </c>
      <c r="C76">
        <v>1.0015224052132701</v>
      </c>
      <c r="D76">
        <f t="shared" si="1"/>
        <v>1.5216993370296201</v>
      </c>
    </row>
    <row r="77" spans="1:4">
      <c r="A77" s="4">
        <v>46631</v>
      </c>
      <c r="B77">
        <v>8.3040284360189551E-2</v>
      </c>
      <c r="C77">
        <v>1.0008304028436019</v>
      </c>
      <c r="D77">
        <f t="shared" si="1"/>
        <v>1.5229629604861967</v>
      </c>
    </row>
    <row r="78" spans="1:4">
      <c r="A78" s="4">
        <v>46661</v>
      </c>
      <c r="B78">
        <v>0.11072037914691941</v>
      </c>
      <c r="C78">
        <v>1.0011072037914692</v>
      </c>
      <c r="D78">
        <f t="shared" si="1"/>
        <v>1.5246491908503141</v>
      </c>
    </row>
    <row r="79" spans="1:4">
      <c r="A79" s="4">
        <v>46692</v>
      </c>
      <c r="B79">
        <v>0.65446943127962065</v>
      </c>
      <c r="C79">
        <v>1.0065446943127963</v>
      </c>
      <c r="D79">
        <f t="shared" si="1"/>
        <v>1.5346275537386815</v>
      </c>
    </row>
    <row r="80" spans="1:4">
      <c r="A80" s="4">
        <v>46722</v>
      </c>
      <c r="B80">
        <v>1.3507135071090044</v>
      </c>
      <c r="C80">
        <v>1.01350713507109</v>
      </c>
      <c r="D80">
        <f t="shared" si="1"/>
        <v>1.5553559753908464</v>
      </c>
    </row>
    <row r="81" spans="1:4">
      <c r="A81" s="4">
        <v>46753</v>
      </c>
      <c r="B81">
        <v>0.58484502369668234</v>
      </c>
      <c r="C81">
        <v>1.0058484502369669</v>
      </c>
      <c r="D81">
        <f t="shared" si="1"/>
        <v>1.5644523974136888</v>
      </c>
    </row>
    <row r="82" spans="1:4">
      <c r="A82" s="4">
        <v>46784</v>
      </c>
      <c r="B82">
        <v>0.45952109004739328</v>
      </c>
      <c r="C82">
        <v>1.0045952109004739</v>
      </c>
      <c r="D82">
        <f t="shared" si="1"/>
        <v>1.5716413861235567</v>
      </c>
    </row>
    <row r="83" spans="1:4">
      <c r="A83" s="4">
        <v>46813</v>
      </c>
      <c r="B83">
        <v>0.69624407582938375</v>
      </c>
      <c r="C83">
        <v>1.0069624407582938</v>
      </c>
      <c r="D83">
        <f t="shared" si="1"/>
        <v>1.5825838461677246</v>
      </c>
    </row>
    <row r="84" spans="1:4">
      <c r="A84" s="4">
        <v>46844</v>
      </c>
      <c r="B84">
        <v>0.77979336492890983</v>
      </c>
      <c r="C84">
        <v>1.007797933649289</v>
      </c>
      <c r="D84">
        <f t="shared" si="1"/>
        <v>1.5949247299945772</v>
      </c>
    </row>
    <row r="85" spans="1:4">
      <c r="A85" s="4">
        <v>46874</v>
      </c>
      <c r="B85">
        <v>0.36204691943127953</v>
      </c>
      <c r="C85">
        <v>1.0036204691943127</v>
      </c>
      <c r="D85">
        <f t="shared" si="1"/>
        <v>1.6006991058467701</v>
      </c>
    </row>
    <row r="86" spans="1:4">
      <c r="A86" s="4">
        <v>46905</v>
      </c>
      <c r="B86">
        <v>0.33419715639810421</v>
      </c>
      <c r="C86">
        <v>1.0033419715639811</v>
      </c>
      <c r="D86">
        <f t="shared" si="1"/>
        <v>1.6060485967409999</v>
      </c>
    </row>
    <row r="87" spans="1:4">
      <c r="A87" s="4">
        <v>46935</v>
      </c>
      <c r="B87">
        <v>0.30634739336492883</v>
      </c>
      <c r="C87">
        <v>1.0030634739336493</v>
      </c>
      <c r="D87">
        <f t="shared" si="1"/>
        <v>1.6109686847532898</v>
      </c>
    </row>
    <row r="88" spans="1:4">
      <c r="A88" s="4">
        <v>46966</v>
      </c>
      <c r="B88">
        <v>0.15317369668246442</v>
      </c>
      <c r="C88">
        <v>1.0015317369668246</v>
      </c>
      <c r="D88">
        <f t="shared" si="1"/>
        <v>1.6134362650401233</v>
      </c>
    </row>
    <row r="89" spans="1:4">
      <c r="A89" s="4">
        <v>46997</v>
      </c>
      <c r="B89">
        <v>8.3549289099526053E-2</v>
      </c>
      <c r="C89">
        <v>1.0008354928909953</v>
      </c>
      <c r="D89">
        <f t="shared" si="1"/>
        <v>1.6147842795696383</v>
      </c>
    </row>
    <row r="90" spans="1:4">
      <c r="A90" s="4">
        <v>47027</v>
      </c>
      <c r="B90">
        <v>0.1113990521327014</v>
      </c>
      <c r="C90">
        <v>1.0011139905213271</v>
      </c>
      <c r="D90">
        <f t="shared" si="1"/>
        <v>1.616583133951067</v>
      </c>
    </row>
    <row r="91" spans="1:4">
      <c r="A91" s="4">
        <v>47058</v>
      </c>
      <c r="B91">
        <v>0.65791090047393341</v>
      </c>
      <c r="C91">
        <v>1.0065791090047393</v>
      </c>
      <c r="D91">
        <f t="shared" si="1"/>
        <v>1.6272188106045542</v>
      </c>
    </row>
    <row r="92" spans="1:4">
      <c r="A92" s="4">
        <v>47088</v>
      </c>
      <c r="B92">
        <v>1.3578161137440754</v>
      </c>
      <c r="C92">
        <v>1.0135781611374408</v>
      </c>
      <c r="D92">
        <f t="shared" si="1"/>
        <v>1.6493134498208175</v>
      </c>
    </row>
    <row r="93" spans="1:4">
      <c r="A93" s="4">
        <v>47119</v>
      </c>
      <c r="B93">
        <v>0.5879203791469193</v>
      </c>
      <c r="C93">
        <v>1.0058792037914692</v>
      </c>
      <c r="D93">
        <f t="shared" si="1"/>
        <v>1.6590100997083252</v>
      </c>
    </row>
    <row r="94" spans="1:4">
      <c r="A94" s="4">
        <v>47150</v>
      </c>
      <c r="B94">
        <v>0.46193744075829374</v>
      </c>
      <c r="C94">
        <v>1.0046193744075829</v>
      </c>
      <c r="D94">
        <f t="shared" si="1"/>
        <v>1.6666736885048394</v>
      </c>
    </row>
    <row r="95" spans="1:4">
      <c r="A95" s="4">
        <v>47178</v>
      </c>
      <c r="B95">
        <v>0.6999052132701421</v>
      </c>
      <c r="C95">
        <v>1.0069990521327015</v>
      </c>
      <c r="D95">
        <f t="shared" si="1"/>
        <v>1.6783388245388866</v>
      </c>
    </row>
    <row r="96" spans="1:4">
      <c r="A96" s="4">
        <v>47209</v>
      </c>
      <c r="B96">
        <v>0.78389383886255903</v>
      </c>
      <c r="C96">
        <v>1.0078389383886255</v>
      </c>
      <c r="D96">
        <f t="shared" si="1"/>
        <v>1.691495219179685</v>
      </c>
    </row>
    <row r="97" spans="1:4">
      <c r="A97" s="4">
        <v>47239</v>
      </c>
      <c r="B97">
        <v>0.36395071090047387</v>
      </c>
      <c r="C97">
        <v>1.0036395071090047</v>
      </c>
      <c r="D97">
        <f t="shared" si="1"/>
        <v>1.697651428054737</v>
      </c>
    </row>
    <row r="98" spans="1:4">
      <c r="A98" s="4">
        <v>47270</v>
      </c>
      <c r="B98">
        <v>0.33595450236966817</v>
      </c>
      <c r="C98">
        <v>1.0033595450236967</v>
      </c>
      <c r="D98">
        <f t="shared" si="1"/>
        <v>1.7033547644618299</v>
      </c>
    </row>
    <row r="99" spans="1:4">
      <c r="A99" s="4">
        <v>47300</v>
      </c>
      <c r="B99">
        <v>0.30795829383886247</v>
      </c>
      <c r="C99">
        <v>1.0030795829383887</v>
      </c>
      <c r="D99">
        <f t="shared" si="1"/>
        <v>1.7086003867324897</v>
      </c>
    </row>
    <row r="100" spans="1:4">
      <c r="A100" s="4">
        <v>47331</v>
      </c>
      <c r="B100">
        <v>0.15397914691943124</v>
      </c>
      <c r="C100">
        <v>1.0015397914691944</v>
      </c>
      <c r="D100">
        <f t="shared" si="1"/>
        <v>1.7112312750322425</v>
      </c>
    </row>
    <row r="101" spans="1:4">
      <c r="A101" s="4">
        <v>47362</v>
      </c>
      <c r="B101">
        <v>8.3988625592417043E-2</v>
      </c>
      <c r="C101">
        <v>1.0008398862559242</v>
      </c>
      <c r="D101">
        <f t="shared" si="1"/>
        <v>1.7126685146608498</v>
      </c>
    </row>
    <row r="102" spans="1:4">
      <c r="A102" s="4">
        <v>47392</v>
      </c>
      <c r="B102">
        <v>0.11198483412322273</v>
      </c>
      <c r="C102">
        <v>1.0011198483412322</v>
      </c>
      <c r="D102">
        <f t="shared" si="1"/>
        <v>1.7145864436560734</v>
      </c>
    </row>
    <row r="103" spans="1:4">
      <c r="A103" s="4">
        <v>47423</v>
      </c>
      <c r="B103">
        <v>0.66068412322274861</v>
      </c>
      <c r="C103">
        <v>1.0066068412322275</v>
      </c>
      <c r="D103">
        <f t="shared" si="1"/>
        <v>1.7259144440682388</v>
      </c>
    </row>
    <row r="104" spans="1:4">
      <c r="A104" s="4">
        <v>47453</v>
      </c>
      <c r="B104">
        <v>1.3635395734597153</v>
      </c>
      <c r="C104">
        <v>1.0136353957345972</v>
      </c>
      <c r="D104">
        <f t="shared" si="1"/>
        <v>1.7494479705171664</v>
      </c>
    </row>
    <row r="105" spans="1:4">
      <c r="A105" s="4">
        <v>47484</v>
      </c>
      <c r="B105">
        <v>0.59039857819905206</v>
      </c>
      <c r="C105">
        <v>1.0059039857819905</v>
      </c>
      <c r="D105">
        <f t="shared" si="1"/>
        <v>1.7597766864614319</v>
      </c>
    </row>
    <row r="106" spans="1:4">
      <c r="A106" s="4">
        <v>47515</v>
      </c>
      <c r="B106">
        <v>0.46388459715639807</v>
      </c>
      <c r="C106">
        <v>1.0046388459715641</v>
      </c>
      <c r="D106">
        <f t="shared" si="1"/>
        <v>1.7679400194542758</v>
      </c>
    </row>
    <row r="107" spans="1:4">
      <c r="A107" s="4">
        <v>47543</v>
      </c>
      <c r="B107">
        <v>0.70285545023696683</v>
      </c>
      <c r="C107">
        <v>1.0070285545023696</v>
      </c>
      <c r="D107">
        <f t="shared" si="1"/>
        <v>1.7803660822379306</v>
      </c>
    </row>
    <row r="108" spans="1:4">
      <c r="A108" s="4">
        <v>47574</v>
      </c>
      <c r="B108">
        <v>0.78719810426540271</v>
      </c>
      <c r="C108">
        <v>1.007871981042654</v>
      </c>
      <c r="D108">
        <f t="shared" si="1"/>
        <v>1.7943810902862918</v>
      </c>
    </row>
    <row r="109" spans="1:4">
      <c r="A109" s="4">
        <v>47604</v>
      </c>
      <c r="B109">
        <v>0.36548483412322269</v>
      </c>
      <c r="C109">
        <v>1.0036548483412322</v>
      </c>
      <c r="D109">
        <f t="shared" si="1"/>
        <v>1.800939281037663</v>
      </c>
    </row>
    <row r="110" spans="1:4">
      <c r="A110" s="4">
        <v>47635</v>
      </c>
      <c r="B110">
        <v>0.33737061611374403</v>
      </c>
      <c r="C110">
        <v>1.0033737061611374</v>
      </c>
      <c r="D110">
        <f t="shared" si="1"/>
        <v>1.8070151209859342</v>
      </c>
    </row>
    <row r="111" spans="1:4">
      <c r="A111" s="4">
        <v>47665</v>
      </c>
      <c r="B111">
        <v>0.30925639810426536</v>
      </c>
      <c r="C111">
        <v>1.0030925639810426</v>
      </c>
      <c r="D111">
        <f t="shared" si="1"/>
        <v>1.8126034308622947</v>
      </c>
    </row>
    <row r="112" spans="1:4">
      <c r="A112" s="4">
        <v>47696</v>
      </c>
      <c r="B112">
        <v>0.15462819905213268</v>
      </c>
      <c r="C112">
        <v>1.0015462819905214</v>
      </c>
      <c r="D112">
        <f t="shared" si="1"/>
        <v>1.8154062269033944</v>
      </c>
    </row>
    <row r="113" spans="1:4">
      <c r="A113" s="4">
        <v>47727</v>
      </c>
      <c r="B113">
        <v>8.4342654028436007E-2</v>
      </c>
      <c r="C113">
        <v>1.0008434265402844</v>
      </c>
      <c r="D113">
        <f t="shared" si="1"/>
        <v>1.8169373886965621</v>
      </c>
    </row>
    <row r="114" spans="1:4">
      <c r="A114" s="4">
        <v>47757</v>
      </c>
      <c r="B114">
        <v>0.11245687203791468</v>
      </c>
      <c r="C114">
        <v>1.0011245687203791</v>
      </c>
      <c r="D114">
        <f t="shared" si="1"/>
        <v>1.8189806596507776</v>
      </c>
    </row>
    <row r="115" spans="1:4">
      <c r="A115" s="4">
        <v>47788</v>
      </c>
      <c r="B115">
        <v>0.66295616113744049</v>
      </c>
      <c r="C115">
        <v>1.0066295616113745</v>
      </c>
      <c r="D115">
        <f t="shared" si="1"/>
        <v>1.8310397040038311</v>
      </c>
    </row>
    <row r="116" spans="1:4">
      <c r="A116" s="4">
        <v>47818</v>
      </c>
      <c r="B116">
        <v>1.3682286729857818</v>
      </c>
      <c r="C116">
        <v>1.0136822867298578</v>
      </c>
      <c r="D116">
        <f t="shared" si="1"/>
        <v>1.8560925142477656</v>
      </c>
    </row>
    <row r="117" spans="1:4">
      <c r="A117" s="4">
        <v>47849</v>
      </c>
      <c r="B117">
        <v>0.59242890995260655</v>
      </c>
      <c r="C117">
        <v>1.0059242890995261</v>
      </c>
      <c r="D117">
        <f t="shared" si="1"/>
        <v>1.8670885428976356</v>
      </c>
    </row>
    <row r="118" spans="1:4">
      <c r="A118" s="4">
        <v>47880</v>
      </c>
      <c r="B118">
        <v>0.46547985781990514</v>
      </c>
      <c r="C118">
        <v>1.0046547985781991</v>
      </c>
      <c r="D118">
        <f t="shared" si="1"/>
        <v>1.8757794639924872</v>
      </c>
    </row>
    <row r="119" spans="1:4">
      <c r="A119" s="4">
        <v>47908</v>
      </c>
      <c r="B119">
        <v>0.70527251184834117</v>
      </c>
      <c r="C119">
        <v>1.0070527251184833</v>
      </c>
      <c r="D119">
        <f t="shared" si="1"/>
        <v>1.8890088209349221</v>
      </c>
    </row>
    <row r="120" spans="1:4">
      <c r="A120" s="4">
        <v>47939</v>
      </c>
      <c r="B120">
        <v>0.78990521327014207</v>
      </c>
      <c r="C120">
        <v>1.0078990521327014</v>
      </c>
      <c r="D120">
        <f t="shared" si="1"/>
        <v>1.9039302000906198</v>
      </c>
    </row>
    <row r="121" spans="1:4">
      <c r="A121" s="4">
        <v>47969</v>
      </c>
      <c r="B121">
        <v>0.36674170616113738</v>
      </c>
      <c r="C121">
        <v>1.0078990521327014</v>
      </c>
      <c r="D121">
        <f t="shared" si="1"/>
        <v>1.9189694439981602</v>
      </c>
    </row>
    <row r="122" spans="1:4">
      <c r="A122" s="4">
        <v>48000</v>
      </c>
      <c r="B122">
        <v>0.33853080568720373</v>
      </c>
      <c r="C122">
        <v>1.0078990521327014</v>
      </c>
      <c r="D122">
        <f t="shared" si="1"/>
        <v>1.9341274836773625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1B76-A965-4B53-BAB8-CC989F018FD3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AF38C-196C-4C4C-B3CF-868AA82C22E3}">
  <dimension ref="A1:D120"/>
  <sheetViews>
    <sheetView workbookViewId="0">
      <selection sqref="A1:D1"/>
    </sheetView>
  </sheetViews>
  <sheetFormatPr defaultRowHeight="15"/>
  <cols>
    <col min="1" max="1" width="11.140625" customWidth="1"/>
    <col min="2" max="2" width="10.140625" customWidth="1"/>
    <col min="4" max="4" width="13" customWidth="1"/>
  </cols>
  <sheetData>
    <row r="1" spans="1:4">
      <c r="A1" t="s">
        <v>21</v>
      </c>
      <c r="B1" t="s">
        <v>150</v>
      </c>
      <c r="C1" t="s">
        <v>22</v>
      </c>
      <c r="D1" t="s">
        <v>149</v>
      </c>
    </row>
    <row r="2" spans="1:4" hidden="1">
      <c r="A2" s="4">
        <v>44348</v>
      </c>
      <c r="B2">
        <v>0.53</v>
      </c>
      <c r="C2">
        <v>1.0053000000000001</v>
      </c>
      <c r="D2">
        <v>1.0053000000000001</v>
      </c>
    </row>
    <row r="3" spans="1:4" hidden="1">
      <c r="A3" s="4">
        <v>44378</v>
      </c>
      <c r="B3">
        <v>0.96</v>
      </c>
      <c r="C3">
        <v>1.0096000000000001</v>
      </c>
      <c r="D3">
        <f>C3*D2</f>
        <v>1.0149508800000002</v>
      </c>
    </row>
    <row r="4" spans="1:4" hidden="1">
      <c r="A4" s="4">
        <v>44409</v>
      </c>
      <c r="B4">
        <v>0.87</v>
      </c>
      <c r="C4">
        <v>1.0086999999999999</v>
      </c>
      <c r="D4">
        <f t="shared" ref="D4:D67" si="0">C4*D3</f>
        <v>1.0237809526560002</v>
      </c>
    </row>
    <row r="5" spans="1:4" hidden="1">
      <c r="A5" s="4">
        <v>44440</v>
      </c>
      <c r="B5">
        <v>1.1599999999999999</v>
      </c>
      <c r="C5">
        <v>1.0116000000000001</v>
      </c>
      <c r="D5">
        <f t="shared" si="0"/>
        <v>1.0356568117068099</v>
      </c>
    </row>
    <row r="6" spans="1:4">
      <c r="A6" s="4">
        <v>44470</v>
      </c>
      <c r="B6">
        <v>1.25</v>
      </c>
      <c r="C6">
        <v>1.0125</v>
      </c>
      <c r="D6">
        <f t="shared" si="0"/>
        <v>1.048602521853145</v>
      </c>
    </row>
    <row r="7" spans="1:4" hidden="1">
      <c r="A7" s="4">
        <v>44501</v>
      </c>
      <c r="B7">
        <v>0.95</v>
      </c>
      <c r="C7">
        <v>1.0095000000000001</v>
      </c>
      <c r="D7">
        <f t="shared" si="0"/>
        <v>1.0585642458107498</v>
      </c>
    </row>
    <row r="8" spans="1:4" hidden="1">
      <c r="A8" s="4">
        <v>44531</v>
      </c>
      <c r="B8">
        <v>0.73</v>
      </c>
      <c r="C8">
        <v>1.0073000000000001</v>
      </c>
      <c r="D8">
        <f t="shared" si="0"/>
        <v>1.0662917648051684</v>
      </c>
    </row>
    <row r="9" spans="1:4" hidden="1">
      <c r="A9" s="4">
        <v>44562</v>
      </c>
      <c r="B9">
        <v>0.54</v>
      </c>
      <c r="C9">
        <v>1.0054000000000001</v>
      </c>
      <c r="D9">
        <f t="shared" si="0"/>
        <v>1.0720497403351164</v>
      </c>
    </row>
    <row r="10" spans="1:4" hidden="1">
      <c r="A10" s="4">
        <v>44593</v>
      </c>
      <c r="B10">
        <v>1.01</v>
      </c>
      <c r="C10">
        <v>1.0101</v>
      </c>
      <c r="D10">
        <f t="shared" si="0"/>
        <v>1.082877442712501</v>
      </c>
    </row>
    <row r="11" spans="1:4" hidden="1">
      <c r="A11" s="4">
        <v>44621</v>
      </c>
      <c r="B11">
        <v>1.62</v>
      </c>
      <c r="C11">
        <v>1.0162</v>
      </c>
      <c r="D11">
        <f t="shared" si="0"/>
        <v>1.1004200572844436</v>
      </c>
    </row>
    <row r="12" spans="1:4">
      <c r="A12" s="4">
        <v>44652</v>
      </c>
      <c r="B12">
        <v>1.06</v>
      </c>
      <c r="C12">
        <v>1.0105999999999999</v>
      </c>
      <c r="D12">
        <f t="shared" si="0"/>
        <v>1.1120845098916585</v>
      </c>
    </row>
    <row r="13" spans="1:4" hidden="1">
      <c r="A13" s="4">
        <v>44682</v>
      </c>
      <c r="B13">
        <v>0.47</v>
      </c>
      <c r="C13">
        <v>1.0046999999999999</v>
      </c>
      <c r="D13">
        <f t="shared" si="0"/>
        <v>1.1173113070881493</v>
      </c>
    </row>
    <row r="14" spans="1:4" hidden="1">
      <c r="A14" s="4">
        <v>44713</v>
      </c>
      <c r="B14">
        <v>0.67</v>
      </c>
      <c r="C14">
        <v>1.0066999999999999</v>
      </c>
      <c r="D14">
        <f t="shared" si="0"/>
        <v>1.1247972928456398</v>
      </c>
    </row>
    <row r="15" spans="1:4" hidden="1">
      <c r="A15" s="4">
        <v>44743</v>
      </c>
      <c r="B15">
        <v>-0.68</v>
      </c>
      <c r="C15">
        <v>0.99319999999999997</v>
      </c>
      <c r="D15">
        <f t="shared" si="0"/>
        <v>1.1171486712542893</v>
      </c>
    </row>
    <row r="16" spans="1:4" hidden="1">
      <c r="A16" s="4">
        <v>44774</v>
      </c>
      <c r="B16">
        <v>-0.36</v>
      </c>
      <c r="C16">
        <v>0.99639999999999995</v>
      </c>
      <c r="D16">
        <f t="shared" si="0"/>
        <v>1.1131269360377738</v>
      </c>
    </row>
    <row r="17" spans="1:4" hidden="1">
      <c r="A17" s="4">
        <v>44805</v>
      </c>
      <c r="B17">
        <v>-0.28999999999999998</v>
      </c>
      <c r="C17">
        <v>0.99709999999999999</v>
      </c>
      <c r="D17">
        <f t="shared" si="0"/>
        <v>1.1098988679232642</v>
      </c>
    </row>
    <row r="18" spans="1:4">
      <c r="A18" s="4">
        <v>44835</v>
      </c>
      <c r="B18">
        <v>0.33</v>
      </c>
      <c r="C18">
        <v>1.0033000000000001</v>
      </c>
      <c r="D18">
        <f t="shared" si="0"/>
        <v>1.113561534187411</v>
      </c>
    </row>
    <row r="19" spans="1:4" hidden="1">
      <c r="A19" s="4">
        <v>44866</v>
      </c>
      <c r="B19">
        <v>0.94638500140897963</v>
      </c>
      <c r="C19">
        <v>1.0094638500140898</v>
      </c>
      <c r="D19">
        <f t="shared" si="0"/>
        <v>1.1241001135284203</v>
      </c>
    </row>
    <row r="20" spans="1:4" hidden="1">
      <c r="A20" s="4">
        <v>44896</v>
      </c>
      <c r="B20">
        <v>1.9531775560993834</v>
      </c>
      <c r="C20">
        <v>1.0195317755609938</v>
      </c>
      <c r="D20">
        <f t="shared" si="0"/>
        <v>1.1460557846539452</v>
      </c>
    </row>
    <row r="21" spans="1:4" hidden="1">
      <c r="A21" s="4">
        <v>44927</v>
      </c>
      <c r="B21">
        <v>0.84570574593993919</v>
      </c>
      <c r="C21">
        <v>1.0084570574593994</v>
      </c>
      <c r="D21">
        <f t="shared" si="0"/>
        <v>1.1557480442764407</v>
      </c>
    </row>
    <row r="22" spans="1:4" hidden="1">
      <c r="A22" s="4">
        <v>44958</v>
      </c>
      <c r="B22">
        <v>0.66448308609566664</v>
      </c>
      <c r="C22">
        <v>1.0066448308609566</v>
      </c>
      <c r="D22">
        <f t="shared" si="0"/>
        <v>1.163427794548539</v>
      </c>
    </row>
    <row r="23" spans="1:4" hidden="1">
      <c r="A23" s="4">
        <v>44986</v>
      </c>
      <c r="B23">
        <v>1.006792554690404</v>
      </c>
      <c r="C23">
        <v>1.0100679255469041</v>
      </c>
      <c r="D23">
        <f t="shared" si="0"/>
        <v>1.1751410989632525</v>
      </c>
    </row>
    <row r="24" spans="1:4">
      <c r="A24" s="4">
        <v>45017</v>
      </c>
      <c r="B24">
        <v>1.1276076612532524</v>
      </c>
      <c r="C24">
        <v>1.0112760766125326</v>
      </c>
      <c r="D24">
        <f t="shared" si="0"/>
        <v>1.188392080025698</v>
      </c>
    </row>
    <row r="25" spans="1:4" hidden="1">
      <c r="A25" s="4">
        <v>45047</v>
      </c>
      <c r="B25">
        <v>0.41494999999999999</v>
      </c>
      <c r="C25">
        <v>1.0041495</v>
      </c>
      <c r="D25">
        <f t="shared" si="0"/>
        <v>1.1933233129617646</v>
      </c>
    </row>
    <row r="26" spans="1:4" hidden="1">
      <c r="A26" s="4">
        <v>45078</v>
      </c>
      <c r="B26">
        <v>0.38303300000000001</v>
      </c>
      <c r="C26">
        <v>1.00383033</v>
      </c>
      <c r="D26">
        <f t="shared" si="0"/>
        <v>1.1978941350471015</v>
      </c>
    </row>
    <row r="27" spans="1:4" hidden="1">
      <c r="A27" s="4">
        <v>45108</v>
      </c>
      <c r="B27">
        <v>0.35111999999999999</v>
      </c>
      <c r="C27">
        <v>1.0035111999999999</v>
      </c>
      <c r="D27">
        <f t="shared" si="0"/>
        <v>1.2021001809340788</v>
      </c>
    </row>
    <row r="28" spans="1:4" hidden="1">
      <c r="A28" s="4">
        <v>45139</v>
      </c>
      <c r="B28">
        <v>0.17555687203791467</v>
      </c>
      <c r="C28">
        <v>1.0017555687203792</v>
      </c>
      <c r="D28">
        <f t="shared" si="0"/>
        <v>1.2042105504104887</v>
      </c>
    </row>
    <row r="29" spans="1:4" hidden="1">
      <c r="A29" s="4">
        <v>45170</v>
      </c>
      <c r="B29">
        <v>9.5758293838862543E-2</v>
      </c>
      <c r="C29">
        <v>1.0009575829383885</v>
      </c>
      <c r="D29">
        <f t="shared" si="0"/>
        <v>1.2053636818877893</v>
      </c>
    </row>
    <row r="30" spans="1:4">
      <c r="A30" s="4">
        <v>45200</v>
      </c>
      <c r="B30">
        <v>0.12767772511848341</v>
      </c>
      <c r="C30">
        <v>1.0012767772511848</v>
      </c>
      <c r="D30">
        <f t="shared" si="0"/>
        <v>1.206902662816228</v>
      </c>
    </row>
    <row r="31" spans="1:4" hidden="1">
      <c r="A31" s="4">
        <v>45231</v>
      </c>
      <c r="B31">
        <v>0.66754478672985762</v>
      </c>
      <c r="C31">
        <v>1.0066754478672986</v>
      </c>
      <c r="D31">
        <f t="shared" si="0"/>
        <v>1.2149592786227617</v>
      </c>
    </row>
    <row r="32" spans="1:4" hidden="1">
      <c r="A32" s="4">
        <v>45261</v>
      </c>
      <c r="B32">
        <v>1.3776988151658764</v>
      </c>
      <c r="C32">
        <v>1.0137769881516587</v>
      </c>
      <c r="D32">
        <f t="shared" si="0"/>
        <v>1.2316977582090953</v>
      </c>
    </row>
    <row r="33" spans="1:4" hidden="1">
      <c r="A33" s="4">
        <v>45292</v>
      </c>
      <c r="B33">
        <v>0.59652938388625576</v>
      </c>
      <c r="C33">
        <v>1.0059652938388626</v>
      </c>
      <c r="D33">
        <f t="shared" si="0"/>
        <v>1.239045197257481</v>
      </c>
    </row>
    <row r="34" spans="1:4" hidden="1">
      <c r="A34" s="4">
        <v>45323</v>
      </c>
      <c r="B34">
        <v>0.46870165876777242</v>
      </c>
      <c r="C34">
        <v>1.0046870165876778</v>
      </c>
      <c r="D34">
        <f t="shared" si="0"/>
        <v>1.2448526226499093</v>
      </c>
    </row>
    <row r="35" spans="1:4" hidden="1">
      <c r="A35" s="4">
        <v>45352</v>
      </c>
      <c r="B35">
        <v>0.71015402843601882</v>
      </c>
      <c r="C35">
        <v>1.0071015402843602</v>
      </c>
      <c r="D35">
        <f t="shared" si="0"/>
        <v>1.253692993697749</v>
      </c>
    </row>
    <row r="36" spans="1:4">
      <c r="A36" s="4">
        <v>45383</v>
      </c>
      <c r="B36">
        <v>0.79537251184834112</v>
      </c>
      <c r="C36">
        <v>1.0079537251184834</v>
      </c>
      <c r="D36">
        <f t="shared" si="0"/>
        <v>1.2636645231525894</v>
      </c>
    </row>
    <row r="37" spans="1:4" hidden="1">
      <c r="A37" s="4">
        <v>45413</v>
      </c>
      <c r="B37">
        <v>0.3692800947867298</v>
      </c>
      <c r="C37">
        <v>1.0036928009478674</v>
      </c>
      <c r="D37">
        <f t="shared" si="0"/>
        <v>1.2683309847014737</v>
      </c>
    </row>
    <row r="38" spans="1:4" hidden="1">
      <c r="A38" s="4">
        <v>45444</v>
      </c>
      <c r="B38">
        <v>0.34087393364928903</v>
      </c>
      <c r="C38">
        <v>1.003408739336493</v>
      </c>
      <c r="D38">
        <f t="shared" si="0"/>
        <v>1.2726543944207185</v>
      </c>
    </row>
    <row r="39" spans="1:4" hidden="1">
      <c r="A39" s="4">
        <v>45474</v>
      </c>
      <c r="B39">
        <v>0.31246777251184826</v>
      </c>
      <c r="C39">
        <v>1.0031246777251184</v>
      </c>
      <c r="D39">
        <f t="shared" si="0"/>
        <v>1.2766310292587388</v>
      </c>
    </row>
    <row r="40" spans="1:4" hidden="1">
      <c r="A40" s="4">
        <v>45505</v>
      </c>
      <c r="B40">
        <v>0.15623388625592413</v>
      </c>
      <c r="C40">
        <v>1.0015623388625592</v>
      </c>
      <c r="D40">
        <f t="shared" si="0"/>
        <v>1.2786255595288987</v>
      </c>
    </row>
    <row r="41" spans="1:4" hidden="1">
      <c r="A41" s="4">
        <v>45536</v>
      </c>
      <c r="B41">
        <v>8.5218483412322257E-2</v>
      </c>
      <c r="C41">
        <v>1.0008521848341232</v>
      </c>
      <c r="D41">
        <f t="shared" si="0"/>
        <v>1.2797151848392514</v>
      </c>
    </row>
    <row r="42" spans="1:4">
      <c r="A42" s="4">
        <v>45566</v>
      </c>
      <c r="B42">
        <v>0.11362464454976301</v>
      </c>
      <c r="C42">
        <v>1.0011362464454976</v>
      </c>
      <c r="D42">
        <f t="shared" si="0"/>
        <v>1.2811692566692743</v>
      </c>
    </row>
    <row r="43" spans="1:4" hidden="1">
      <c r="A43" s="4">
        <v>45597</v>
      </c>
      <c r="B43">
        <v>0.64748625592417042</v>
      </c>
      <c r="C43">
        <v>1.0064748625592417</v>
      </c>
      <c r="D43">
        <f t="shared" si="0"/>
        <v>1.2894646515213337</v>
      </c>
    </row>
    <row r="44" spans="1:4" hidden="1">
      <c r="A44" s="4">
        <v>45627</v>
      </c>
      <c r="B44">
        <v>1.3363014218009477</v>
      </c>
      <c r="C44">
        <v>1.0133630142180095</v>
      </c>
      <c r="D44">
        <f t="shared" si="0"/>
        <v>1.306695785993234</v>
      </c>
    </row>
    <row r="45" spans="1:4" hidden="1">
      <c r="A45" s="4">
        <v>45658</v>
      </c>
      <c r="B45">
        <v>0.57860473933649281</v>
      </c>
      <c r="C45">
        <v>1.0057860473933649</v>
      </c>
      <c r="D45">
        <f t="shared" si="0"/>
        <v>1.314256389739701</v>
      </c>
    </row>
    <row r="46" spans="1:4" hidden="1">
      <c r="A46" s="4">
        <v>45689</v>
      </c>
      <c r="B46">
        <v>0.45461800947867292</v>
      </c>
      <c r="C46">
        <v>1.0045461800947868</v>
      </c>
      <c r="D46">
        <f t="shared" si="0"/>
        <v>1.320231235978182</v>
      </c>
    </row>
    <row r="47" spans="1:4" hidden="1">
      <c r="A47" s="4">
        <v>45717</v>
      </c>
      <c r="B47">
        <v>0.68881516587677716</v>
      </c>
      <c r="C47">
        <v>1.0068881516587678</v>
      </c>
      <c r="D47">
        <f t="shared" si="0"/>
        <v>1.3293251889562421</v>
      </c>
    </row>
    <row r="48" spans="1:4">
      <c r="A48" s="4">
        <v>45748</v>
      </c>
      <c r="B48">
        <v>0.77147298578199042</v>
      </c>
      <c r="C48">
        <v>1.00771472985782</v>
      </c>
      <c r="D48">
        <f t="shared" si="0"/>
        <v>1.339580573682235</v>
      </c>
    </row>
    <row r="49" spans="1:4" hidden="1">
      <c r="A49" s="4">
        <v>45778</v>
      </c>
      <c r="B49">
        <v>0.35818388625592412</v>
      </c>
      <c r="C49">
        <v>1.0035818388625593</v>
      </c>
      <c r="D49">
        <f t="shared" si="0"/>
        <v>1.3443787354405794</v>
      </c>
    </row>
    <row r="50" spans="1:4" hidden="1">
      <c r="A50" s="4">
        <v>45809</v>
      </c>
      <c r="B50">
        <v>0.33063127962085304</v>
      </c>
      <c r="C50">
        <v>1.0033063127962085</v>
      </c>
      <c r="D50">
        <f t="shared" si="0"/>
        <v>1.3488236720565172</v>
      </c>
    </row>
    <row r="51" spans="1:4" hidden="1">
      <c r="A51" s="4">
        <v>45839</v>
      </c>
      <c r="B51">
        <v>0.30307867298578195</v>
      </c>
      <c r="C51">
        <v>1.0030307867298578</v>
      </c>
      <c r="D51">
        <f t="shared" si="0"/>
        <v>1.3529116689427041</v>
      </c>
    </row>
    <row r="52" spans="1:4" hidden="1">
      <c r="A52" s="4">
        <v>45870</v>
      </c>
      <c r="B52">
        <v>0.15153933649289097</v>
      </c>
      <c r="C52">
        <v>1.001515393364929</v>
      </c>
      <c r="D52">
        <f t="shared" si="0"/>
        <v>1.3549618623091548</v>
      </c>
    </row>
    <row r="53" spans="1:4" hidden="1">
      <c r="A53" s="4">
        <v>45901</v>
      </c>
      <c r="B53">
        <v>8.2657819905213259E-2</v>
      </c>
      <c r="C53">
        <v>1.0008265781990522</v>
      </c>
      <c r="D53">
        <f t="shared" si="0"/>
        <v>1.3560818442450868</v>
      </c>
    </row>
    <row r="54" spans="1:4">
      <c r="A54" s="4">
        <v>45931</v>
      </c>
      <c r="B54">
        <v>0.11021042654028435</v>
      </c>
      <c r="C54">
        <v>1.0011021042654029</v>
      </c>
      <c r="D54">
        <f t="shared" si="0"/>
        <v>1.3575763878298648</v>
      </c>
    </row>
    <row r="55" spans="1:4" hidden="1">
      <c r="A55" s="4">
        <v>45962</v>
      </c>
      <c r="B55">
        <v>0.64681800947867285</v>
      </c>
      <c r="C55">
        <v>1.0064681800947868</v>
      </c>
      <c r="D55">
        <f t="shared" si="0"/>
        <v>1.3663574363987785</v>
      </c>
    </row>
    <row r="56" spans="1:4" hidden="1">
      <c r="A56" s="4">
        <v>45992</v>
      </c>
      <c r="B56">
        <v>1.3349222748815164</v>
      </c>
      <c r="C56">
        <v>1.0133492227488152</v>
      </c>
      <c r="D56">
        <f t="shared" si="0"/>
        <v>1.3845972461717659</v>
      </c>
    </row>
    <row r="57" spans="1:4" hidden="1">
      <c r="A57" s="4">
        <v>46023</v>
      </c>
      <c r="B57">
        <v>0.5780075829383885</v>
      </c>
      <c r="C57">
        <v>1.0057800758293838</v>
      </c>
      <c r="D57">
        <f t="shared" si="0"/>
        <v>1.3926003232477948</v>
      </c>
    </row>
    <row r="58" spans="1:4" hidden="1">
      <c r="A58" s="4">
        <v>46054</v>
      </c>
      <c r="B58">
        <v>0.45414881516587668</v>
      </c>
      <c r="C58">
        <v>1.0045414881516588</v>
      </c>
      <c r="D58">
        <f t="shared" si="0"/>
        <v>1.3989248011158208</v>
      </c>
    </row>
    <row r="59" spans="1:4" hidden="1">
      <c r="A59" s="4">
        <v>46082</v>
      </c>
      <c r="B59">
        <v>0.68810426540284353</v>
      </c>
      <c r="C59">
        <v>1.0068810426540284</v>
      </c>
      <c r="D59">
        <f t="shared" si="0"/>
        <v>1.408550862342077</v>
      </c>
    </row>
    <row r="60" spans="1:4">
      <c r="A60" s="4">
        <v>46113</v>
      </c>
      <c r="B60">
        <v>0.77067677725118466</v>
      </c>
      <c r="C60">
        <v>1.0077067677725118</v>
      </c>
      <c r="D60">
        <f t="shared" si="0"/>
        <v>1.4194062367339186</v>
      </c>
    </row>
    <row r="61" spans="1:4" hidden="1">
      <c r="A61" s="4">
        <v>46143</v>
      </c>
      <c r="B61">
        <v>0.3578142180094786</v>
      </c>
      <c r="C61">
        <v>1.0035781421800949</v>
      </c>
      <c r="D61">
        <f t="shared" si="0"/>
        <v>1.4244850740602659</v>
      </c>
    </row>
    <row r="62" spans="1:4" hidden="1">
      <c r="A62" s="4">
        <v>46174</v>
      </c>
      <c r="B62">
        <v>0.33029004739336487</v>
      </c>
      <c r="C62">
        <v>1.0033029004739336</v>
      </c>
      <c r="D62">
        <f t="shared" si="0"/>
        <v>1.4291900064864909</v>
      </c>
    </row>
    <row r="63" spans="1:4" hidden="1">
      <c r="A63" s="4">
        <v>46204</v>
      </c>
      <c r="B63">
        <v>0.30276587677725114</v>
      </c>
      <c r="C63">
        <v>1.0030276587677724</v>
      </c>
      <c r="D63">
        <f t="shared" si="0"/>
        <v>1.4335171061404424</v>
      </c>
    </row>
    <row r="64" spans="1:4" hidden="1">
      <c r="A64" s="4">
        <v>46235</v>
      </c>
      <c r="B64">
        <v>0.15138293838862557</v>
      </c>
      <c r="C64">
        <v>1.0015138293838863</v>
      </c>
      <c r="D64">
        <f t="shared" si="0"/>
        <v>1.4356872064580215</v>
      </c>
    </row>
    <row r="65" spans="1:4" hidden="1">
      <c r="A65" s="4">
        <v>46266</v>
      </c>
      <c r="B65">
        <v>8.2572511848341218E-2</v>
      </c>
      <c r="C65">
        <v>1.0008257251184833</v>
      </c>
      <c r="D65">
        <f t="shared" si="0"/>
        <v>1.436872689446679</v>
      </c>
    </row>
    <row r="66" spans="1:4">
      <c r="A66" s="4">
        <v>46296</v>
      </c>
      <c r="B66">
        <v>0.11009668246445496</v>
      </c>
      <c r="C66">
        <v>1.0011009668246444</v>
      </c>
      <c r="D66">
        <f t="shared" si="0"/>
        <v>1.4384546386089974</v>
      </c>
    </row>
    <row r="67" spans="1:4" hidden="1">
      <c r="A67" s="4">
        <v>46327</v>
      </c>
      <c r="B67">
        <v>0.65048222748815143</v>
      </c>
      <c r="C67">
        <v>1.0065048222748816</v>
      </c>
      <c r="D67">
        <f t="shared" si="0"/>
        <v>1.4478115303836279</v>
      </c>
    </row>
    <row r="68" spans="1:4" hidden="1">
      <c r="A68" s="4">
        <v>46357</v>
      </c>
      <c r="B68">
        <v>1.3424845971563977</v>
      </c>
      <c r="C68">
        <v>1.013424845971564</v>
      </c>
      <c r="D68">
        <f t="shared" ref="D68:D120" si="1">C68*D67</f>
        <v>1.4672481771748824</v>
      </c>
    </row>
    <row r="69" spans="1:4" hidden="1">
      <c r="A69" s="4">
        <v>46388</v>
      </c>
      <c r="B69">
        <v>0.5812819905213269</v>
      </c>
      <c r="C69">
        <v>1.0058128199052132</v>
      </c>
      <c r="D69">
        <f t="shared" si="1"/>
        <v>1.4757770265850523</v>
      </c>
    </row>
    <row r="70" spans="1:4" hidden="1">
      <c r="A70" s="4">
        <v>46419</v>
      </c>
      <c r="B70">
        <v>0.45672156398104258</v>
      </c>
      <c r="C70">
        <v>1.0045672156398104</v>
      </c>
      <c r="D70">
        <f t="shared" si="1"/>
        <v>1.4825172185017446</v>
      </c>
    </row>
    <row r="71" spans="1:4" hidden="1">
      <c r="A71" s="4">
        <v>46447</v>
      </c>
      <c r="B71">
        <v>0.69200236966824635</v>
      </c>
      <c r="C71">
        <v>1.0069200236966824</v>
      </c>
      <c r="D71">
        <f t="shared" si="1"/>
        <v>1.4927762727845164</v>
      </c>
    </row>
    <row r="72" spans="1:4">
      <c r="A72" s="4">
        <v>46478</v>
      </c>
      <c r="B72">
        <v>0.77504265402843586</v>
      </c>
      <c r="C72">
        <v>1.0077504265402843</v>
      </c>
      <c r="D72">
        <f t="shared" si="1"/>
        <v>1.5043459256278122</v>
      </c>
    </row>
    <row r="73" spans="1:4" hidden="1">
      <c r="A73" s="4">
        <v>46508</v>
      </c>
      <c r="B73">
        <v>0.35984123222748809</v>
      </c>
      <c r="C73">
        <v>1.003598412322275</v>
      </c>
      <c r="D73">
        <f t="shared" si="1"/>
        <v>1.5097591825435555</v>
      </c>
    </row>
    <row r="74" spans="1:4" hidden="1">
      <c r="A74" s="4">
        <v>46539</v>
      </c>
      <c r="B74">
        <v>0.3321611374407582</v>
      </c>
      <c r="C74">
        <v>1.0033216113744077</v>
      </c>
      <c r="D74">
        <f t="shared" si="1"/>
        <v>1.5147740158169085</v>
      </c>
    </row>
    <row r="75" spans="1:4" hidden="1">
      <c r="A75" s="4">
        <v>46569</v>
      </c>
      <c r="B75">
        <v>0.30448104265402837</v>
      </c>
      <c r="C75">
        <v>1.0030448104265404</v>
      </c>
      <c r="D75">
        <f t="shared" si="1"/>
        <v>1.5193862155341202</v>
      </c>
    </row>
    <row r="76" spans="1:4" hidden="1">
      <c r="A76" s="4">
        <v>46600</v>
      </c>
      <c r="B76">
        <v>0.15224052132701418</v>
      </c>
      <c r="C76">
        <v>1.0015224052132701</v>
      </c>
      <c r="D76">
        <f t="shared" si="1"/>
        <v>1.5216993370296201</v>
      </c>
    </row>
    <row r="77" spans="1:4" hidden="1">
      <c r="A77" s="4">
        <v>46631</v>
      </c>
      <c r="B77">
        <v>8.3040284360189551E-2</v>
      </c>
      <c r="C77">
        <v>1.0008304028436019</v>
      </c>
      <c r="D77">
        <f t="shared" si="1"/>
        <v>1.5229629604861967</v>
      </c>
    </row>
    <row r="78" spans="1:4">
      <c r="A78" s="4">
        <v>46661</v>
      </c>
      <c r="B78">
        <v>0.11072037914691941</v>
      </c>
      <c r="C78">
        <v>1.0011072037914692</v>
      </c>
      <c r="D78">
        <f t="shared" si="1"/>
        <v>1.5246491908503141</v>
      </c>
    </row>
    <row r="79" spans="1:4" hidden="1">
      <c r="A79" s="4">
        <v>46692</v>
      </c>
      <c r="B79">
        <v>0.65446943127962065</v>
      </c>
      <c r="C79">
        <v>1.0065446943127963</v>
      </c>
      <c r="D79">
        <f t="shared" si="1"/>
        <v>1.5346275537386815</v>
      </c>
    </row>
    <row r="80" spans="1:4" hidden="1">
      <c r="A80" s="4">
        <v>46722</v>
      </c>
      <c r="B80">
        <v>1.3507135071090044</v>
      </c>
      <c r="C80">
        <v>1.01350713507109</v>
      </c>
      <c r="D80">
        <f t="shared" si="1"/>
        <v>1.5553559753908464</v>
      </c>
    </row>
    <row r="81" spans="1:4" hidden="1">
      <c r="A81" s="4">
        <v>46753</v>
      </c>
      <c r="B81">
        <v>0.58484502369668234</v>
      </c>
      <c r="C81">
        <v>1.0058484502369669</v>
      </c>
      <c r="D81">
        <f t="shared" si="1"/>
        <v>1.5644523974136888</v>
      </c>
    </row>
    <row r="82" spans="1:4" hidden="1">
      <c r="A82" s="4">
        <v>46784</v>
      </c>
      <c r="B82">
        <v>0.45952109004739328</v>
      </c>
      <c r="C82">
        <v>1.0045952109004739</v>
      </c>
      <c r="D82">
        <f t="shared" si="1"/>
        <v>1.5716413861235567</v>
      </c>
    </row>
    <row r="83" spans="1:4" hidden="1">
      <c r="A83" s="4">
        <v>46813</v>
      </c>
      <c r="B83">
        <v>0.69624407582938375</v>
      </c>
      <c r="C83">
        <v>1.0069624407582938</v>
      </c>
      <c r="D83">
        <f t="shared" si="1"/>
        <v>1.5825838461677246</v>
      </c>
    </row>
    <row r="84" spans="1:4">
      <c r="A84" s="4">
        <v>46844</v>
      </c>
      <c r="B84">
        <v>0.77979336492890983</v>
      </c>
      <c r="C84">
        <v>1.007797933649289</v>
      </c>
      <c r="D84">
        <f t="shared" si="1"/>
        <v>1.5949247299945772</v>
      </c>
    </row>
    <row r="85" spans="1:4" hidden="1">
      <c r="A85" s="4">
        <v>46874</v>
      </c>
      <c r="B85">
        <v>0.36204691943127953</v>
      </c>
      <c r="C85">
        <v>1.0036204691943127</v>
      </c>
      <c r="D85">
        <f t="shared" si="1"/>
        <v>1.6006991058467701</v>
      </c>
    </row>
    <row r="86" spans="1:4" hidden="1">
      <c r="A86" s="4">
        <v>46905</v>
      </c>
      <c r="B86">
        <v>0.33419715639810421</v>
      </c>
      <c r="C86">
        <v>1.0033419715639811</v>
      </c>
      <c r="D86">
        <f t="shared" si="1"/>
        <v>1.6060485967409999</v>
      </c>
    </row>
    <row r="87" spans="1:4" hidden="1">
      <c r="A87" s="4">
        <v>46935</v>
      </c>
      <c r="B87">
        <v>0.30634739336492883</v>
      </c>
      <c r="C87">
        <v>1.0030634739336493</v>
      </c>
      <c r="D87">
        <f t="shared" si="1"/>
        <v>1.6109686847532898</v>
      </c>
    </row>
    <row r="88" spans="1:4" hidden="1">
      <c r="A88" s="4">
        <v>46966</v>
      </c>
      <c r="B88">
        <v>0.15317369668246442</v>
      </c>
      <c r="C88">
        <v>1.0015317369668246</v>
      </c>
      <c r="D88">
        <f t="shared" si="1"/>
        <v>1.6134362650401233</v>
      </c>
    </row>
    <row r="89" spans="1:4" hidden="1">
      <c r="A89" s="4">
        <v>46997</v>
      </c>
      <c r="B89">
        <v>8.3549289099526053E-2</v>
      </c>
      <c r="C89">
        <v>1.0008354928909953</v>
      </c>
      <c r="D89">
        <f t="shared" si="1"/>
        <v>1.6147842795696383</v>
      </c>
    </row>
    <row r="90" spans="1:4">
      <c r="A90" s="4">
        <v>47027</v>
      </c>
      <c r="B90">
        <v>0.1113990521327014</v>
      </c>
      <c r="C90">
        <v>1.0011139905213271</v>
      </c>
      <c r="D90">
        <f t="shared" si="1"/>
        <v>1.616583133951067</v>
      </c>
    </row>
    <row r="91" spans="1:4" hidden="1">
      <c r="A91" s="4">
        <v>47058</v>
      </c>
      <c r="B91">
        <v>0.65791090047393341</v>
      </c>
      <c r="C91">
        <v>1.0065791090047393</v>
      </c>
      <c r="D91">
        <f t="shared" si="1"/>
        <v>1.6272188106045542</v>
      </c>
    </row>
    <row r="92" spans="1:4" hidden="1">
      <c r="A92" s="4">
        <v>47088</v>
      </c>
      <c r="B92">
        <v>1.3578161137440754</v>
      </c>
      <c r="C92">
        <v>1.0135781611374408</v>
      </c>
      <c r="D92">
        <f t="shared" si="1"/>
        <v>1.6493134498208175</v>
      </c>
    </row>
    <row r="93" spans="1:4" hidden="1">
      <c r="A93" s="4">
        <v>47119</v>
      </c>
      <c r="B93">
        <v>0.5879203791469193</v>
      </c>
      <c r="C93">
        <v>1.0058792037914692</v>
      </c>
      <c r="D93">
        <f t="shared" si="1"/>
        <v>1.6590100997083252</v>
      </c>
    </row>
    <row r="94" spans="1:4" hidden="1">
      <c r="A94" s="4">
        <v>47150</v>
      </c>
      <c r="B94">
        <v>0.46193744075829374</v>
      </c>
      <c r="C94">
        <v>1.0046193744075829</v>
      </c>
      <c r="D94">
        <f t="shared" si="1"/>
        <v>1.6666736885048394</v>
      </c>
    </row>
    <row r="95" spans="1:4" hidden="1">
      <c r="A95" s="4">
        <v>47178</v>
      </c>
      <c r="B95">
        <v>0.6999052132701421</v>
      </c>
      <c r="C95">
        <v>1.0069990521327015</v>
      </c>
      <c r="D95">
        <f t="shared" si="1"/>
        <v>1.6783388245388866</v>
      </c>
    </row>
    <row r="96" spans="1:4">
      <c r="A96" s="4">
        <v>47209</v>
      </c>
      <c r="B96">
        <v>0.78389383886255903</v>
      </c>
      <c r="C96">
        <v>1.0078389383886255</v>
      </c>
      <c r="D96">
        <f t="shared" si="1"/>
        <v>1.691495219179685</v>
      </c>
    </row>
    <row r="97" spans="1:4" hidden="1">
      <c r="A97" s="4">
        <v>47239</v>
      </c>
      <c r="B97">
        <v>0.36395071090047387</v>
      </c>
      <c r="C97">
        <v>1.0036395071090047</v>
      </c>
      <c r="D97">
        <f t="shared" si="1"/>
        <v>1.697651428054737</v>
      </c>
    </row>
    <row r="98" spans="1:4" hidden="1">
      <c r="A98" s="4">
        <v>47270</v>
      </c>
      <c r="B98">
        <v>0.33595450236966817</v>
      </c>
      <c r="C98">
        <v>1.0033595450236967</v>
      </c>
      <c r="D98">
        <f t="shared" si="1"/>
        <v>1.7033547644618299</v>
      </c>
    </row>
    <row r="99" spans="1:4" hidden="1">
      <c r="A99" s="4">
        <v>47300</v>
      </c>
      <c r="B99">
        <v>0.30795829383886247</v>
      </c>
      <c r="C99">
        <v>1.0030795829383887</v>
      </c>
      <c r="D99">
        <f t="shared" si="1"/>
        <v>1.7086003867324897</v>
      </c>
    </row>
    <row r="100" spans="1:4" hidden="1">
      <c r="A100" s="4">
        <v>47331</v>
      </c>
      <c r="B100">
        <v>0.15397914691943124</v>
      </c>
      <c r="C100">
        <v>1.0015397914691944</v>
      </c>
      <c r="D100">
        <f t="shared" si="1"/>
        <v>1.7112312750322425</v>
      </c>
    </row>
    <row r="101" spans="1:4" hidden="1">
      <c r="A101" s="4">
        <v>47362</v>
      </c>
      <c r="B101">
        <v>8.3988625592417043E-2</v>
      </c>
      <c r="C101">
        <v>1.0008398862559242</v>
      </c>
      <c r="D101">
        <f t="shared" si="1"/>
        <v>1.7126685146608498</v>
      </c>
    </row>
    <row r="102" spans="1:4">
      <c r="A102" s="4">
        <v>47392</v>
      </c>
      <c r="B102">
        <v>0.11198483412322273</v>
      </c>
      <c r="C102">
        <v>1.0011198483412322</v>
      </c>
      <c r="D102">
        <f t="shared" si="1"/>
        <v>1.7145864436560734</v>
      </c>
    </row>
    <row r="103" spans="1:4" hidden="1">
      <c r="A103" s="4">
        <v>47423</v>
      </c>
      <c r="B103">
        <v>0.66068412322274861</v>
      </c>
      <c r="C103">
        <v>1.0066068412322275</v>
      </c>
      <c r="D103">
        <f t="shared" si="1"/>
        <v>1.7259144440682388</v>
      </c>
    </row>
    <row r="104" spans="1:4" hidden="1">
      <c r="A104" s="4">
        <v>47453</v>
      </c>
      <c r="B104">
        <v>1.3635395734597153</v>
      </c>
      <c r="C104">
        <v>1.0136353957345972</v>
      </c>
      <c r="D104">
        <f t="shared" si="1"/>
        <v>1.7494479705171664</v>
      </c>
    </row>
    <row r="105" spans="1:4" hidden="1">
      <c r="A105" s="4">
        <v>47484</v>
      </c>
      <c r="B105">
        <v>0.59039857819905206</v>
      </c>
      <c r="C105">
        <v>1.0059039857819905</v>
      </c>
      <c r="D105">
        <f t="shared" si="1"/>
        <v>1.7597766864614319</v>
      </c>
    </row>
    <row r="106" spans="1:4" hidden="1">
      <c r="A106" s="4">
        <v>47515</v>
      </c>
      <c r="B106">
        <v>0.46388459715639807</v>
      </c>
      <c r="C106">
        <v>1.0046388459715641</v>
      </c>
      <c r="D106">
        <f t="shared" si="1"/>
        <v>1.7679400194542758</v>
      </c>
    </row>
    <row r="107" spans="1:4" hidden="1">
      <c r="A107" s="4">
        <v>47543</v>
      </c>
      <c r="B107">
        <v>0.70285545023696683</v>
      </c>
      <c r="C107">
        <v>1.0070285545023696</v>
      </c>
      <c r="D107">
        <f t="shared" si="1"/>
        <v>1.7803660822379306</v>
      </c>
    </row>
    <row r="108" spans="1:4">
      <c r="A108" s="4">
        <v>47574</v>
      </c>
      <c r="B108">
        <v>0.78719810426540271</v>
      </c>
      <c r="C108">
        <v>1.007871981042654</v>
      </c>
      <c r="D108">
        <f t="shared" si="1"/>
        <v>1.7943810902862918</v>
      </c>
    </row>
    <row r="109" spans="1:4" hidden="1">
      <c r="A109" s="4">
        <v>47604</v>
      </c>
      <c r="B109">
        <v>0.36548483412322269</v>
      </c>
      <c r="C109">
        <v>1.0036548483412322</v>
      </c>
      <c r="D109">
        <f t="shared" si="1"/>
        <v>1.800939281037663</v>
      </c>
    </row>
    <row r="110" spans="1:4" hidden="1">
      <c r="A110" s="4">
        <v>47635</v>
      </c>
      <c r="B110">
        <v>0.33737061611374403</v>
      </c>
      <c r="C110">
        <v>1.0033737061611374</v>
      </c>
      <c r="D110">
        <f t="shared" si="1"/>
        <v>1.8070151209859342</v>
      </c>
    </row>
    <row r="111" spans="1:4" hidden="1">
      <c r="A111" s="4">
        <v>47665</v>
      </c>
      <c r="B111">
        <v>0.30925639810426536</v>
      </c>
      <c r="C111">
        <v>1.0030925639810426</v>
      </c>
      <c r="D111">
        <f t="shared" si="1"/>
        <v>1.8126034308622947</v>
      </c>
    </row>
    <row r="112" spans="1:4" hidden="1">
      <c r="A112" s="4">
        <v>47696</v>
      </c>
      <c r="B112">
        <v>0.15462819905213268</v>
      </c>
      <c r="C112">
        <v>1.0015462819905214</v>
      </c>
      <c r="D112">
        <f t="shared" si="1"/>
        <v>1.8154062269033944</v>
      </c>
    </row>
    <row r="113" spans="1:4" hidden="1">
      <c r="A113" s="4">
        <v>47727</v>
      </c>
      <c r="B113">
        <v>8.4342654028436007E-2</v>
      </c>
      <c r="C113">
        <v>1.0008434265402844</v>
      </c>
      <c r="D113">
        <f t="shared" si="1"/>
        <v>1.8169373886965621</v>
      </c>
    </row>
    <row r="114" spans="1:4">
      <c r="A114" s="4">
        <v>47757</v>
      </c>
      <c r="B114">
        <v>0.11245687203791468</v>
      </c>
      <c r="C114">
        <v>1.0011245687203791</v>
      </c>
      <c r="D114">
        <f t="shared" si="1"/>
        <v>1.8189806596507776</v>
      </c>
    </row>
    <row r="115" spans="1:4" hidden="1">
      <c r="A115" s="4">
        <v>47788</v>
      </c>
      <c r="B115">
        <v>0.66295616113744049</v>
      </c>
      <c r="C115">
        <v>1.0066295616113745</v>
      </c>
      <c r="D115">
        <f t="shared" si="1"/>
        <v>1.8310397040038311</v>
      </c>
    </row>
    <row r="116" spans="1:4" hidden="1">
      <c r="A116" s="4">
        <v>47818</v>
      </c>
      <c r="B116">
        <v>1.3682286729857818</v>
      </c>
      <c r="C116">
        <v>1.0136822867298578</v>
      </c>
      <c r="D116">
        <f t="shared" si="1"/>
        <v>1.8560925142477656</v>
      </c>
    </row>
    <row r="117" spans="1:4" hidden="1">
      <c r="A117" s="4">
        <v>47849</v>
      </c>
      <c r="B117">
        <v>0.59242890995260655</v>
      </c>
      <c r="C117">
        <v>1.0059242890995261</v>
      </c>
      <c r="D117">
        <f t="shared" si="1"/>
        <v>1.8670885428976356</v>
      </c>
    </row>
    <row r="118" spans="1:4" hidden="1">
      <c r="A118" s="4">
        <v>47880</v>
      </c>
      <c r="B118">
        <v>0.46547985781990514</v>
      </c>
      <c r="C118">
        <v>1.0046547985781991</v>
      </c>
      <c r="D118">
        <f t="shared" si="1"/>
        <v>1.8757794639924872</v>
      </c>
    </row>
    <row r="119" spans="1:4" hidden="1">
      <c r="A119" s="4">
        <v>47908</v>
      </c>
      <c r="B119">
        <v>0.70527251184834117</v>
      </c>
      <c r="C119">
        <v>1.0070527251184833</v>
      </c>
      <c r="D119">
        <f t="shared" si="1"/>
        <v>1.8890088209349221</v>
      </c>
    </row>
    <row r="120" spans="1:4">
      <c r="A120" s="4">
        <v>47939</v>
      </c>
      <c r="B120">
        <v>0.78990521327014207</v>
      </c>
      <c r="C120">
        <v>1.0078990521327014</v>
      </c>
      <c r="D120">
        <f t="shared" si="1"/>
        <v>1.9039302000906198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F1686-D795-4F81-993C-6525194FD93A}">
  <dimension ref="A1:D182"/>
  <sheetViews>
    <sheetView workbookViewId="0">
      <selection activeCell="C121" sqref="B2:C121"/>
    </sheetView>
  </sheetViews>
  <sheetFormatPr defaultRowHeight="15"/>
  <cols>
    <col min="1" max="1" width="11.140625" customWidth="1"/>
    <col min="2" max="2" width="10.140625" customWidth="1"/>
    <col min="4" max="4" width="13" customWidth="1"/>
  </cols>
  <sheetData>
    <row r="1" spans="1:4">
      <c r="A1" t="s">
        <v>21</v>
      </c>
      <c r="B1" t="s">
        <v>150</v>
      </c>
      <c r="C1" t="s">
        <v>22</v>
      </c>
      <c r="D1" t="s">
        <v>149</v>
      </c>
    </row>
    <row r="2" spans="1:4">
      <c r="A2" s="4">
        <v>44287</v>
      </c>
      <c r="B2" s="5">
        <v>0.31</v>
      </c>
      <c r="C2">
        <v>1.0031000000000001</v>
      </c>
      <c r="D2">
        <v>1.0031000000000001</v>
      </c>
    </row>
    <row r="3" spans="1:4">
      <c r="A3" s="4">
        <v>44317</v>
      </c>
      <c r="B3">
        <v>0.83</v>
      </c>
      <c r="C3">
        <v>1.0083</v>
      </c>
      <c r="D3">
        <f>C3*D2</f>
        <v>1.01142573</v>
      </c>
    </row>
    <row r="4" spans="1:4">
      <c r="A4" s="4">
        <v>44348</v>
      </c>
      <c r="B4">
        <v>0.53</v>
      </c>
      <c r="C4">
        <v>1.0053000000000001</v>
      </c>
      <c r="D4">
        <f t="shared" ref="D4:D67" si="0">C4*D3</f>
        <v>1.016786286369</v>
      </c>
    </row>
    <row r="5" spans="1:4">
      <c r="A5" s="4">
        <v>44378</v>
      </c>
      <c r="B5">
        <v>0.96</v>
      </c>
      <c r="C5">
        <v>1.0096000000000001</v>
      </c>
      <c r="D5">
        <f t="shared" si="0"/>
        <v>1.0265474347181425</v>
      </c>
    </row>
    <row r="6" spans="1:4">
      <c r="A6" s="4">
        <v>44409</v>
      </c>
      <c r="B6">
        <v>0.87</v>
      </c>
      <c r="C6">
        <v>1.0086999999999999</v>
      </c>
      <c r="D6">
        <f t="shared" si="0"/>
        <v>1.0354783974001902</v>
      </c>
    </row>
    <row r="7" spans="1:4">
      <c r="A7" s="4">
        <v>44440</v>
      </c>
      <c r="B7">
        <v>1.1599999999999999</v>
      </c>
      <c r="C7">
        <v>1.0116000000000001</v>
      </c>
      <c r="D7">
        <f t="shared" si="0"/>
        <v>1.0474899468100325</v>
      </c>
    </row>
    <row r="8" spans="1:4">
      <c r="A8" s="4">
        <v>44470</v>
      </c>
      <c r="B8">
        <v>1.25</v>
      </c>
      <c r="C8">
        <v>1.0125</v>
      </c>
      <c r="D8">
        <f t="shared" si="0"/>
        <v>1.0605835711451579</v>
      </c>
    </row>
    <row r="9" spans="1:4">
      <c r="A9" s="4">
        <v>44501</v>
      </c>
      <c r="B9">
        <v>0.95</v>
      </c>
      <c r="C9">
        <v>1.0095000000000001</v>
      </c>
      <c r="D9">
        <f t="shared" si="0"/>
        <v>1.0706591150710369</v>
      </c>
    </row>
    <row r="10" spans="1:4">
      <c r="A10" s="4">
        <v>44531</v>
      </c>
      <c r="B10">
        <v>0.73</v>
      </c>
      <c r="C10">
        <v>1.0073000000000001</v>
      </c>
      <c r="D10">
        <f t="shared" si="0"/>
        <v>1.0784749266110556</v>
      </c>
    </row>
    <row r="11" spans="1:4">
      <c r="A11" s="4">
        <v>44562</v>
      </c>
      <c r="B11">
        <v>0.54</v>
      </c>
      <c r="C11">
        <v>1.0054000000000001</v>
      </c>
      <c r="D11">
        <f t="shared" si="0"/>
        <v>1.0842986912147554</v>
      </c>
    </row>
    <row r="12" spans="1:4">
      <c r="A12" s="4">
        <v>44593</v>
      </c>
      <c r="B12">
        <v>1.01</v>
      </c>
      <c r="C12">
        <v>1.0101</v>
      </c>
      <c r="D12">
        <f t="shared" si="0"/>
        <v>1.0952501079960244</v>
      </c>
    </row>
    <row r="13" spans="1:4">
      <c r="A13" s="4">
        <v>44621</v>
      </c>
      <c r="B13">
        <v>1.62</v>
      </c>
      <c r="C13">
        <v>1.0162</v>
      </c>
      <c r="D13">
        <f t="shared" si="0"/>
        <v>1.11299315974556</v>
      </c>
    </row>
    <row r="14" spans="1:4">
      <c r="A14" s="4">
        <v>44652</v>
      </c>
      <c r="B14">
        <v>1.06</v>
      </c>
      <c r="C14">
        <v>1.0105999999999999</v>
      </c>
      <c r="D14">
        <f t="shared" si="0"/>
        <v>1.1247908872388628</v>
      </c>
    </row>
    <row r="15" spans="1:4">
      <c r="A15" s="4">
        <v>44682</v>
      </c>
      <c r="B15">
        <v>0.47</v>
      </c>
      <c r="C15">
        <v>1.0046999999999999</v>
      </c>
      <c r="D15">
        <f t="shared" si="0"/>
        <v>1.1300774044088853</v>
      </c>
    </row>
    <row r="16" spans="1:4">
      <c r="A16" s="4">
        <v>44713</v>
      </c>
      <c r="B16">
        <v>0.67</v>
      </c>
      <c r="C16">
        <v>1.0066999999999999</v>
      </c>
      <c r="D16">
        <f t="shared" si="0"/>
        <v>1.1376489230184248</v>
      </c>
    </row>
    <row r="17" spans="1:4">
      <c r="A17" s="4">
        <v>44743</v>
      </c>
      <c r="B17">
        <v>-0.68</v>
      </c>
      <c r="C17">
        <v>0.99319999999999997</v>
      </c>
      <c r="D17">
        <f t="shared" si="0"/>
        <v>1.1299129103418994</v>
      </c>
    </row>
    <row r="18" spans="1:4">
      <c r="A18" s="4">
        <v>44774</v>
      </c>
      <c r="B18">
        <v>-0.36</v>
      </c>
      <c r="C18">
        <v>0.99639999999999995</v>
      </c>
      <c r="D18">
        <f t="shared" si="0"/>
        <v>1.1258452238646686</v>
      </c>
    </row>
    <row r="19" spans="1:4">
      <c r="A19" s="4">
        <v>44805</v>
      </c>
      <c r="B19">
        <v>-0.28999999999999998</v>
      </c>
      <c r="C19">
        <v>0.99709999999999999</v>
      </c>
      <c r="D19">
        <f t="shared" si="0"/>
        <v>1.122580272715461</v>
      </c>
    </row>
    <row r="20" spans="1:4">
      <c r="A20" s="4">
        <v>44835</v>
      </c>
      <c r="B20">
        <v>0.33</v>
      </c>
      <c r="C20">
        <v>1.0033000000000001</v>
      </c>
      <c r="D20">
        <f t="shared" si="0"/>
        <v>1.1262847876154221</v>
      </c>
    </row>
    <row r="21" spans="1:4">
      <c r="A21" s="4">
        <v>44866</v>
      </c>
      <c r="B21">
        <v>0.94638500140897963</v>
      </c>
      <c r="C21">
        <v>1.0094638500140898</v>
      </c>
      <c r="D21">
        <f t="shared" si="0"/>
        <v>1.1369437779185654</v>
      </c>
    </row>
    <row r="22" spans="1:4">
      <c r="A22" s="4">
        <v>44896</v>
      </c>
      <c r="B22">
        <v>1.9531775560993834</v>
      </c>
      <c r="C22">
        <v>1.0195317755609938</v>
      </c>
      <c r="D22">
        <f t="shared" si="0"/>
        <v>1.1591503086143393</v>
      </c>
    </row>
    <row r="23" spans="1:4">
      <c r="A23" s="4">
        <v>44927</v>
      </c>
      <c r="B23">
        <v>0.84570574593993919</v>
      </c>
      <c r="C23">
        <v>1.0084570574593994</v>
      </c>
      <c r="D23">
        <f t="shared" si="0"/>
        <v>1.1689533093783713</v>
      </c>
    </row>
    <row r="24" spans="1:4">
      <c r="A24" s="4">
        <v>44958</v>
      </c>
      <c r="B24">
        <v>0.66448308609566664</v>
      </c>
      <c r="C24">
        <v>1.0066448308609566</v>
      </c>
      <c r="D24">
        <f t="shared" si="0"/>
        <v>1.1767208064035459</v>
      </c>
    </row>
    <row r="25" spans="1:4">
      <c r="A25" s="4">
        <v>44986</v>
      </c>
      <c r="B25">
        <v>1.006792554690404</v>
      </c>
      <c r="C25">
        <v>1.0100679255469041</v>
      </c>
      <c r="D25">
        <f t="shared" si="0"/>
        <v>1.1885679438719097</v>
      </c>
    </row>
    <row r="26" spans="1:4">
      <c r="A26" s="4">
        <v>45017</v>
      </c>
      <c r="B26">
        <v>1.1276076612532524</v>
      </c>
      <c r="C26">
        <v>1.0112760766125326</v>
      </c>
      <c r="D26">
        <f t="shared" si="0"/>
        <v>1.2019703270662097</v>
      </c>
    </row>
    <row r="27" spans="1:4">
      <c r="A27" s="4">
        <v>45047</v>
      </c>
      <c r="B27">
        <v>0.41494999999999999</v>
      </c>
      <c r="C27">
        <v>1.0041495</v>
      </c>
      <c r="D27">
        <f t="shared" si="0"/>
        <v>1.206957902938371</v>
      </c>
    </row>
    <row r="28" spans="1:4">
      <c r="A28" s="4">
        <v>45078</v>
      </c>
      <c r="B28">
        <v>0.38303300000000001</v>
      </c>
      <c r="C28">
        <v>1.00383033</v>
      </c>
      <c r="D28">
        <f t="shared" si="0"/>
        <v>1.211580950002733</v>
      </c>
    </row>
    <row r="29" spans="1:4">
      <c r="A29" s="4">
        <v>45108</v>
      </c>
      <c r="B29">
        <v>0.35111999999999999</v>
      </c>
      <c r="C29">
        <v>1.0035111999999999</v>
      </c>
      <c r="D29">
        <f t="shared" si="0"/>
        <v>1.2158350530343824</v>
      </c>
    </row>
    <row r="30" spans="1:4">
      <c r="A30" s="4">
        <v>45139</v>
      </c>
      <c r="B30">
        <v>0.17555687203791467</v>
      </c>
      <c r="C30">
        <v>1.0017555687203792</v>
      </c>
      <c r="D30">
        <f t="shared" si="0"/>
        <v>1.2179695350226303</v>
      </c>
    </row>
    <row r="31" spans="1:4">
      <c r="A31" s="4">
        <v>45170</v>
      </c>
      <c r="B31">
        <v>9.5758293838862543E-2</v>
      </c>
      <c r="C31">
        <v>1.0009575829383885</v>
      </c>
      <c r="D31">
        <f t="shared" si="0"/>
        <v>1.2191358418688449</v>
      </c>
    </row>
    <row r="32" spans="1:4">
      <c r="A32" s="4">
        <v>45200</v>
      </c>
      <c r="B32">
        <v>0.12767772511848341</v>
      </c>
      <c r="C32">
        <v>1.0012767772511848</v>
      </c>
      <c r="D32">
        <f t="shared" si="0"/>
        <v>1.2206924067778471</v>
      </c>
    </row>
    <row r="33" spans="1:4">
      <c r="A33" s="4">
        <v>45231</v>
      </c>
      <c r="B33">
        <v>0.66754478672985762</v>
      </c>
      <c r="C33">
        <v>1.0066754478672986</v>
      </c>
      <c r="D33">
        <f t="shared" si="0"/>
        <v>1.2288410753012997</v>
      </c>
    </row>
    <row r="34" spans="1:4">
      <c r="A34" s="4">
        <v>45261</v>
      </c>
      <c r="B34">
        <v>1.3776988151658764</v>
      </c>
      <c r="C34">
        <v>1.0137769881516587</v>
      </c>
      <c r="D34">
        <f t="shared" si="0"/>
        <v>1.2457708042359974</v>
      </c>
    </row>
    <row r="35" spans="1:4">
      <c r="A35" s="4">
        <v>45292</v>
      </c>
      <c r="B35">
        <v>0.59652938388625576</v>
      </c>
      <c r="C35">
        <v>1.0059652938388626</v>
      </c>
      <c r="D35">
        <f t="shared" si="0"/>
        <v>1.2532021931391413</v>
      </c>
    </row>
    <row r="36" spans="1:4">
      <c r="A36" s="4">
        <v>45323</v>
      </c>
      <c r="B36">
        <v>0.46870165876777242</v>
      </c>
      <c r="C36">
        <v>1.0046870165876778</v>
      </c>
      <c r="D36">
        <f t="shared" si="0"/>
        <v>1.2590759726060987</v>
      </c>
    </row>
    <row r="37" spans="1:4">
      <c r="A37" s="4">
        <v>45352</v>
      </c>
      <c r="B37">
        <v>0.71015402843601882</v>
      </c>
      <c r="C37">
        <v>1.0071015402843602</v>
      </c>
      <c r="D37">
        <f t="shared" si="0"/>
        <v>1.2680173513466308</v>
      </c>
    </row>
    <row r="38" spans="1:4">
      <c r="A38" s="4">
        <v>45383</v>
      </c>
      <c r="B38">
        <v>0.79537251184834112</v>
      </c>
      <c r="C38">
        <v>1.0079537251184834</v>
      </c>
      <c r="D38">
        <f t="shared" si="0"/>
        <v>1.2781028128047094</v>
      </c>
    </row>
    <row r="39" spans="1:4">
      <c r="A39" s="4">
        <v>45413</v>
      </c>
      <c r="B39">
        <v>0.3692800947867298</v>
      </c>
      <c r="C39">
        <v>1.0036928009478674</v>
      </c>
      <c r="D39">
        <f t="shared" si="0"/>
        <v>1.2828225920833065</v>
      </c>
    </row>
    <row r="40" spans="1:4">
      <c r="A40" s="4">
        <v>45444</v>
      </c>
      <c r="B40">
        <v>0.34087393364928903</v>
      </c>
      <c r="C40">
        <v>1.003408739336493</v>
      </c>
      <c r="D40">
        <f t="shared" si="0"/>
        <v>1.2871953999146828</v>
      </c>
    </row>
    <row r="41" spans="1:4">
      <c r="A41" s="4">
        <v>45474</v>
      </c>
      <c r="B41">
        <v>0.31246777251184826</v>
      </c>
      <c r="C41">
        <v>1.0031246777251184</v>
      </c>
      <c r="D41">
        <f t="shared" si="0"/>
        <v>1.291217470708671</v>
      </c>
    </row>
    <row r="42" spans="1:4">
      <c r="A42" s="4">
        <v>45505</v>
      </c>
      <c r="B42">
        <v>0.15623388625592413</v>
      </c>
      <c r="C42">
        <v>1.0015623388625592</v>
      </c>
      <c r="D42">
        <f t="shared" si="0"/>
        <v>1.2932347899431744</v>
      </c>
    </row>
    <row r="43" spans="1:4">
      <c r="A43" s="4">
        <v>45536</v>
      </c>
      <c r="B43">
        <v>8.5218483412322257E-2</v>
      </c>
      <c r="C43">
        <v>1.0008521848341232</v>
      </c>
      <c r="D43">
        <f t="shared" si="0"/>
        <v>1.2943368650181244</v>
      </c>
    </row>
    <row r="44" spans="1:4">
      <c r="A44" s="4">
        <v>45566</v>
      </c>
      <c r="B44">
        <v>0.11362464454976301</v>
      </c>
      <c r="C44">
        <v>1.0011362464454976</v>
      </c>
      <c r="D44">
        <f t="shared" si="0"/>
        <v>1.2958075506802778</v>
      </c>
    </row>
    <row r="45" spans="1:4">
      <c r="A45" s="4">
        <v>45597</v>
      </c>
      <c r="B45">
        <v>0.64748625592417042</v>
      </c>
      <c r="C45">
        <v>1.0064748625592417</v>
      </c>
      <c r="D45">
        <f t="shared" si="0"/>
        <v>1.3041977264741602</v>
      </c>
    </row>
    <row r="46" spans="1:4">
      <c r="A46" s="4">
        <v>45627</v>
      </c>
      <c r="B46">
        <v>1.3363014218009477</v>
      </c>
      <c r="C46">
        <v>1.0133630142180095</v>
      </c>
      <c r="D46">
        <f t="shared" si="0"/>
        <v>1.3216257392361299</v>
      </c>
    </row>
    <row r="47" spans="1:4">
      <c r="A47" s="4">
        <v>45658</v>
      </c>
      <c r="B47">
        <v>0.57860473933649281</v>
      </c>
      <c r="C47">
        <v>1.0057860473933649</v>
      </c>
      <c r="D47">
        <f t="shared" si="0"/>
        <v>1.3292727283996411</v>
      </c>
    </row>
    <row r="48" spans="1:4">
      <c r="A48" s="4">
        <v>45689</v>
      </c>
      <c r="B48">
        <v>0.45461800947867292</v>
      </c>
      <c r="C48">
        <v>1.0045461800947868</v>
      </c>
      <c r="D48">
        <f t="shared" si="0"/>
        <v>1.3353158416180344</v>
      </c>
    </row>
    <row r="49" spans="1:4">
      <c r="A49" s="4">
        <v>45717</v>
      </c>
      <c r="B49">
        <v>0.68881516587677716</v>
      </c>
      <c r="C49">
        <v>1.0068881516587678</v>
      </c>
      <c r="D49">
        <f t="shared" si="0"/>
        <v>1.3445136996474545</v>
      </c>
    </row>
    <row r="50" spans="1:4">
      <c r="A50" s="4">
        <v>45748</v>
      </c>
      <c r="B50">
        <v>0.77147298578199042</v>
      </c>
      <c r="C50">
        <v>1.00771472985782</v>
      </c>
      <c r="D50">
        <f t="shared" si="0"/>
        <v>1.3548862596303726</v>
      </c>
    </row>
    <row r="51" spans="1:4">
      <c r="A51" s="4">
        <v>45778</v>
      </c>
      <c r="B51">
        <v>0.35818388625592412</v>
      </c>
      <c r="C51">
        <v>1.0035818388625593</v>
      </c>
      <c r="D51">
        <f t="shared" si="0"/>
        <v>1.3597392438894642</v>
      </c>
    </row>
    <row r="52" spans="1:4">
      <c r="A52" s="4">
        <v>45809</v>
      </c>
      <c r="B52">
        <v>0.33063127962085304</v>
      </c>
      <c r="C52">
        <v>1.0033063127962085</v>
      </c>
      <c r="D52">
        <f t="shared" si="0"/>
        <v>1.3642349671510428</v>
      </c>
    </row>
    <row r="53" spans="1:4">
      <c r="A53" s="4">
        <v>45839</v>
      </c>
      <c r="B53">
        <v>0.30307867298578195</v>
      </c>
      <c r="C53">
        <v>1.0030307867298578</v>
      </c>
      <c r="D53">
        <f t="shared" si="0"/>
        <v>1.368369672385892</v>
      </c>
    </row>
    <row r="54" spans="1:4">
      <c r="A54" s="4">
        <v>45870</v>
      </c>
      <c r="B54">
        <v>0.15153933649289097</v>
      </c>
      <c r="C54">
        <v>1.001515393364929</v>
      </c>
      <c r="D54">
        <f t="shared" si="0"/>
        <v>1.3704432907081956</v>
      </c>
    </row>
    <row r="55" spans="1:4">
      <c r="A55" s="4">
        <v>45901</v>
      </c>
      <c r="B55">
        <v>8.2657819905213259E-2</v>
      </c>
      <c r="C55">
        <v>1.0008265781990522</v>
      </c>
      <c r="D55">
        <f t="shared" si="0"/>
        <v>1.3715760692553323</v>
      </c>
    </row>
    <row r="56" spans="1:4">
      <c r="A56" s="4">
        <v>45931</v>
      </c>
      <c r="B56">
        <v>0.11021042654028435</v>
      </c>
      <c r="C56">
        <v>1.0011021042654029</v>
      </c>
      <c r="D56">
        <f t="shared" si="0"/>
        <v>1.3730876890915831</v>
      </c>
    </row>
    <row r="57" spans="1:4">
      <c r="A57" s="4">
        <v>45962</v>
      </c>
      <c r="B57">
        <v>0.64681800947867285</v>
      </c>
      <c r="C57">
        <v>1.0064681800947868</v>
      </c>
      <c r="D57">
        <f t="shared" si="0"/>
        <v>1.381969067550562</v>
      </c>
    </row>
    <row r="58" spans="1:4">
      <c r="A58" s="4">
        <v>45992</v>
      </c>
      <c r="B58">
        <v>1.3349222748815164</v>
      </c>
      <c r="C58">
        <v>1.0133492227488152</v>
      </c>
      <c r="D58">
        <f t="shared" si="0"/>
        <v>1.400417280465267</v>
      </c>
    </row>
    <row r="59" spans="1:4">
      <c r="A59" s="4">
        <v>46023</v>
      </c>
      <c r="B59">
        <v>0.5780075829383885</v>
      </c>
      <c r="C59">
        <v>1.0057800758293838</v>
      </c>
      <c r="D59">
        <f t="shared" si="0"/>
        <v>1.4085117985391358</v>
      </c>
    </row>
    <row r="60" spans="1:4">
      <c r="A60" s="4">
        <v>46054</v>
      </c>
      <c r="B60">
        <v>0.45414881516587668</v>
      </c>
      <c r="C60">
        <v>1.0045414881516588</v>
      </c>
      <c r="D60">
        <f t="shared" si="0"/>
        <v>1.4149085381836728</v>
      </c>
    </row>
    <row r="61" spans="1:4">
      <c r="A61" s="4">
        <v>46082</v>
      </c>
      <c r="B61">
        <v>0.68810426540284353</v>
      </c>
      <c r="C61">
        <v>1.0068810426540284</v>
      </c>
      <c r="D61">
        <f t="shared" si="0"/>
        <v>1.4246445841864637</v>
      </c>
    </row>
    <row r="62" spans="1:4">
      <c r="A62" s="4">
        <v>46113</v>
      </c>
      <c r="B62">
        <v>0.77067677725118466</v>
      </c>
      <c r="C62">
        <v>1.0077067677725118</v>
      </c>
      <c r="D62">
        <f t="shared" si="0"/>
        <v>1.4356239891551554</v>
      </c>
    </row>
    <row r="63" spans="1:4">
      <c r="A63" s="4">
        <v>46143</v>
      </c>
      <c r="B63">
        <v>0.3578142180094786</v>
      </c>
      <c r="C63">
        <v>1.0035781421800949</v>
      </c>
      <c r="D63">
        <f t="shared" si="0"/>
        <v>1.4407608559055076</v>
      </c>
    </row>
    <row r="64" spans="1:4">
      <c r="A64" s="4">
        <v>46174</v>
      </c>
      <c r="B64">
        <v>0.33029004739336487</v>
      </c>
      <c r="C64">
        <v>1.0033029004739336</v>
      </c>
      <c r="D64">
        <f t="shared" si="0"/>
        <v>1.4455195456193028</v>
      </c>
    </row>
    <row r="65" spans="1:4">
      <c r="A65" s="4">
        <v>46204</v>
      </c>
      <c r="B65">
        <v>0.30276587677725114</v>
      </c>
      <c r="C65">
        <v>1.0030276587677724</v>
      </c>
      <c r="D65">
        <f t="shared" si="0"/>
        <v>1.4498960855455836</v>
      </c>
    </row>
    <row r="66" spans="1:4">
      <c r="A66" s="4">
        <v>46235</v>
      </c>
      <c r="B66">
        <v>0.15138293838862557</v>
      </c>
      <c r="C66">
        <v>1.0015138293838863</v>
      </c>
      <c r="D66">
        <f t="shared" si="0"/>
        <v>1.4520909808434643</v>
      </c>
    </row>
    <row r="67" spans="1:4">
      <c r="A67" s="4">
        <v>46266</v>
      </c>
      <c r="B67">
        <v>8.2572511848341218E-2</v>
      </c>
      <c r="C67">
        <v>1.0008257251184833</v>
      </c>
      <c r="D67">
        <f t="shared" si="0"/>
        <v>1.4532900088406699</v>
      </c>
    </row>
    <row r="68" spans="1:4">
      <c r="A68" s="4">
        <v>46296</v>
      </c>
      <c r="B68">
        <v>0.11009668246445496</v>
      </c>
      <c r="C68">
        <v>1.0011009668246444</v>
      </c>
      <c r="D68">
        <f t="shared" ref="D68:D122" si="1">C68*D67</f>
        <v>1.4548900329269907</v>
      </c>
    </row>
    <row r="69" spans="1:4">
      <c r="A69" s="4">
        <v>46327</v>
      </c>
      <c r="B69">
        <v>0.65048222748815143</v>
      </c>
      <c r="C69">
        <v>1.0065048222748816</v>
      </c>
      <c r="D69">
        <f t="shared" si="1"/>
        <v>1.4643538340206774</v>
      </c>
    </row>
    <row r="70" spans="1:4">
      <c r="A70" s="4">
        <v>46357</v>
      </c>
      <c r="B70">
        <v>1.3424845971563977</v>
      </c>
      <c r="C70">
        <v>1.013424845971564</v>
      </c>
      <c r="D70">
        <f t="shared" si="1"/>
        <v>1.4840125586902742</v>
      </c>
    </row>
    <row r="71" spans="1:4">
      <c r="A71" s="4">
        <v>46388</v>
      </c>
      <c r="B71">
        <v>0.5812819905213269</v>
      </c>
      <c r="C71">
        <v>1.0058128199052132</v>
      </c>
      <c r="D71">
        <f t="shared" si="1"/>
        <v>1.4926388564310153</v>
      </c>
    </row>
    <row r="72" spans="1:4">
      <c r="A72" s="4">
        <v>46419</v>
      </c>
      <c r="B72">
        <v>0.45672156398104258</v>
      </c>
      <c r="C72">
        <v>1.0045672156398104</v>
      </c>
      <c r="D72">
        <f t="shared" si="1"/>
        <v>1.4994560599606959</v>
      </c>
    </row>
    <row r="73" spans="1:4">
      <c r="A73" s="4">
        <v>46447</v>
      </c>
      <c r="B73">
        <v>0.69200236966824635</v>
      </c>
      <c r="C73">
        <v>1.0069200236966824</v>
      </c>
      <c r="D73">
        <f t="shared" si="1"/>
        <v>1.509832331427758</v>
      </c>
    </row>
    <row r="74" spans="1:4">
      <c r="A74" s="4">
        <v>46478</v>
      </c>
      <c r="B74">
        <v>0.77504265402843586</v>
      </c>
      <c r="C74">
        <v>1.0077504265402843</v>
      </c>
      <c r="D74">
        <f t="shared" si="1"/>
        <v>1.5215341760006351</v>
      </c>
    </row>
    <row r="75" spans="1:4">
      <c r="A75" s="4">
        <v>46508</v>
      </c>
      <c r="B75">
        <v>0.35984123222748809</v>
      </c>
      <c r="C75">
        <v>1.003598412322275</v>
      </c>
      <c r="D75">
        <f t="shared" si="1"/>
        <v>1.5270092833283184</v>
      </c>
    </row>
    <row r="76" spans="1:4">
      <c r="A76" s="4">
        <v>46539</v>
      </c>
      <c r="B76">
        <v>0.3321611374407582</v>
      </c>
      <c r="C76">
        <v>1.0033216113744077</v>
      </c>
      <c r="D76">
        <f t="shared" si="1"/>
        <v>1.5320814147326478</v>
      </c>
    </row>
    <row r="77" spans="1:4">
      <c r="A77" s="4">
        <v>46569</v>
      </c>
      <c r="B77">
        <v>0.30448104265402837</v>
      </c>
      <c r="C77">
        <v>1.0030448104265404</v>
      </c>
      <c r="D77">
        <f t="shared" si="1"/>
        <v>1.5367463121985345</v>
      </c>
    </row>
    <row r="78" spans="1:4">
      <c r="A78" s="4">
        <v>46600</v>
      </c>
      <c r="B78">
        <v>0.15224052132701418</v>
      </c>
      <c r="C78">
        <v>1.0015224052132701</v>
      </c>
      <c r="D78">
        <f t="shared" si="1"/>
        <v>1.5390858627956991</v>
      </c>
    </row>
    <row r="79" spans="1:4">
      <c r="A79" s="4">
        <v>46631</v>
      </c>
      <c r="B79">
        <v>8.3040284360189551E-2</v>
      </c>
      <c r="C79">
        <v>1.0008304028436019</v>
      </c>
      <c r="D79">
        <f t="shared" si="1"/>
        <v>1.5403639240727123</v>
      </c>
    </row>
    <row r="80" spans="1:4">
      <c r="A80" s="4">
        <v>46661</v>
      </c>
      <c r="B80">
        <v>0.11072037914691941</v>
      </c>
      <c r="C80">
        <v>1.0011072037914692</v>
      </c>
      <c r="D80">
        <f t="shared" si="1"/>
        <v>1.5420694208496879</v>
      </c>
    </row>
    <row r="81" spans="1:4">
      <c r="A81" s="4">
        <v>46692</v>
      </c>
      <c r="B81">
        <v>0.65446943127962065</v>
      </c>
      <c r="C81">
        <v>1.0065446943127963</v>
      </c>
      <c r="D81">
        <f t="shared" si="1"/>
        <v>1.5521617938182599</v>
      </c>
    </row>
    <row r="82" spans="1:4">
      <c r="A82" s="4">
        <v>46722</v>
      </c>
      <c r="B82">
        <v>1.3507135071090044</v>
      </c>
      <c r="C82">
        <v>1.01350713507109</v>
      </c>
      <c r="D82">
        <f t="shared" si="1"/>
        <v>1.5731270528195485</v>
      </c>
    </row>
    <row r="83" spans="1:4">
      <c r="A83" s="4">
        <v>46753</v>
      </c>
      <c r="B83">
        <v>0.58484502369668234</v>
      </c>
      <c r="C83">
        <v>1.0058484502369669</v>
      </c>
      <c r="D83">
        <f t="shared" si="1"/>
        <v>1.5823274081043899</v>
      </c>
    </row>
    <row r="84" spans="1:4">
      <c r="A84" s="4">
        <v>46784</v>
      </c>
      <c r="B84">
        <v>0.45952109004739328</v>
      </c>
      <c r="C84">
        <v>1.0045952109004739</v>
      </c>
      <c r="D84">
        <f t="shared" si="1"/>
        <v>1.5895985362582297</v>
      </c>
    </row>
    <row r="85" spans="1:4">
      <c r="A85" s="4">
        <v>46813</v>
      </c>
      <c r="B85">
        <v>0.69624407582938375</v>
      </c>
      <c r="C85">
        <v>1.0069624407582938</v>
      </c>
      <c r="D85">
        <f t="shared" si="1"/>
        <v>1.6006660218963982</v>
      </c>
    </row>
    <row r="86" spans="1:4">
      <c r="A86" s="4">
        <v>46844</v>
      </c>
      <c r="B86">
        <v>0.77979336492890983</v>
      </c>
      <c r="C86">
        <v>1.007797933649289</v>
      </c>
      <c r="D86">
        <f t="shared" si="1"/>
        <v>1.6131479093298178</v>
      </c>
    </row>
    <row r="87" spans="1:4">
      <c r="A87" s="4">
        <v>46874</v>
      </c>
      <c r="B87">
        <v>0.36204691943127953</v>
      </c>
      <c r="C87">
        <v>1.0036204691943127</v>
      </c>
      <c r="D87">
        <f t="shared" si="1"/>
        <v>1.6189882616414164</v>
      </c>
    </row>
    <row r="88" spans="1:4">
      <c r="A88" s="4">
        <v>46905</v>
      </c>
      <c r="B88">
        <v>0.33419715639810421</v>
      </c>
      <c r="C88">
        <v>1.0033419715639811</v>
      </c>
      <c r="D88">
        <f t="shared" si="1"/>
        <v>1.6243988743742412</v>
      </c>
    </row>
    <row r="89" spans="1:4">
      <c r="A89" s="4">
        <v>46935</v>
      </c>
      <c r="B89">
        <v>0.30634739336492883</v>
      </c>
      <c r="C89">
        <v>1.0030634739336493</v>
      </c>
      <c r="D89">
        <f t="shared" si="1"/>
        <v>1.629375177983736</v>
      </c>
    </row>
    <row r="90" spans="1:4">
      <c r="A90" s="4">
        <v>46966</v>
      </c>
      <c r="B90">
        <v>0.15317369668246442</v>
      </c>
      <c r="C90">
        <v>1.0015317369668246</v>
      </c>
      <c r="D90">
        <f t="shared" si="1"/>
        <v>1.6318709521766801</v>
      </c>
    </row>
    <row r="91" spans="1:4">
      <c r="A91" s="4">
        <v>46997</v>
      </c>
      <c r="B91">
        <v>8.3549289099526053E-2</v>
      </c>
      <c r="C91">
        <v>1.0008354928909953</v>
      </c>
      <c r="D91">
        <f t="shared" si="1"/>
        <v>1.6332343687562454</v>
      </c>
    </row>
    <row r="92" spans="1:4">
      <c r="A92" s="4">
        <v>47027</v>
      </c>
      <c r="B92">
        <v>0.1113990521327014</v>
      </c>
      <c r="C92">
        <v>1.0011139905213271</v>
      </c>
      <c r="D92">
        <f t="shared" si="1"/>
        <v>1.6350537763621456</v>
      </c>
    </row>
    <row r="93" spans="1:4">
      <c r="A93" s="4">
        <v>47058</v>
      </c>
      <c r="B93">
        <v>0.65791090047393341</v>
      </c>
      <c r="C93">
        <v>1.0065791090047393</v>
      </c>
      <c r="D93">
        <f t="shared" si="1"/>
        <v>1.6458109733854429</v>
      </c>
    </row>
    <row r="94" spans="1:4">
      <c r="A94" s="4">
        <v>47088</v>
      </c>
      <c r="B94">
        <v>1.3578161137440754</v>
      </c>
      <c r="C94">
        <v>1.0135781611374408</v>
      </c>
      <c r="D94">
        <f t="shared" si="1"/>
        <v>1.6681580599838388</v>
      </c>
    </row>
    <row r="95" spans="1:4">
      <c r="A95" s="4">
        <v>47119</v>
      </c>
      <c r="B95">
        <v>0.5879203791469193</v>
      </c>
      <c r="C95">
        <v>1.0058792037914692</v>
      </c>
      <c r="D95">
        <f t="shared" si="1"/>
        <v>1.6779655011748658</v>
      </c>
    </row>
    <row r="96" spans="1:4">
      <c r="A96" s="4">
        <v>47150</v>
      </c>
      <c r="B96">
        <v>0.46193744075829374</v>
      </c>
      <c r="C96">
        <v>1.0046193744075829</v>
      </c>
      <c r="D96">
        <f t="shared" si="1"/>
        <v>1.6857166520678</v>
      </c>
    </row>
    <row r="97" spans="1:4">
      <c r="A97" s="4">
        <v>47178</v>
      </c>
      <c r="B97">
        <v>0.6999052132701421</v>
      </c>
      <c r="C97">
        <v>1.0069990521327015</v>
      </c>
      <c r="D97">
        <f t="shared" si="1"/>
        <v>1.6975150707965856</v>
      </c>
    </row>
    <row r="98" spans="1:4">
      <c r="A98" s="4">
        <v>47209</v>
      </c>
      <c r="B98">
        <v>0.78389383886255903</v>
      </c>
      <c r="C98">
        <v>1.0078389383886255</v>
      </c>
      <c r="D98">
        <f t="shared" si="1"/>
        <v>1.7108217868503233</v>
      </c>
    </row>
    <row r="99" spans="1:4">
      <c r="A99" s="4">
        <v>47239</v>
      </c>
      <c r="B99">
        <v>0.36395071090047387</v>
      </c>
      <c r="C99">
        <v>1.0036395071090047</v>
      </c>
      <c r="D99">
        <f t="shared" si="1"/>
        <v>1.7170483349058052</v>
      </c>
    </row>
    <row r="100" spans="1:4">
      <c r="A100" s="4">
        <v>47270</v>
      </c>
      <c r="B100">
        <v>0.33595450236966817</v>
      </c>
      <c r="C100">
        <v>1.0033595450236967</v>
      </c>
      <c r="D100">
        <f t="shared" si="1"/>
        <v>1.7228168360947849</v>
      </c>
    </row>
    <row r="101" spans="1:4">
      <c r="A101" s="4">
        <v>47300</v>
      </c>
      <c r="B101">
        <v>0.30795829383886247</v>
      </c>
      <c r="C101">
        <v>1.0030795829383887</v>
      </c>
      <c r="D101">
        <f t="shared" si="1"/>
        <v>1.7281223934291912</v>
      </c>
    </row>
    <row r="102" spans="1:4">
      <c r="A102" s="4">
        <v>47331</v>
      </c>
      <c r="B102">
        <v>0.15397914691943124</v>
      </c>
      <c r="C102">
        <v>1.0015397914691944</v>
      </c>
      <c r="D102">
        <f t="shared" si="1"/>
        <v>1.7307833415483171</v>
      </c>
    </row>
    <row r="103" spans="1:4">
      <c r="A103" s="4">
        <v>47362</v>
      </c>
      <c r="B103">
        <v>8.3988625592417043E-2</v>
      </c>
      <c r="C103">
        <v>1.0008398862559242</v>
      </c>
      <c r="D103">
        <f t="shared" si="1"/>
        <v>1.7322370026888663</v>
      </c>
    </row>
    <row r="104" spans="1:4">
      <c r="A104" s="4">
        <v>47392</v>
      </c>
      <c r="B104">
        <v>0.11198483412322273</v>
      </c>
      <c r="C104">
        <v>1.0011198483412322</v>
      </c>
      <c r="D104">
        <f t="shared" si="1"/>
        <v>1.7341768454229485</v>
      </c>
    </row>
    <row r="105" spans="1:4">
      <c r="A105" s="4">
        <v>47423</v>
      </c>
      <c r="B105">
        <v>0.66068412322274861</v>
      </c>
      <c r="C105">
        <v>1.0066068412322275</v>
      </c>
      <c r="D105">
        <f t="shared" si="1"/>
        <v>1.7456342765092632</v>
      </c>
    </row>
    <row r="106" spans="1:4">
      <c r="A106" s="4">
        <v>47453</v>
      </c>
      <c r="B106">
        <v>1.3635395734597153</v>
      </c>
      <c r="C106">
        <v>1.0136353957345972</v>
      </c>
      <c r="D106">
        <f t="shared" si="1"/>
        <v>1.7694366906773442</v>
      </c>
    </row>
    <row r="107" spans="1:4">
      <c r="A107" s="4">
        <v>47484</v>
      </c>
      <c r="B107">
        <v>0.59039857819905206</v>
      </c>
      <c r="C107">
        <v>1.0059039857819905</v>
      </c>
      <c r="D107">
        <f t="shared" si="1"/>
        <v>1.7798834197412354</v>
      </c>
    </row>
    <row r="108" spans="1:4">
      <c r="A108" s="4">
        <v>47515</v>
      </c>
      <c r="B108">
        <v>0.46388459715639807</v>
      </c>
      <c r="C108">
        <v>1.0046388459715641</v>
      </c>
      <c r="D108">
        <f t="shared" si="1"/>
        <v>1.7881400247727557</v>
      </c>
    </row>
    <row r="109" spans="1:4">
      <c r="A109" s="4">
        <v>47543</v>
      </c>
      <c r="B109">
        <v>0.70285545023696683</v>
      </c>
      <c r="C109">
        <v>1.0070285545023696</v>
      </c>
      <c r="D109">
        <f t="shared" si="1"/>
        <v>1.8007080643947395</v>
      </c>
    </row>
    <row r="110" spans="1:4">
      <c r="A110" s="4">
        <v>47574</v>
      </c>
      <c r="B110">
        <v>0.78719810426540271</v>
      </c>
      <c r="C110">
        <v>1.007871981042654</v>
      </c>
      <c r="D110">
        <f t="shared" si="1"/>
        <v>1.814883204141009</v>
      </c>
    </row>
    <row r="111" spans="1:4">
      <c r="A111" s="4">
        <v>47604</v>
      </c>
      <c r="B111">
        <v>0.36548483412322269</v>
      </c>
      <c r="C111">
        <v>1.0036548483412322</v>
      </c>
      <c r="D111">
        <f t="shared" si="1"/>
        <v>1.8215163270091939</v>
      </c>
    </row>
    <row r="112" spans="1:4">
      <c r="A112" s="4">
        <v>47635</v>
      </c>
      <c r="B112">
        <v>0.33737061611374403</v>
      </c>
      <c r="C112">
        <v>1.0033737061611374</v>
      </c>
      <c r="D112">
        <f t="shared" si="1"/>
        <v>1.8276615878642373</v>
      </c>
    </row>
    <row r="113" spans="1:4">
      <c r="A113" s="4">
        <v>47665</v>
      </c>
      <c r="B113">
        <v>0.30925639810426536</v>
      </c>
      <c r="C113">
        <v>1.0030925639810426</v>
      </c>
      <c r="D113">
        <f t="shared" si="1"/>
        <v>1.8333137482604014</v>
      </c>
    </row>
    <row r="114" spans="1:4">
      <c r="A114" s="4">
        <v>47696</v>
      </c>
      <c r="B114">
        <v>0.15462819905213268</v>
      </c>
      <c r="C114">
        <v>1.0015462819905214</v>
      </c>
      <c r="D114">
        <f t="shared" si="1"/>
        <v>1.8361485682923118</v>
      </c>
    </row>
    <row r="115" spans="1:4">
      <c r="A115" s="4">
        <v>47727</v>
      </c>
      <c r="B115">
        <v>8.4342654028436007E-2</v>
      </c>
      <c r="C115">
        <v>1.0008434265402844</v>
      </c>
      <c r="D115">
        <f t="shared" si="1"/>
        <v>1.8376972247267147</v>
      </c>
    </row>
    <row r="116" spans="1:4">
      <c r="A116" s="4">
        <v>47757</v>
      </c>
      <c r="B116">
        <v>0.11245687203791468</v>
      </c>
      <c r="C116">
        <v>1.0011245687203791</v>
      </c>
      <c r="D116">
        <f t="shared" si="1"/>
        <v>1.8397638415431699</v>
      </c>
    </row>
    <row r="117" spans="1:4">
      <c r="A117" s="4">
        <v>47788</v>
      </c>
      <c r="B117">
        <v>0.66295616113744049</v>
      </c>
      <c r="C117">
        <v>1.0066295616113745</v>
      </c>
      <c r="D117">
        <f t="shared" si="1"/>
        <v>1.8519606692810593</v>
      </c>
    </row>
    <row r="118" spans="1:4">
      <c r="A118" s="4">
        <v>47818</v>
      </c>
      <c r="B118">
        <v>1.3682286729857818</v>
      </c>
      <c r="C118">
        <v>1.0136822867298578</v>
      </c>
      <c r="D118">
        <f t="shared" si="1"/>
        <v>1.8772997261705822</v>
      </c>
    </row>
    <row r="119" spans="1:4">
      <c r="A119" s="4">
        <v>47849</v>
      </c>
      <c r="B119">
        <v>0.59242890995260655</v>
      </c>
      <c r="C119">
        <v>1.0059242890995261</v>
      </c>
      <c r="D119">
        <f t="shared" si="1"/>
        <v>1.8884213924748778</v>
      </c>
    </row>
    <row r="120" spans="1:4">
      <c r="A120" s="4">
        <v>47880</v>
      </c>
      <c r="B120">
        <v>0.46547985781990514</v>
      </c>
      <c r="C120">
        <v>1.0046547985781991</v>
      </c>
      <c r="D120">
        <f t="shared" si="1"/>
        <v>1.8972116136876105</v>
      </c>
    </row>
    <row r="121" spans="1:4">
      <c r="A121" s="4">
        <v>47908</v>
      </c>
      <c r="B121">
        <v>0.70527251184834117</v>
      </c>
      <c r="C121">
        <v>1.0070527251184833</v>
      </c>
      <c r="D121">
        <f t="shared" si="1"/>
        <v>1.9105921256905434</v>
      </c>
    </row>
    <row r="122" spans="1:4">
      <c r="A122" s="4">
        <v>47939</v>
      </c>
      <c r="B122">
        <v>0.78990521327014207</v>
      </c>
      <c r="C122">
        <v>1.0078990521327014</v>
      </c>
      <c r="D122">
        <f t="shared" si="1"/>
        <v>1.9256839924957017</v>
      </c>
    </row>
    <row r="123" spans="1:4">
      <c r="A123" s="4">
        <v>47969</v>
      </c>
      <c r="B123">
        <v>0.36674170616113738</v>
      </c>
      <c r="C123">
        <v>1.0078990521327014</v>
      </c>
      <c r="D123">
        <f t="shared" ref="D123:D160" si="2">C123*D122</f>
        <v>1.9408950707435337</v>
      </c>
    </row>
    <row r="124" spans="1:4">
      <c r="A124" s="4">
        <v>48000</v>
      </c>
      <c r="B124">
        <v>0.33853080568720373</v>
      </c>
      <c r="C124">
        <v>1.0078990521327014</v>
      </c>
      <c r="D124">
        <f t="shared" si="2"/>
        <v>1.9562263020914401</v>
      </c>
    </row>
    <row r="125" spans="1:4">
      <c r="A125" s="4">
        <v>48030</v>
      </c>
      <c r="B125">
        <v>0.31031990521327008</v>
      </c>
      <c r="C125">
        <v>1.0078990521327014</v>
      </c>
      <c r="D125">
        <f t="shared" si="2"/>
        <v>1.971678635635022</v>
      </c>
    </row>
    <row r="126" spans="1:4">
      <c r="A126" s="4">
        <v>48061</v>
      </c>
      <c r="B126">
        <v>0.15515995260663504</v>
      </c>
      <c r="C126">
        <v>1.0078990521327014</v>
      </c>
      <c r="D126">
        <f t="shared" si="2"/>
        <v>1.9872530279668366</v>
      </c>
    </row>
    <row r="127" spans="1:4">
      <c r="A127" s="4">
        <v>48092</v>
      </c>
      <c r="B127">
        <v>8.4632701421800932E-2</v>
      </c>
      <c r="C127">
        <v>1.0078990521327014</v>
      </c>
      <c r="D127">
        <f t="shared" si="2"/>
        <v>2.0029504432356151</v>
      </c>
    </row>
    <row r="128" spans="1:4">
      <c r="A128" s="4">
        <v>48122</v>
      </c>
      <c r="B128">
        <v>0.11315639810426539</v>
      </c>
      <c r="C128">
        <v>1.0078990521327014</v>
      </c>
      <c r="D128">
        <f t="shared" si="2"/>
        <v>2.0187718532059504</v>
      </c>
    </row>
    <row r="129" spans="1:4">
      <c r="A129" s="4">
        <v>48153</v>
      </c>
      <c r="B129">
        <v>0.66479383886255905</v>
      </c>
      <c r="C129">
        <v>1.0078990521327014</v>
      </c>
      <c r="D129">
        <f t="shared" si="2"/>
        <v>2.0347182373184545</v>
      </c>
    </row>
    <row r="130" spans="1:4">
      <c r="A130" s="4">
        <v>48183</v>
      </c>
      <c r="B130">
        <v>1.3720213270142179</v>
      </c>
      <c r="C130">
        <v>1.0078990521327014</v>
      </c>
      <c r="D130">
        <f t="shared" si="2"/>
        <v>2.0507905827503912</v>
      </c>
    </row>
    <row r="131" spans="1:4">
      <c r="A131" s="4">
        <v>48214</v>
      </c>
      <c r="B131">
        <v>0.59407109004739334</v>
      </c>
      <c r="C131">
        <v>1.0078990521327014</v>
      </c>
      <c r="D131">
        <f t="shared" si="2"/>
        <v>2.0669898844767896</v>
      </c>
    </row>
    <row r="132" spans="1:4">
      <c r="A132" s="4">
        <v>48245</v>
      </c>
      <c r="B132">
        <v>0.46677014218009472</v>
      </c>
      <c r="C132">
        <v>1.0078990521327014</v>
      </c>
      <c r="D132">
        <f t="shared" si="2"/>
        <v>2.083317145332038</v>
      </c>
    </row>
    <row r="133" spans="1:4">
      <c r="A133" s="4">
        <v>48274</v>
      </c>
      <c r="B133">
        <v>0.7072274881516587</v>
      </c>
      <c r="C133">
        <v>1.0078990521327014</v>
      </c>
      <c r="D133">
        <f t="shared" si="2"/>
        <v>2.0997733760719663</v>
      </c>
    </row>
    <row r="134" spans="1:4">
      <c r="A134" s="4">
        <v>48305</v>
      </c>
      <c r="B134">
        <v>0.79209478672985778</v>
      </c>
      <c r="C134">
        <v>1.0078990521327014</v>
      </c>
      <c r="D134">
        <f t="shared" si="2"/>
        <v>2.1163595954364172</v>
      </c>
    </row>
    <row r="135" spans="1:4">
      <c r="A135" s="4">
        <v>48335</v>
      </c>
      <c r="B135">
        <v>0.36775829383886255</v>
      </c>
      <c r="C135">
        <v>1.0078990521327014</v>
      </c>
      <c r="D135">
        <f t="shared" si="2"/>
        <v>2.1330768302123122</v>
      </c>
    </row>
    <row r="136" spans="1:4">
      <c r="A136" s="4">
        <v>48366</v>
      </c>
      <c r="B136">
        <v>0.33946919431279615</v>
      </c>
      <c r="C136">
        <v>1.0078990521327014</v>
      </c>
      <c r="D136">
        <f t="shared" si="2"/>
        <v>2.1499261152972164</v>
      </c>
    </row>
    <row r="137" spans="1:4">
      <c r="A137" s="4">
        <v>48396</v>
      </c>
      <c r="B137">
        <v>0.31118009478672981</v>
      </c>
      <c r="C137">
        <v>1.0078990521327014</v>
      </c>
      <c r="D137">
        <f t="shared" si="2"/>
        <v>2.1669084937634051</v>
      </c>
    </row>
    <row r="138" spans="1:4">
      <c r="A138" s="4">
        <v>48427</v>
      </c>
      <c r="B138">
        <v>0.15559004739336491</v>
      </c>
      <c r="C138">
        <v>1.0078990521327014</v>
      </c>
      <c r="D138">
        <f t="shared" si="2"/>
        <v>2.1840250169224356</v>
      </c>
    </row>
    <row r="139" spans="1:4">
      <c r="A139" s="4">
        <v>48458</v>
      </c>
      <c r="B139">
        <v>8.4867298578199038E-2</v>
      </c>
      <c r="C139">
        <v>1.0078990521327014</v>
      </c>
      <c r="D139">
        <f t="shared" si="2"/>
        <v>2.2012767443902299</v>
      </c>
    </row>
    <row r="140" spans="1:4">
      <c r="A140" s="4">
        <v>48488</v>
      </c>
      <c r="B140">
        <v>0.11341207582938387</v>
      </c>
      <c r="C140">
        <v>1.0078990521327014</v>
      </c>
      <c r="D140">
        <f t="shared" si="2"/>
        <v>2.2186647441526715</v>
      </c>
    </row>
    <row r="141" spans="1:4">
      <c r="A141" s="4">
        <v>48519</v>
      </c>
      <c r="B141">
        <v>0.66629594549763016</v>
      </c>
      <c r="C141">
        <v>1.0078990521327014</v>
      </c>
      <c r="D141">
        <f t="shared" si="2"/>
        <v>2.2361900926317198</v>
      </c>
    </row>
    <row r="142" spans="1:4">
      <c r="A142" s="4">
        <v>48549</v>
      </c>
      <c r="B142">
        <v>1.3751214194312793</v>
      </c>
      <c r="C142">
        <v>1.0078990521327014</v>
      </c>
      <c r="D142">
        <f t="shared" si="2"/>
        <v>2.253853874752048</v>
      </c>
    </row>
    <row r="143" spans="1:4">
      <c r="A143" s="4">
        <v>48580</v>
      </c>
      <c r="B143">
        <v>0.5954133981042653</v>
      </c>
      <c r="C143">
        <v>1.0078990521327014</v>
      </c>
      <c r="D143">
        <f t="shared" si="2"/>
        <v>2.2716571840082054</v>
      </c>
    </row>
    <row r="144" spans="1:4">
      <c r="A144" s="4">
        <v>48611</v>
      </c>
      <c r="B144">
        <v>0.46782481279620847</v>
      </c>
      <c r="C144">
        <v>1.0078990521327014</v>
      </c>
      <c r="D144">
        <f t="shared" si="2"/>
        <v>2.2896011225323116</v>
      </c>
    </row>
    <row r="145" spans="1:4">
      <c r="A145" s="4">
        <v>48639</v>
      </c>
      <c r="B145">
        <v>0.70882547393364925</v>
      </c>
      <c r="C145">
        <v>1.0078990521327014</v>
      </c>
      <c r="D145">
        <f t="shared" si="2"/>
        <v>2.3076868011622858</v>
      </c>
    </row>
    <row r="146" spans="1:4">
      <c r="A146" s="4">
        <v>48670</v>
      </c>
      <c r="B146">
        <v>0.79388453080568711</v>
      </c>
      <c r="C146">
        <v>1.0078990521327014</v>
      </c>
      <c r="D146">
        <f t="shared" si="2"/>
        <v>2.3259153395106136</v>
      </c>
    </row>
    <row r="147" spans="1:4">
      <c r="A147" s="4">
        <v>48700</v>
      </c>
      <c r="B147">
        <v>0.36858924644549756</v>
      </c>
      <c r="C147">
        <v>1.0078990521327014</v>
      </c>
      <c r="D147">
        <f t="shared" si="2"/>
        <v>2.3442878660336577</v>
      </c>
    </row>
    <row r="148" spans="1:4">
      <c r="A148" s="4">
        <v>48731</v>
      </c>
      <c r="B148">
        <v>0.34023622748815158</v>
      </c>
      <c r="C148">
        <v>1.0078990521327014</v>
      </c>
      <c r="D148">
        <f t="shared" si="2"/>
        <v>2.3628055181015166</v>
      </c>
    </row>
    <row r="149" spans="1:4">
      <c r="A149" s="4">
        <v>48761</v>
      </c>
      <c r="B149">
        <v>0.31188320853080564</v>
      </c>
      <c r="C149">
        <v>1.0078990521327014</v>
      </c>
      <c r="D149">
        <f t="shared" si="2"/>
        <v>2.3814694420684348</v>
      </c>
    </row>
    <row r="150" spans="1:4">
      <c r="A150" s="4">
        <v>48792</v>
      </c>
      <c r="B150">
        <v>0.15594160426540282</v>
      </c>
      <c r="C150">
        <v>1.0078990521327014</v>
      </c>
      <c r="D150">
        <f t="shared" si="2"/>
        <v>2.4002807933437684</v>
      </c>
    </row>
    <row r="151" spans="1:4">
      <c r="A151" s="4">
        <v>48823</v>
      </c>
      <c r="B151">
        <v>8.5059056872037894E-2</v>
      </c>
      <c r="C151">
        <v>1.0078990521327014</v>
      </c>
      <c r="D151">
        <f t="shared" si="2"/>
        <v>2.4192407364635127</v>
      </c>
    </row>
    <row r="152" spans="1:4">
      <c r="A152" s="4">
        <v>48853</v>
      </c>
      <c r="B152">
        <v>0.11362790521327013</v>
      </c>
      <c r="C152">
        <v>1.0078990521327014</v>
      </c>
      <c r="D152">
        <f t="shared" si="2"/>
        <v>2.438350445162393</v>
      </c>
    </row>
    <row r="153" spans="1:4">
      <c r="A153" s="4">
        <v>48884</v>
      </c>
      <c r="B153">
        <v>0.66756394312796186</v>
      </c>
      <c r="C153">
        <v>1.0078990521327014</v>
      </c>
      <c r="D153">
        <f t="shared" si="2"/>
        <v>2.4576111024465264</v>
      </c>
    </row>
    <row r="154" spans="1:4">
      <c r="A154" s="4">
        <v>48914</v>
      </c>
      <c r="B154">
        <v>1.3777383507109002</v>
      </c>
      <c r="C154">
        <v>1.0078990521327014</v>
      </c>
      <c r="D154">
        <f t="shared" si="2"/>
        <v>2.4770239006666572</v>
      </c>
    </row>
    <row r="155" spans="1:4">
      <c r="A155" s="4">
        <v>48945</v>
      </c>
      <c r="B155">
        <v>0.59654650236966811</v>
      </c>
      <c r="C155">
        <v>1.0078990521327014</v>
      </c>
      <c r="D155">
        <f t="shared" si="2"/>
        <v>2.4965900415919706</v>
      </c>
    </row>
    <row r="156" spans="1:4">
      <c r="A156" s="4">
        <v>48976</v>
      </c>
      <c r="B156">
        <v>0.46871510900473923</v>
      </c>
      <c r="C156">
        <v>1.0078990521327014</v>
      </c>
      <c r="D156">
        <f t="shared" si="2"/>
        <v>2.5163107364844888</v>
      </c>
    </row>
    <row r="157" spans="1:4">
      <c r="A157" s="4">
        <v>49004</v>
      </c>
      <c r="B157">
        <v>0.71017440758293826</v>
      </c>
      <c r="C157">
        <v>1.0078990521327014</v>
      </c>
      <c r="D157">
        <f t="shared" si="2"/>
        <v>2.536187206174056</v>
      </c>
    </row>
    <row r="158" spans="1:4">
      <c r="A158" s="4">
        <v>49035</v>
      </c>
      <c r="B158">
        <v>0.79539533649289085</v>
      </c>
      <c r="C158">
        <v>1.0078990521327014</v>
      </c>
      <c r="D158">
        <f t="shared" si="2"/>
        <v>2.5562206811339152</v>
      </c>
    </row>
    <row r="159" spans="1:4">
      <c r="A159" s="4">
        <v>49065</v>
      </c>
      <c r="B159">
        <v>0.36929069194312786</v>
      </c>
      <c r="C159">
        <v>1.0078990521327014</v>
      </c>
      <c r="D159">
        <f t="shared" si="2"/>
        <v>2.5764124015568814</v>
      </c>
    </row>
    <row r="160" spans="1:4">
      <c r="A160" s="4">
        <v>49096</v>
      </c>
      <c r="B160">
        <v>0.34088371563981035</v>
      </c>
      <c r="C160">
        <v>1.0078990521327014</v>
      </c>
      <c r="D160">
        <f t="shared" si="2"/>
        <v>2.5967636174321176</v>
      </c>
    </row>
    <row r="161" spans="1:4">
      <c r="A161" s="4">
        <v>49126</v>
      </c>
      <c r="B161">
        <v>0.31247673933649284</v>
      </c>
      <c r="C161">
        <v>1.0078990521327014</v>
      </c>
      <c r="D161">
        <f t="shared" ref="D161:D170" si="3">C161*D160</f>
        <v>2.6172755886225159</v>
      </c>
    </row>
    <row r="162" spans="1:4">
      <c r="A162" s="4">
        <v>49157</v>
      </c>
      <c r="B162">
        <v>0.15623836966824642</v>
      </c>
      <c r="C162">
        <v>1.0078990521327014</v>
      </c>
      <c r="D162">
        <f t="shared" si="3"/>
        <v>2.6379495849426919</v>
      </c>
    </row>
    <row r="163" spans="1:4">
      <c r="A163" s="4">
        <v>49188</v>
      </c>
      <c r="B163">
        <v>8.5220928909952587E-2</v>
      </c>
      <c r="C163">
        <v>1.0078990521327014</v>
      </c>
      <c r="D163">
        <f t="shared" si="3"/>
        <v>2.6587868862375923</v>
      </c>
    </row>
    <row r="164" spans="1:4">
      <c r="A164" s="4">
        <v>49218</v>
      </c>
      <c r="B164">
        <v>0.11381074881516587</v>
      </c>
      <c r="C164">
        <v>1.0078990521327014</v>
      </c>
      <c r="D164">
        <f t="shared" si="3"/>
        <v>2.6797887824617259</v>
      </c>
    </row>
    <row r="165" spans="1:4">
      <c r="A165" s="4">
        <v>49249</v>
      </c>
      <c r="B165">
        <v>0.66863814928909937</v>
      </c>
      <c r="C165">
        <v>1.0078990521327014</v>
      </c>
      <c r="D165">
        <f t="shared" si="3"/>
        <v>2.7009565737590195</v>
      </c>
    </row>
    <row r="166" spans="1:4">
      <c r="A166" s="4">
        <v>49279</v>
      </c>
      <c r="B166">
        <v>1.3799553293838862</v>
      </c>
      <c r="C166">
        <v>1.0078990521327014</v>
      </c>
      <c r="D166">
        <f t="shared" si="3"/>
        <v>2.7222915705433044</v>
      </c>
    </row>
    <row r="167" spans="1:4">
      <c r="A167" s="4">
        <v>49310</v>
      </c>
      <c r="B167">
        <v>0.59750643127962078</v>
      </c>
      <c r="C167">
        <v>1.0078990521327014</v>
      </c>
      <c r="D167">
        <f t="shared" si="3"/>
        <v>2.7437950935794393</v>
      </c>
    </row>
    <row r="168" spans="1:4">
      <c r="A168" s="4">
        <v>49341</v>
      </c>
      <c r="B168">
        <v>0.4694693388625592</v>
      </c>
      <c r="C168">
        <v>1.0078990521327014</v>
      </c>
      <c r="D168">
        <f t="shared" si="3"/>
        <v>2.7654684740650737</v>
      </c>
    </row>
    <row r="169" spans="1:4">
      <c r="A169" s="4">
        <v>49369</v>
      </c>
      <c r="B169">
        <v>0.71131718009478673</v>
      </c>
      <c r="C169">
        <v>1.0078990521327014</v>
      </c>
      <c r="D169">
        <f t="shared" si="3"/>
        <v>2.7873130537130559</v>
      </c>
    </row>
    <row r="170" spans="1:4">
      <c r="A170" s="4">
        <v>49400</v>
      </c>
      <c r="B170">
        <v>0.79667524170616111</v>
      </c>
      <c r="C170">
        <v>1.0078990521327014</v>
      </c>
      <c r="D170">
        <f t="shared" si="3"/>
        <v>2.8093301848344945</v>
      </c>
    </row>
    <row r="171" spans="1:4">
      <c r="A171" s="4">
        <v>49430</v>
      </c>
      <c r="B171">
        <v>0.36988493364928909</v>
      </c>
      <c r="C171">
        <v>1.0078990521327014</v>
      </c>
      <c r="D171">
        <f t="shared" ref="D171:D181" si="4">C171*D170</f>
        <v>2.8315212304224735</v>
      </c>
    </row>
    <row r="172" spans="1:4">
      <c r="A172" s="4">
        <v>49461</v>
      </c>
      <c r="B172">
        <v>0.34143224644549758</v>
      </c>
      <c r="C172">
        <v>1.0078990521327014</v>
      </c>
      <c r="D172">
        <f t="shared" si="4"/>
        <v>2.8538875642364312</v>
      </c>
    </row>
    <row r="173" spans="1:4">
      <c r="A173" s="4">
        <v>49491</v>
      </c>
      <c r="B173">
        <v>0.31297955924170612</v>
      </c>
      <c r="C173">
        <v>1.0078990521327014</v>
      </c>
      <c r="D173">
        <f t="shared" si="4"/>
        <v>2.8764305708872029</v>
      </c>
    </row>
    <row r="174" spans="1:4">
      <c r="A174" s="4">
        <v>49522</v>
      </c>
      <c r="B174">
        <v>0.15648977962085306</v>
      </c>
      <c r="C174">
        <v>1.0078990521327014</v>
      </c>
      <c r="D174">
        <f t="shared" si="4"/>
        <v>2.8991516459227369</v>
      </c>
    </row>
    <row r="175" spans="1:4">
      <c r="A175" s="4">
        <v>49553</v>
      </c>
      <c r="B175">
        <v>8.5358061611374395E-2</v>
      </c>
      <c r="C175">
        <v>1.0078990521327014</v>
      </c>
      <c r="D175">
        <f t="shared" si="4"/>
        <v>2.9220521959144876</v>
      </c>
    </row>
    <row r="176" spans="1:4">
      <c r="A176" s="4">
        <v>49583</v>
      </c>
      <c r="B176">
        <v>0.11396756398104264</v>
      </c>
      <c r="C176">
        <v>1.0078990521327014</v>
      </c>
      <c r="D176">
        <f t="shared" si="4"/>
        <v>2.9451336385444908</v>
      </c>
    </row>
    <row r="177" spans="1:4">
      <c r="A177" s="4">
        <v>49614</v>
      </c>
      <c r="B177">
        <v>0.66955943838862542</v>
      </c>
      <c r="C177">
        <v>1.0078990521327014</v>
      </c>
      <c r="D177">
        <f t="shared" si="4"/>
        <v>2.9683974026931264</v>
      </c>
    </row>
    <row r="178" spans="1:4">
      <c r="A178" s="4">
        <v>49644</v>
      </c>
      <c r="B178">
        <v>1.381856713270142</v>
      </c>
      <c r="C178">
        <v>1.0078990521327014</v>
      </c>
      <c r="D178">
        <f t="shared" si="4"/>
        <v>2.9918449285275748</v>
      </c>
    </row>
    <row r="179" spans="1:4">
      <c r="A179" s="4">
        <v>49675</v>
      </c>
      <c r="B179">
        <v>0.59832971090047393</v>
      </c>
      <c r="C179">
        <v>1.0078990521327014</v>
      </c>
      <c r="D179">
        <f t="shared" si="4"/>
        <v>3.0154776675909725</v>
      </c>
    </row>
    <row r="180" spans="1:4">
      <c r="A180" s="4">
        <v>49706</v>
      </c>
      <c r="B180">
        <v>0.47011620142180088</v>
      </c>
      <c r="C180">
        <v>1.0078990521327014</v>
      </c>
      <c r="D180">
        <f t="shared" si="4"/>
        <v>3.0392970828922703</v>
      </c>
    </row>
    <row r="181" spans="1:4">
      <c r="A181" s="4">
        <v>49735</v>
      </c>
      <c r="B181">
        <v>0.71229727488151651</v>
      </c>
      <c r="C181">
        <v>1.0078990521327014</v>
      </c>
      <c r="D181">
        <f t="shared" si="4"/>
        <v>3.0633046489968034</v>
      </c>
    </row>
    <row r="182" spans="1:4">
      <c r="A182" s="4">
        <v>49766</v>
      </c>
      <c r="B182">
        <v>0.79777294786729847</v>
      </c>
      <c r="C182">
        <v>1.0078990521327014</v>
      </c>
      <c r="D182">
        <f>C182*D181</f>
        <v>3.0875018521175757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5F318-39B4-4649-BBE2-92B142D6B878}">
  <dimension ref="A1:D121"/>
  <sheetViews>
    <sheetView workbookViewId="0">
      <selection sqref="A1:D1"/>
    </sheetView>
  </sheetViews>
  <sheetFormatPr defaultRowHeight="15"/>
  <cols>
    <col min="1" max="1" width="11.140625" customWidth="1"/>
    <col min="2" max="2" width="10.140625" customWidth="1"/>
    <col min="4" max="4" width="13" customWidth="1"/>
  </cols>
  <sheetData>
    <row r="1" spans="1:4">
      <c r="A1" t="s">
        <v>21</v>
      </c>
      <c r="B1" t="s">
        <v>150</v>
      </c>
      <c r="C1" t="s">
        <v>22</v>
      </c>
      <c r="D1" t="s">
        <v>149</v>
      </c>
    </row>
    <row r="2" spans="1:4">
      <c r="A2" s="4">
        <v>44317</v>
      </c>
      <c r="B2">
        <v>0.83</v>
      </c>
      <c r="C2">
        <v>1.0083</v>
      </c>
      <c r="D2">
        <v>1.0083</v>
      </c>
    </row>
    <row r="3" spans="1:4">
      <c r="A3" s="4">
        <v>44348</v>
      </c>
      <c r="B3">
        <v>0.53</v>
      </c>
      <c r="C3">
        <v>1.0053000000000001</v>
      </c>
      <c r="D3">
        <f>C3*D2</f>
        <v>1.0136439900000001</v>
      </c>
    </row>
    <row r="4" spans="1:4">
      <c r="A4" s="4">
        <v>44378</v>
      </c>
      <c r="B4">
        <v>0.96</v>
      </c>
      <c r="C4">
        <v>1.0096000000000001</v>
      </c>
      <c r="D4">
        <f t="shared" ref="D4:D67" si="0">C4*D3</f>
        <v>1.0233749723040002</v>
      </c>
    </row>
    <row r="5" spans="1:4">
      <c r="A5" s="4">
        <v>44409</v>
      </c>
      <c r="B5">
        <v>0.87</v>
      </c>
      <c r="C5">
        <v>1.0086999999999999</v>
      </c>
      <c r="D5">
        <f t="shared" si="0"/>
        <v>1.0322783345630449</v>
      </c>
    </row>
    <row r="6" spans="1:4">
      <c r="A6" s="4">
        <v>44440</v>
      </c>
      <c r="B6">
        <v>1.1599999999999999</v>
      </c>
      <c r="C6">
        <v>1.0116000000000001</v>
      </c>
      <c r="D6">
        <f t="shared" si="0"/>
        <v>1.0442527632439762</v>
      </c>
    </row>
    <row r="7" spans="1:4">
      <c r="A7" s="4">
        <v>44470</v>
      </c>
      <c r="B7">
        <v>1.25</v>
      </c>
      <c r="C7">
        <v>1.0125</v>
      </c>
      <c r="D7">
        <f t="shared" si="0"/>
        <v>1.0573059227845258</v>
      </c>
    </row>
    <row r="8" spans="1:4">
      <c r="A8" s="4">
        <v>44501</v>
      </c>
      <c r="B8">
        <v>0.95</v>
      </c>
      <c r="C8">
        <v>1.0095000000000001</v>
      </c>
      <c r="D8">
        <f t="shared" si="0"/>
        <v>1.0673503290509789</v>
      </c>
    </row>
    <row r="9" spans="1:4">
      <c r="A9" s="4">
        <v>44531</v>
      </c>
      <c r="B9">
        <v>0.73</v>
      </c>
      <c r="C9">
        <v>1.0073000000000001</v>
      </c>
      <c r="D9">
        <f t="shared" si="0"/>
        <v>1.0751419864530511</v>
      </c>
    </row>
    <row r="10" spans="1:4">
      <c r="A10" s="4">
        <v>44562</v>
      </c>
      <c r="B10">
        <v>0.54</v>
      </c>
      <c r="C10">
        <v>1.0054000000000001</v>
      </c>
      <c r="D10">
        <f t="shared" si="0"/>
        <v>1.0809477531798977</v>
      </c>
    </row>
    <row r="11" spans="1:4">
      <c r="A11" s="4">
        <v>44593</v>
      </c>
      <c r="B11">
        <v>1.01</v>
      </c>
      <c r="C11">
        <v>1.0101</v>
      </c>
      <c r="D11">
        <f t="shared" si="0"/>
        <v>1.0918653254870145</v>
      </c>
    </row>
    <row r="12" spans="1:4">
      <c r="A12" s="4">
        <v>44621</v>
      </c>
      <c r="B12">
        <v>1.62</v>
      </c>
      <c r="C12">
        <v>1.0162</v>
      </c>
      <c r="D12">
        <f t="shared" si="0"/>
        <v>1.1095535437599042</v>
      </c>
    </row>
    <row r="13" spans="1:4">
      <c r="A13" s="4">
        <v>44652</v>
      </c>
      <c r="B13">
        <v>1.06</v>
      </c>
      <c r="C13">
        <v>1.0105999999999999</v>
      </c>
      <c r="D13">
        <f t="shared" si="0"/>
        <v>1.1213148113237592</v>
      </c>
    </row>
    <row r="14" spans="1:4">
      <c r="A14" s="4">
        <v>44682</v>
      </c>
      <c r="B14">
        <v>0.47</v>
      </c>
      <c r="C14">
        <v>1.0046999999999999</v>
      </c>
      <c r="D14">
        <f t="shared" si="0"/>
        <v>1.1265849909369807</v>
      </c>
    </row>
    <row r="15" spans="1:4">
      <c r="A15" s="4">
        <v>44713</v>
      </c>
      <c r="B15">
        <v>0.67</v>
      </c>
      <c r="C15">
        <v>1.0066999999999999</v>
      </c>
      <c r="D15">
        <f t="shared" si="0"/>
        <v>1.1341331103762584</v>
      </c>
    </row>
    <row r="16" spans="1:4">
      <c r="A16" s="4">
        <v>44743</v>
      </c>
      <c r="B16">
        <v>-0.68</v>
      </c>
      <c r="C16">
        <v>0.99319999999999997</v>
      </c>
      <c r="D16">
        <f t="shared" si="0"/>
        <v>1.1264210052256998</v>
      </c>
    </row>
    <row r="17" spans="1:4">
      <c r="A17" s="4">
        <v>44774</v>
      </c>
      <c r="B17">
        <v>-0.36</v>
      </c>
      <c r="C17">
        <v>0.99639999999999995</v>
      </c>
      <c r="D17">
        <f t="shared" si="0"/>
        <v>1.1223658896068871</v>
      </c>
    </row>
    <row r="18" spans="1:4">
      <c r="A18" s="4">
        <v>44805</v>
      </c>
      <c r="B18">
        <v>-0.28999999999999998</v>
      </c>
      <c r="C18">
        <v>0.99709999999999999</v>
      </c>
      <c r="D18">
        <f t="shared" si="0"/>
        <v>1.1191110285270272</v>
      </c>
    </row>
    <row r="19" spans="1:4">
      <c r="A19" s="4">
        <v>44835</v>
      </c>
      <c r="B19">
        <v>0.33</v>
      </c>
      <c r="C19">
        <v>1.0033000000000001</v>
      </c>
      <c r="D19">
        <f t="shared" si="0"/>
        <v>1.1228040949211664</v>
      </c>
    </row>
    <row r="20" spans="1:4">
      <c r="A20" s="4">
        <v>44866</v>
      </c>
      <c r="B20">
        <v>0.94638500140897963</v>
      </c>
      <c r="C20">
        <v>1.0094638500140898</v>
      </c>
      <c r="D20">
        <f t="shared" si="0"/>
        <v>1.1334301444707062</v>
      </c>
    </row>
    <row r="21" spans="1:4">
      <c r="A21" s="4">
        <v>44896</v>
      </c>
      <c r="B21">
        <v>1.9531775560993834</v>
      </c>
      <c r="C21">
        <v>1.0195317755609938</v>
      </c>
      <c r="D21">
        <f t="shared" si="0"/>
        <v>1.1555680476665728</v>
      </c>
    </row>
    <row r="22" spans="1:4">
      <c r="A22" s="4">
        <v>44927</v>
      </c>
      <c r="B22">
        <v>0.84570574593993919</v>
      </c>
      <c r="C22">
        <v>1.0084570574593994</v>
      </c>
      <c r="D22">
        <f t="shared" si="0"/>
        <v>1.165340753043935</v>
      </c>
    </row>
    <row r="23" spans="1:4">
      <c r="A23" s="4">
        <v>44958</v>
      </c>
      <c r="B23">
        <v>0.66448308609566664</v>
      </c>
      <c r="C23">
        <v>1.0066448308609566</v>
      </c>
      <c r="D23">
        <f t="shared" si="0"/>
        <v>1.1730842452432917</v>
      </c>
    </row>
    <row r="24" spans="1:4">
      <c r="A24" s="4">
        <v>44986</v>
      </c>
      <c r="B24">
        <v>1.006792554690404</v>
      </c>
      <c r="C24">
        <v>1.0100679255469041</v>
      </c>
      <c r="D24">
        <f t="shared" si="0"/>
        <v>1.1848947700846473</v>
      </c>
    </row>
    <row r="25" spans="1:4">
      <c r="A25" s="4">
        <v>45017</v>
      </c>
      <c r="B25">
        <v>1.1276076612532524</v>
      </c>
      <c r="C25">
        <v>1.0112760766125326</v>
      </c>
      <c r="D25">
        <f t="shared" si="0"/>
        <v>1.1982557342899109</v>
      </c>
    </row>
    <row r="26" spans="1:4">
      <c r="A26" s="4">
        <v>45047</v>
      </c>
      <c r="B26">
        <v>0.41494999999999999</v>
      </c>
      <c r="C26">
        <v>1.0041495</v>
      </c>
      <c r="D26">
        <f t="shared" si="0"/>
        <v>1.203227896459347</v>
      </c>
    </row>
    <row r="27" spans="1:4">
      <c r="A27" s="4">
        <v>45078</v>
      </c>
      <c r="B27">
        <v>0.38303300000000001</v>
      </c>
      <c r="C27">
        <v>1.00383033</v>
      </c>
      <c r="D27">
        <f t="shared" si="0"/>
        <v>1.2078366563679921</v>
      </c>
    </row>
    <row r="28" spans="1:4">
      <c r="A28" s="4">
        <v>45108</v>
      </c>
      <c r="B28">
        <v>0.35111999999999999</v>
      </c>
      <c r="C28">
        <v>1.0035111999999999</v>
      </c>
      <c r="D28">
        <f t="shared" si="0"/>
        <v>1.2120776124358312</v>
      </c>
    </row>
    <row r="29" spans="1:4">
      <c r="A29" s="4">
        <v>45139</v>
      </c>
      <c r="B29">
        <v>0.17555687203791467</v>
      </c>
      <c r="C29">
        <v>1.0017555687203792</v>
      </c>
      <c r="D29">
        <f t="shared" si="0"/>
        <v>1.2142054979788954</v>
      </c>
    </row>
    <row r="30" spans="1:4">
      <c r="A30" s="4">
        <v>45170</v>
      </c>
      <c r="B30">
        <v>9.5758293838862543E-2</v>
      </c>
      <c r="C30">
        <v>1.0009575829383885</v>
      </c>
      <c r="D30">
        <f t="shared" si="0"/>
        <v>1.2153682004474575</v>
      </c>
    </row>
    <row r="31" spans="1:4">
      <c r="A31" s="4">
        <v>45200</v>
      </c>
      <c r="B31">
        <v>0.12767772511848341</v>
      </c>
      <c r="C31">
        <v>1.0012767772511848</v>
      </c>
      <c r="D31">
        <f t="shared" si="0"/>
        <v>1.2169199549176022</v>
      </c>
    </row>
    <row r="32" spans="1:4">
      <c r="A32" s="4">
        <v>45231</v>
      </c>
      <c r="B32">
        <v>0.66754478672985762</v>
      </c>
      <c r="C32">
        <v>1.0066754478672986</v>
      </c>
      <c r="D32">
        <f t="shared" si="0"/>
        <v>1.2250434406353299</v>
      </c>
    </row>
    <row r="33" spans="1:4">
      <c r="A33" s="4">
        <v>45261</v>
      </c>
      <c r="B33">
        <v>1.3776988151658764</v>
      </c>
      <c r="C33">
        <v>1.0137769881516587</v>
      </c>
      <c r="D33">
        <f t="shared" si="0"/>
        <v>1.24192084960223</v>
      </c>
    </row>
    <row r="34" spans="1:4">
      <c r="A34" s="4">
        <v>45292</v>
      </c>
      <c r="B34">
        <v>0.59652938388625576</v>
      </c>
      <c r="C34">
        <v>1.0059652938388626</v>
      </c>
      <c r="D34">
        <f t="shared" si="0"/>
        <v>1.2493292723947171</v>
      </c>
    </row>
    <row r="35" spans="1:4">
      <c r="A35" s="4">
        <v>45323</v>
      </c>
      <c r="B35">
        <v>0.46870165876777242</v>
      </c>
      <c r="C35">
        <v>1.0046870165876778</v>
      </c>
      <c r="D35">
        <f t="shared" si="0"/>
        <v>1.2551848994179027</v>
      </c>
    </row>
    <row r="36" spans="1:4">
      <c r="A36" s="4">
        <v>45352</v>
      </c>
      <c r="B36">
        <v>0.71015402843601882</v>
      </c>
      <c r="C36">
        <v>1.0071015402843602</v>
      </c>
      <c r="D36">
        <f t="shared" si="0"/>
        <v>1.2640986455454395</v>
      </c>
    </row>
    <row r="37" spans="1:4">
      <c r="A37" s="4">
        <v>45383</v>
      </c>
      <c r="B37">
        <v>0.79537251184834112</v>
      </c>
      <c r="C37">
        <v>1.0079537251184834</v>
      </c>
      <c r="D37">
        <f t="shared" si="0"/>
        <v>1.274152938694755</v>
      </c>
    </row>
    <row r="38" spans="1:4">
      <c r="A38" s="4">
        <v>45413</v>
      </c>
      <c r="B38">
        <v>0.3692800947867298</v>
      </c>
      <c r="C38">
        <v>1.0036928009478674</v>
      </c>
      <c r="D38">
        <f t="shared" si="0"/>
        <v>1.2788581318744949</v>
      </c>
    </row>
    <row r="39" spans="1:4">
      <c r="A39" s="4">
        <v>45444</v>
      </c>
      <c r="B39">
        <v>0.34087393364928903</v>
      </c>
      <c r="C39">
        <v>1.003408739336493</v>
      </c>
      <c r="D39">
        <f t="shared" si="0"/>
        <v>1.2832174258944096</v>
      </c>
    </row>
    <row r="40" spans="1:4">
      <c r="A40" s="4">
        <v>45474</v>
      </c>
      <c r="B40">
        <v>0.31246777251184826</v>
      </c>
      <c r="C40">
        <v>1.0031246777251184</v>
      </c>
      <c r="D40">
        <f t="shared" si="0"/>
        <v>1.2872270668015855</v>
      </c>
    </row>
    <row r="41" spans="1:4">
      <c r="A41" s="4">
        <v>45505</v>
      </c>
      <c r="B41">
        <v>0.15623388625592413</v>
      </c>
      <c r="C41">
        <v>1.0015623388625592</v>
      </c>
      <c r="D41">
        <f t="shared" si="0"/>
        <v>1.2892381516729876</v>
      </c>
    </row>
    <row r="42" spans="1:4">
      <c r="A42" s="4">
        <v>45536</v>
      </c>
      <c r="B42">
        <v>8.5218483412322257E-2</v>
      </c>
      <c r="C42">
        <v>1.0008521848341232</v>
      </c>
      <c r="D42">
        <f t="shared" si="0"/>
        <v>1.2903368208734163</v>
      </c>
    </row>
    <row r="43" spans="1:4">
      <c r="A43" s="4">
        <v>45566</v>
      </c>
      <c r="B43">
        <v>0.11362464454976301</v>
      </c>
      <c r="C43">
        <v>1.0011362464454976</v>
      </c>
      <c r="D43">
        <f t="shared" si="0"/>
        <v>1.2918029614996283</v>
      </c>
    </row>
    <row r="44" spans="1:4">
      <c r="A44" s="4">
        <v>45597</v>
      </c>
      <c r="B44">
        <v>0.64748625592417042</v>
      </c>
      <c r="C44">
        <v>1.0064748625592417</v>
      </c>
      <c r="D44">
        <f t="shared" si="0"/>
        <v>1.3001672081289597</v>
      </c>
    </row>
    <row r="45" spans="1:4">
      <c r="A45" s="4">
        <v>45627</v>
      </c>
      <c r="B45">
        <v>1.3363014218009477</v>
      </c>
      <c r="C45">
        <v>1.0133630142180095</v>
      </c>
      <c r="D45">
        <f t="shared" si="0"/>
        <v>1.3175413610169766</v>
      </c>
    </row>
    <row r="46" spans="1:4">
      <c r="A46" s="4">
        <v>45658</v>
      </c>
      <c r="B46">
        <v>0.57860473933649281</v>
      </c>
      <c r="C46">
        <v>1.0057860473933649</v>
      </c>
      <c r="D46">
        <f t="shared" si="0"/>
        <v>1.3251647177745394</v>
      </c>
    </row>
    <row r="47" spans="1:4">
      <c r="A47" s="4">
        <v>45689</v>
      </c>
      <c r="B47">
        <v>0.45461800947867292</v>
      </c>
      <c r="C47">
        <v>1.0045461800947868</v>
      </c>
      <c r="D47">
        <f t="shared" si="0"/>
        <v>1.3311891552367998</v>
      </c>
    </row>
    <row r="48" spans="1:4">
      <c r="A48" s="4">
        <v>45717</v>
      </c>
      <c r="B48">
        <v>0.68881516587677716</v>
      </c>
      <c r="C48">
        <v>1.0068881516587678</v>
      </c>
      <c r="D48">
        <f t="shared" si="0"/>
        <v>1.3403585880245779</v>
      </c>
    </row>
    <row r="49" spans="1:4">
      <c r="A49" s="4">
        <v>45748</v>
      </c>
      <c r="B49">
        <v>0.77147298578199042</v>
      </c>
      <c r="C49">
        <v>1.00771472985782</v>
      </c>
      <c r="D49">
        <f t="shared" si="0"/>
        <v>1.3506990924437965</v>
      </c>
    </row>
    <row r="50" spans="1:4">
      <c r="A50" s="4">
        <v>45778</v>
      </c>
      <c r="B50">
        <v>0.35818388625592412</v>
      </c>
      <c r="C50">
        <v>1.0035818388625593</v>
      </c>
      <c r="D50">
        <f t="shared" si="0"/>
        <v>1.3555370789447352</v>
      </c>
    </row>
    <row r="51" spans="1:4">
      <c r="A51" s="4">
        <v>45809</v>
      </c>
      <c r="B51">
        <v>0.33063127962085304</v>
      </c>
      <c r="C51">
        <v>1.0033063127962085</v>
      </c>
      <c r="D51">
        <f t="shared" si="0"/>
        <v>1.3600189085345853</v>
      </c>
    </row>
    <row r="52" spans="1:4">
      <c r="A52" s="4">
        <v>45839</v>
      </c>
      <c r="B52">
        <v>0.30307867298578195</v>
      </c>
      <c r="C52">
        <v>1.0030307867298578</v>
      </c>
      <c r="D52">
        <f t="shared" si="0"/>
        <v>1.3641408357949276</v>
      </c>
    </row>
    <row r="53" spans="1:4">
      <c r="A53" s="4">
        <v>45870</v>
      </c>
      <c r="B53">
        <v>0.15153933649289097</v>
      </c>
      <c r="C53">
        <v>1.001515393364929</v>
      </c>
      <c r="D53">
        <f t="shared" si="0"/>
        <v>1.3662080457663199</v>
      </c>
    </row>
    <row r="54" spans="1:4">
      <c r="A54" s="4">
        <v>45901</v>
      </c>
      <c r="B54">
        <v>8.2657819905213259E-2</v>
      </c>
      <c r="C54">
        <v>1.0008265781990522</v>
      </c>
      <c r="D54">
        <f t="shared" si="0"/>
        <v>1.3673373235523201</v>
      </c>
    </row>
    <row r="55" spans="1:4">
      <c r="A55" s="4">
        <v>45931</v>
      </c>
      <c r="B55">
        <v>0.11021042654028435</v>
      </c>
      <c r="C55">
        <v>1.0011021042654029</v>
      </c>
      <c r="D55">
        <f t="shared" si="0"/>
        <v>1.3688442718488516</v>
      </c>
    </row>
    <row r="56" spans="1:4">
      <c r="A56" s="4">
        <v>45962</v>
      </c>
      <c r="B56">
        <v>0.64681800947867285</v>
      </c>
      <c r="C56">
        <v>1.0064681800947868</v>
      </c>
      <c r="D56">
        <f t="shared" si="0"/>
        <v>1.3776982031208873</v>
      </c>
    </row>
    <row r="57" spans="1:4">
      <c r="A57" s="4">
        <v>45992</v>
      </c>
      <c r="B57">
        <v>1.3349222748815164</v>
      </c>
      <c r="C57">
        <v>1.0133492227488152</v>
      </c>
      <c r="D57">
        <f t="shared" si="0"/>
        <v>1.3960894033149904</v>
      </c>
    </row>
    <row r="58" spans="1:4">
      <c r="A58" s="4">
        <v>46023</v>
      </c>
      <c r="B58">
        <v>0.5780075829383885</v>
      </c>
      <c r="C58">
        <v>1.0057800758293838</v>
      </c>
      <c r="D58">
        <f t="shared" si="0"/>
        <v>1.4041589059307502</v>
      </c>
    </row>
    <row r="59" spans="1:4">
      <c r="A59" s="4">
        <v>46054</v>
      </c>
      <c r="B59">
        <v>0.45414881516587668</v>
      </c>
      <c r="C59">
        <v>1.0045414881516588</v>
      </c>
      <c r="D59">
        <f t="shared" si="0"/>
        <v>1.4105358769650809</v>
      </c>
    </row>
    <row r="60" spans="1:4">
      <c r="A60" s="4">
        <v>46082</v>
      </c>
      <c r="B60">
        <v>0.68810426540284353</v>
      </c>
      <c r="C60">
        <v>1.0068810426540284</v>
      </c>
      <c r="D60">
        <f t="shared" si="0"/>
        <v>1.4202418344995149</v>
      </c>
    </row>
    <row r="61" spans="1:4">
      <c r="A61" s="4">
        <v>46113</v>
      </c>
      <c r="B61">
        <v>0.77067677725118466</v>
      </c>
      <c r="C61">
        <v>1.0077067677725118</v>
      </c>
      <c r="D61">
        <f t="shared" si="0"/>
        <v>1.4311873084988087</v>
      </c>
    </row>
    <row r="62" spans="1:4">
      <c r="A62" s="4">
        <v>46143</v>
      </c>
      <c r="B62">
        <v>0.3578142180094786</v>
      </c>
      <c r="C62">
        <v>1.0035781421800949</v>
      </c>
      <c r="D62">
        <f t="shared" si="0"/>
        <v>1.4363083001749648</v>
      </c>
    </row>
    <row r="63" spans="1:4">
      <c r="A63" s="4">
        <v>46174</v>
      </c>
      <c r="B63">
        <v>0.33029004739336487</v>
      </c>
      <c r="C63">
        <v>1.0033029004739336</v>
      </c>
      <c r="D63">
        <f t="shared" si="0"/>
        <v>1.4410522835403274</v>
      </c>
    </row>
    <row r="64" spans="1:4">
      <c r="A64" s="4">
        <v>46204</v>
      </c>
      <c r="B64">
        <v>0.30276587677725114</v>
      </c>
      <c r="C64">
        <v>1.0030276587677724</v>
      </c>
      <c r="D64">
        <f t="shared" si="0"/>
        <v>1.4454152981214068</v>
      </c>
    </row>
    <row r="65" spans="1:4">
      <c r="A65" s="4">
        <v>46235</v>
      </c>
      <c r="B65">
        <v>0.15138293838862557</v>
      </c>
      <c r="C65">
        <v>1.0015138293838863</v>
      </c>
      <c r="D65">
        <f t="shared" si="0"/>
        <v>1.4476034102716218</v>
      </c>
    </row>
    <row r="66" spans="1:4">
      <c r="A66" s="4">
        <v>46266</v>
      </c>
      <c r="B66">
        <v>8.2572511848341218E-2</v>
      </c>
      <c r="C66">
        <v>1.0008257251184833</v>
      </c>
      <c r="D66">
        <f t="shared" si="0"/>
        <v>1.4487987327690852</v>
      </c>
    </row>
    <row r="67" spans="1:4">
      <c r="A67" s="4">
        <v>46296</v>
      </c>
      <c r="B67">
        <v>0.11009668246445496</v>
      </c>
      <c r="C67">
        <v>1.0011009668246444</v>
      </c>
      <c r="D67">
        <f t="shared" si="0"/>
        <v>1.4503938121094508</v>
      </c>
    </row>
    <row r="68" spans="1:4">
      <c r="A68" s="4">
        <v>46327</v>
      </c>
      <c r="B68">
        <v>0.65048222748815143</v>
      </c>
      <c r="C68">
        <v>1.0065048222748816</v>
      </c>
      <c r="D68">
        <f t="shared" ref="D68:D121" si="1">C68*D67</f>
        <v>1.4598283660858109</v>
      </c>
    </row>
    <row r="69" spans="1:4">
      <c r="A69" s="4">
        <v>46357</v>
      </c>
      <c r="B69">
        <v>1.3424845971563977</v>
      </c>
      <c r="C69">
        <v>1.013424845971564</v>
      </c>
      <c r="D69">
        <f t="shared" si="1"/>
        <v>1.4794263370454328</v>
      </c>
    </row>
    <row r="70" spans="1:4">
      <c r="A70" s="4">
        <v>46388</v>
      </c>
      <c r="B70">
        <v>0.5812819905213269</v>
      </c>
      <c r="C70">
        <v>1.0058128199052132</v>
      </c>
      <c r="D70">
        <f t="shared" si="1"/>
        <v>1.4880259759057071</v>
      </c>
    </row>
    <row r="71" spans="1:4">
      <c r="A71" s="4">
        <v>46419</v>
      </c>
      <c r="B71">
        <v>0.45672156398104258</v>
      </c>
      <c r="C71">
        <v>1.0045672156398104</v>
      </c>
      <c r="D71">
        <f t="shared" si="1"/>
        <v>1.4948221114153077</v>
      </c>
    </row>
    <row r="72" spans="1:4">
      <c r="A72" s="4">
        <v>46447</v>
      </c>
      <c r="B72">
        <v>0.69200236966824635</v>
      </c>
      <c r="C72">
        <v>1.0069200236966824</v>
      </c>
      <c r="D72">
        <f t="shared" si="1"/>
        <v>1.5051663158486266</v>
      </c>
    </row>
    <row r="73" spans="1:4">
      <c r="A73" s="4">
        <v>46478</v>
      </c>
      <c r="B73">
        <v>0.77504265402843586</v>
      </c>
      <c r="C73">
        <v>1.0077504265402843</v>
      </c>
      <c r="D73">
        <f t="shared" si="1"/>
        <v>1.5168319968105217</v>
      </c>
    </row>
    <row r="74" spans="1:4">
      <c r="A74" s="4">
        <v>46508</v>
      </c>
      <c r="B74">
        <v>0.35984123222748809</v>
      </c>
      <c r="C74">
        <v>1.003598412322275</v>
      </c>
      <c r="D74">
        <f t="shared" si="1"/>
        <v>1.5222901837586658</v>
      </c>
    </row>
    <row r="75" spans="1:4">
      <c r="A75" s="4">
        <v>46539</v>
      </c>
      <c r="B75">
        <v>0.3321611374407582</v>
      </c>
      <c r="C75">
        <v>1.0033216113744077</v>
      </c>
      <c r="D75">
        <f t="shared" si="1"/>
        <v>1.5273466401481877</v>
      </c>
    </row>
    <row r="76" spans="1:4">
      <c r="A76" s="4">
        <v>46569</v>
      </c>
      <c r="B76">
        <v>0.30448104265402837</v>
      </c>
      <c r="C76">
        <v>1.0030448104265404</v>
      </c>
      <c r="D76">
        <f t="shared" si="1"/>
        <v>1.5319971211230523</v>
      </c>
    </row>
    <row r="77" spans="1:4">
      <c r="A77" s="4">
        <v>46600</v>
      </c>
      <c r="B77">
        <v>0.15224052132701418</v>
      </c>
      <c r="C77">
        <v>1.0015224052132701</v>
      </c>
      <c r="D77">
        <f t="shared" si="1"/>
        <v>1.5343294415269648</v>
      </c>
    </row>
    <row r="78" spans="1:4">
      <c r="A78" s="4">
        <v>46631</v>
      </c>
      <c r="B78">
        <v>8.3040284360189551E-2</v>
      </c>
      <c r="C78">
        <v>1.0008304028436019</v>
      </c>
      <c r="D78">
        <f t="shared" si="1"/>
        <v>1.535603553058231</v>
      </c>
    </row>
    <row r="79" spans="1:4">
      <c r="A79" s="4">
        <v>46661</v>
      </c>
      <c r="B79">
        <v>0.11072037914691941</v>
      </c>
      <c r="C79">
        <v>1.0011072037914692</v>
      </c>
      <c r="D79">
        <f t="shared" si="1"/>
        <v>1.5373037791343707</v>
      </c>
    </row>
    <row r="80" spans="1:4">
      <c r="A80" s="4">
        <v>46692</v>
      </c>
      <c r="B80">
        <v>0.65446943127962065</v>
      </c>
      <c r="C80">
        <v>1.0065446943127963</v>
      </c>
      <c r="D80">
        <f t="shared" si="1"/>
        <v>1.5473649624347117</v>
      </c>
    </row>
    <row r="81" spans="1:4">
      <c r="A81" s="4">
        <v>46722</v>
      </c>
      <c r="B81">
        <v>1.3507135071090044</v>
      </c>
      <c r="C81">
        <v>1.01350713507109</v>
      </c>
      <c r="D81">
        <f t="shared" si="1"/>
        <v>1.5682654299865895</v>
      </c>
    </row>
    <row r="82" spans="1:4">
      <c r="A82" s="4">
        <v>46753</v>
      </c>
      <c r="B82">
        <v>0.58484502369668234</v>
      </c>
      <c r="C82">
        <v>1.0058484502369669</v>
      </c>
      <c r="D82">
        <f t="shared" si="1"/>
        <v>1.5774373523122216</v>
      </c>
    </row>
    <row r="83" spans="1:4">
      <c r="A83" s="4">
        <v>46784</v>
      </c>
      <c r="B83">
        <v>0.45952109004739328</v>
      </c>
      <c r="C83">
        <v>1.0045952109004739</v>
      </c>
      <c r="D83">
        <f t="shared" si="1"/>
        <v>1.5846860096283815</v>
      </c>
    </row>
    <row r="84" spans="1:4">
      <c r="A84" s="4">
        <v>46813</v>
      </c>
      <c r="B84">
        <v>0.69624407582938375</v>
      </c>
      <c r="C84">
        <v>1.0069624407582938</v>
      </c>
      <c r="D84">
        <f t="shared" si="1"/>
        <v>1.595719292090916</v>
      </c>
    </row>
    <row r="85" spans="1:4">
      <c r="A85" s="4">
        <v>46844</v>
      </c>
      <c r="B85">
        <v>0.77979336492890983</v>
      </c>
      <c r="C85">
        <v>1.007797933649289</v>
      </c>
      <c r="D85">
        <f t="shared" si="1"/>
        <v>1.6081626052535314</v>
      </c>
    </row>
    <row r="86" spans="1:4">
      <c r="A86" s="4">
        <v>46874</v>
      </c>
      <c r="B86">
        <v>0.36204691943127953</v>
      </c>
      <c r="C86">
        <v>1.0036204691943127</v>
      </c>
      <c r="D86">
        <f t="shared" si="1"/>
        <v>1.6139849084252975</v>
      </c>
    </row>
    <row r="87" spans="1:4">
      <c r="A87" s="4">
        <v>46905</v>
      </c>
      <c r="B87">
        <v>0.33419715639810421</v>
      </c>
      <c r="C87">
        <v>1.0033419715639811</v>
      </c>
      <c r="D87">
        <f t="shared" si="1"/>
        <v>1.6193788000939495</v>
      </c>
    </row>
    <row r="88" spans="1:4">
      <c r="A88" s="4">
        <v>46935</v>
      </c>
      <c r="B88">
        <v>0.30634739336492883</v>
      </c>
      <c r="C88">
        <v>1.0030634739336493</v>
      </c>
      <c r="D88">
        <f t="shared" si="1"/>
        <v>1.6243397248367415</v>
      </c>
    </row>
    <row r="89" spans="1:4">
      <c r="A89" s="4">
        <v>46966</v>
      </c>
      <c r="B89">
        <v>0.15317369668246442</v>
      </c>
      <c r="C89">
        <v>1.0015317369668246</v>
      </c>
      <c r="D89">
        <f t="shared" si="1"/>
        <v>1.6268277860399556</v>
      </c>
    </row>
    <row r="90" spans="1:4">
      <c r="A90" s="4">
        <v>46997</v>
      </c>
      <c r="B90">
        <v>8.3549289099526053E-2</v>
      </c>
      <c r="C90">
        <v>1.0008354928909953</v>
      </c>
      <c r="D90">
        <f t="shared" si="1"/>
        <v>1.6281869890900655</v>
      </c>
    </row>
    <row r="91" spans="1:4">
      <c r="A91" s="4">
        <v>47027</v>
      </c>
      <c r="B91">
        <v>0.1113990521327014</v>
      </c>
      <c r="C91">
        <v>1.0011139905213271</v>
      </c>
      <c r="D91">
        <f t="shared" si="1"/>
        <v>1.6300007739628599</v>
      </c>
    </row>
    <row r="92" spans="1:4">
      <c r="A92" s="4">
        <v>47058</v>
      </c>
      <c r="B92">
        <v>0.65791090047393341</v>
      </c>
      <c r="C92">
        <v>1.0065791090047393</v>
      </c>
      <c r="D92">
        <f t="shared" si="1"/>
        <v>1.6407247267325711</v>
      </c>
    </row>
    <row r="93" spans="1:4">
      <c r="A93" s="4">
        <v>47088</v>
      </c>
      <c r="B93">
        <v>1.3578161137440754</v>
      </c>
      <c r="C93">
        <v>1.0135781611374408</v>
      </c>
      <c r="D93">
        <f t="shared" si="1"/>
        <v>1.6630027514543295</v>
      </c>
    </row>
    <row r="94" spans="1:4">
      <c r="A94" s="4">
        <v>47119</v>
      </c>
      <c r="B94">
        <v>0.5879203791469193</v>
      </c>
      <c r="C94">
        <v>1.0058792037914692</v>
      </c>
      <c r="D94">
        <f t="shared" si="1"/>
        <v>1.6727798835359036</v>
      </c>
    </row>
    <row r="95" spans="1:4">
      <c r="A95" s="4">
        <v>47150</v>
      </c>
      <c r="B95">
        <v>0.46193744075829374</v>
      </c>
      <c r="C95">
        <v>1.0046193744075829</v>
      </c>
      <c r="D95">
        <f t="shared" si="1"/>
        <v>1.6805070801194288</v>
      </c>
    </row>
    <row r="96" spans="1:4">
      <c r="A96" s="4">
        <v>47178</v>
      </c>
      <c r="B96">
        <v>0.6999052132701421</v>
      </c>
      <c r="C96">
        <v>1.0069990521327015</v>
      </c>
      <c r="D96">
        <f t="shared" si="1"/>
        <v>1.6922690367825586</v>
      </c>
    </row>
    <row r="97" spans="1:4">
      <c r="A97" s="4">
        <v>47209</v>
      </c>
      <c r="B97">
        <v>0.78389383886255903</v>
      </c>
      <c r="C97">
        <v>1.0078389383886255</v>
      </c>
      <c r="D97">
        <f t="shared" si="1"/>
        <v>1.7055346294988756</v>
      </c>
    </row>
    <row r="98" spans="1:4">
      <c r="A98" s="4">
        <v>47239</v>
      </c>
      <c r="B98">
        <v>0.36395071090047387</v>
      </c>
      <c r="C98">
        <v>1.0036395071090047</v>
      </c>
      <c r="D98">
        <f t="shared" si="1"/>
        <v>1.7117419349075904</v>
      </c>
    </row>
    <row r="99" spans="1:4">
      <c r="A99" s="4">
        <v>47270</v>
      </c>
      <c r="B99">
        <v>0.33595450236966817</v>
      </c>
      <c r="C99">
        <v>1.0033595450236967</v>
      </c>
      <c r="D99">
        <f t="shared" si="1"/>
        <v>1.7174926090068623</v>
      </c>
    </row>
    <row r="100" spans="1:4">
      <c r="A100" s="4">
        <v>47300</v>
      </c>
      <c r="B100">
        <v>0.30795829383886247</v>
      </c>
      <c r="C100">
        <v>1.0030795829383887</v>
      </c>
      <c r="D100">
        <f t="shared" si="1"/>
        <v>1.7227817699423686</v>
      </c>
    </row>
    <row r="101" spans="1:4">
      <c r="A101" s="4">
        <v>47331</v>
      </c>
      <c r="B101">
        <v>0.15397914691943124</v>
      </c>
      <c r="C101">
        <v>1.0015397914691944</v>
      </c>
      <c r="D101">
        <f t="shared" si="1"/>
        <v>1.7254344946150095</v>
      </c>
    </row>
    <row r="102" spans="1:4">
      <c r="A102" s="4">
        <v>47362</v>
      </c>
      <c r="B102">
        <v>8.3988625592417043E-2</v>
      </c>
      <c r="C102">
        <v>1.0008398862559242</v>
      </c>
      <c r="D102">
        <f t="shared" si="1"/>
        <v>1.7268836633325342</v>
      </c>
    </row>
    <row r="103" spans="1:4">
      <c r="A103" s="4">
        <v>47392</v>
      </c>
      <c r="B103">
        <v>0.11198483412322273</v>
      </c>
      <c r="C103">
        <v>1.0011198483412322</v>
      </c>
      <c r="D103">
        <f t="shared" si="1"/>
        <v>1.7288175111384181</v>
      </c>
    </row>
    <row r="104" spans="1:4">
      <c r="A104" s="4">
        <v>47423</v>
      </c>
      <c r="B104">
        <v>0.66068412322274861</v>
      </c>
      <c r="C104">
        <v>1.0066068412322275</v>
      </c>
      <c r="D104">
        <f t="shared" si="1"/>
        <v>1.7402395339540044</v>
      </c>
    </row>
    <row r="105" spans="1:4">
      <c r="A105" s="4">
        <v>47453</v>
      </c>
      <c r="B105">
        <v>1.3635395734597153</v>
      </c>
      <c r="C105">
        <v>1.0136353957345972</v>
      </c>
      <c r="D105">
        <f t="shared" si="1"/>
        <v>1.7639683886724582</v>
      </c>
    </row>
    <row r="106" spans="1:4">
      <c r="A106" s="4">
        <v>47484</v>
      </c>
      <c r="B106">
        <v>0.59039857819905206</v>
      </c>
      <c r="C106">
        <v>1.0059039857819905</v>
      </c>
      <c r="D106">
        <f t="shared" si="1"/>
        <v>1.774382832959061</v>
      </c>
    </row>
    <row r="107" spans="1:4">
      <c r="A107" s="4">
        <v>47515</v>
      </c>
      <c r="B107">
        <v>0.46388459715639807</v>
      </c>
      <c r="C107">
        <v>1.0046388459715641</v>
      </c>
      <c r="D107">
        <f t="shared" si="1"/>
        <v>1.7826139216157455</v>
      </c>
    </row>
    <row r="108" spans="1:4">
      <c r="A108" s="4">
        <v>47543</v>
      </c>
      <c r="B108">
        <v>0.70285545023696683</v>
      </c>
      <c r="C108">
        <v>1.0070285545023696</v>
      </c>
      <c r="D108">
        <f t="shared" si="1"/>
        <v>1.7951431207205046</v>
      </c>
    </row>
    <row r="109" spans="1:4">
      <c r="A109" s="4">
        <v>47574</v>
      </c>
      <c r="B109">
        <v>0.78719810426540271</v>
      </c>
      <c r="C109">
        <v>1.007871981042654</v>
      </c>
      <c r="D109">
        <f t="shared" si="1"/>
        <v>1.8092744533356671</v>
      </c>
    </row>
    <row r="110" spans="1:4">
      <c r="A110" s="4">
        <v>47604</v>
      </c>
      <c r="B110">
        <v>0.36548483412322269</v>
      </c>
      <c r="C110">
        <v>1.0036548483412322</v>
      </c>
      <c r="D110">
        <f t="shared" si="1"/>
        <v>1.8158870770702746</v>
      </c>
    </row>
    <row r="111" spans="1:4">
      <c r="A111" s="4">
        <v>47635</v>
      </c>
      <c r="B111">
        <v>0.33737061611374403</v>
      </c>
      <c r="C111">
        <v>1.0033737061611374</v>
      </c>
      <c r="D111">
        <f t="shared" si="1"/>
        <v>1.8220133464901165</v>
      </c>
    </row>
    <row r="112" spans="1:4">
      <c r="A112" s="4">
        <v>47665</v>
      </c>
      <c r="B112">
        <v>0.30925639810426536</v>
      </c>
      <c r="C112">
        <v>1.0030925639810426</v>
      </c>
      <c r="D112">
        <f t="shared" si="1"/>
        <v>1.8276480393384507</v>
      </c>
    </row>
    <row r="113" spans="1:4">
      <c r="A113" s="4">
        <v>47696</v>
      </c>
      <c r="B113">
        <v>0.15462819905213268</v>
      </c>
      <c r="C113">
        <v>1.0015462819905214</v>
      </c>
      <c r="D113">
        <f t="shared" si="1"/>
        <v>1.8304740985866914</v>
      </c>
    </row>
    <row r="114" spans="1:4">
      <c r="A114" s="4">
        <v>47727</v>
      </c>
      <c r="B114">
        <v>8.4342654028436007E-2</v>
      </c>
      <c r="C114">
        <v>1.0008434265402844</v>
      </c>
      <c r="D114">
        <f t="shared" si="1"/>
        <v>1.8320179690227425</v>
      </c>
    </row>
    <row r="115" spans="1:4">
      <c r="A115" s="4">
        <v>47757</v>
      </c>
      <c r="B115">
        <v>0.11245687203791468</v>
      </c>
      <c r="C115">
        <v>1.0011245687203791</v>
      </c>
      <c r="D115">
        <f t="shared" si="1"/>
        <v>1.8340781991258779</v>
      </c>
    </row>
    <row r="116" spans="1:4">
      <c r="A116" s="4">
        <v>47788</v>
      </c>
      <c r="B116">
        <v>0.66295616113744049</v>
      </c>
      <c r="C116">
        <v>1.0066295616113745</v>
      </c>
      <c r="D116">
        <f t="shared" si="1"/>
        <v>1.8462373335470617</v>
      </c>
    </row>
    <row r="117" spans="1:4">
      <c r="A117" s="4">
        <v>47818</v>
      </c>
      <c r="B117">
        <v>1.3682286729857818</v>
      </c>
      <c r="C117">
        <v>1.0136822867298578</v>
      </c>
      <c r="D117">
        <f t="shared" si="1"/>
        <v>1.8714980821160208</v>
      </c>
    </row>
    <row r="118" spans="1:4">
      <c r="A118" s="4">
        <v>47849</v>
      </c>
      <c r="B118">
        <v>0.59242890995260655</v>
      </c>
      <c r="C118">
        <v>1.0059242890995261</v>
      </c>
      <c r="D118">
        <f t="shared" si="1"/>
        <v>1.8825853778036847</v>
      </c>
    </row>
    <row r="119" spans="1:4">
      <c r="A119" s="4">
        <v>47880</v>
      </c>
      <c r="B119">
        <v>0.46547985781990514</v>
      </c>
      <c r="C119">
        <v>1.0046547985781991</v>
      </c>
      <c r="D119">
        <f t="shared" si="1"/>
        <v>1.8913484335436237</v>
      </c>
    </row>
    <row r="120" spans="1:4">
      <c r="A120" s="4">
        <v>47908</v>
      </c>
      <c r="B120">
        <v>0.70527251184834117</v>
      </c>
      <c r="C120">
        <v>1.0070527251184833</v>
      </c>
      <c r="D120">
        <f t="shared" si="1"/>
        <v>1.9046875941486809</v>
      </c>
    </row>
    <row r="121" spans="1:4">
      <c r="A121" s="4">
        <v>47939</v>
      </c>
      <c r="B121">
        <v>0.78990521327014207</v>
      </c>
      <c r="C121">
        <v>1.0078990521327014</v>
      </c>
      <c r="D121">
        <f t="shared" si="1"/>
        <v>1.9197328207513709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E6134-B146-440A-8026-E18C424949DD}">
  <dimension ref="A1:B122"/>
  <sheetViews>
    <sheetView topLeftCell="A14" workbookViewId="0">
      <selection activeCell="B8" sqref="B8:B122"/>
    </sheetView>
  </sheetViews>
  <sheetFormatPr defaultRowHeight="15"/>
  <cols>
    <col min="1" max="1" width="11" customWidth="1"/>
  </cols>
  <sheetData>
    <row r="1" spans="1:2">
      <c r="A1" t="s">
        <v>104</v>
      </c>
      <c r="B1" t="s">
        <v>155</v>
      </c>
    </row>
    <row r="2" spans="1:2">
      <c r="A2" s="4">
        <v>44287</v>
      </c>
      <c r="B2">
        <v>2.6499999999999999E-2</v>
      </c>
    </row>
    <row r="3" spans="1:2" hidden="1">
      <c r="A3" s="4">
        <v>44317</v>
      </c>
      <c r="B3">
        <v>3.4000000000000002E-2</v>
      </c>
    </row>
    <row r="4" spans="1:2" hidden="1">
      <c r="A4" s="4">
        <v>44348</v>
      </c>
      <c r="B4">
        <v>3.4000000000000002E-2</v>
      </c>
    </row>
    <row r="5" spans="1:2" hidden="1">
      <c r="A5" s="4">
        <v>44378</v>
      </c>
      <c r="B5">
        <v>4.1500000000000002E-2</v>
      </c>
    </row>
    <row r="6" spans="1:2" hidden="1">
      <c r="A6" s="4">
        <v>44409</v>
      </c>
      <c r="B6">
        <v>5.1499999999999997E-2</v>
      </c>
    </row>
    <row r="7" spans="1:2" hidden="1">
      <c r="A7" s="4">
        <v>44440</v>
      </c>
      <c r="B7">
        <v>5.1499999999999997E-2</v>
      </c>
    </row>
    <row r="8" spans="1:2">
      <c r="A8" s="4">
        <v>44470</v>
      </c>
      <c r="B8">
        <v>6.1499999999999999E-2</v>
      </c>
    </row>
    <row r="9" spans="1:2" hidden="1">
      <c r="A9" s="4">
        <v>44501</v>
      </c>
      <c r="B9">
        <v>7.6499999999999999E-2</v>
      </c>
    </row>
    <row r="10" spans="1:2" hidden="1">
      <c r="A10" s="4">
        <v>44531</v>
      </c>
      <c r="B10">
        <v>9.1499999999999998E-2</v>
      </c>
    </row>
    <row r="11" spans="1:2" hidden="1">
      <c r="A11" s="4">
        <v>44562</v>
      </c>
      <c r="B11">
        <v>9.1499999999999998E-2</v>
      </c>
    </row>
    <row r="12" spans="1:2" hidden="1">
      <c r="A12" s="4">
        <v>44593</v>
      </c>
      <c r="B12">
        <v>0.1065</v>
      </c>
    </row>
    <row r="13" spans="1:2" hidden="1">
      <c r="A13" s="4">
        <v>44621</v>
      </c>
      <c r="B13">
        <v>0.1065</v>
      </c>
    </row>
    <row r="14" spans="1:2">
      <c r="A14" s="4">
        <v>44652</v>
      </c>
      <c r="B14">
        <v>0.11650000000000001</v>
      </c>
    </row>
    <row r="15" spans="1:2" hidden="1">
      <c r="A15" s="4">
        <v>44682</v>
      </c>
      <c r="B15">
        <v>0.1265</v>
      </c>
    </row>
    <row r="16" spans="1:2" hidden="1">
      <c r="A16" s="4">
        <v>44713</v>
      </c>
      <c r="B16">
        <v>0.1265</v>
      </c>
    </row>
    <row r="17" spans="1:2" hidden="1">
      <c r="A17" s="4">
        <v>44743</v>
      </c>
      <c r="B17">
        <v>0.13150000000000001</v>
      </c>
    </row>
    <row r="18" spans="1:2" hidden="1">
      <c r="A18" s="4">
        <v>44774</v>
      </c>
      <c r="B18">
        <v>0.13650000000000001</v>
      </c>
    </row>
    <row r="19" spans="1:2" hidden="1">
      <c r="A19" s="4">
        <v>44805</v>
      </c>
      <c r="B19">
        <v>0.13650000000000001</v>
      </c>
    </row>
    <row r="20" spans="1:2">
      <c r="A20" s="4">
        <v>44835</v>
      </c>
      <c r="B20">
        <v>0.13650000000000001</v>
      </c>
    </row>
    <row r="21" spans="1:2" hidden="1">
      <c r="A21" s="4">
        <v>44866</v>
      </c>
      <c r="B21">
        <v>0.13650000000000001</v>
      </c>
    </row>
    <row r="22" spans="1:2" hidden="1">
      <c r="A22" s="4">
        <v>44896</v>
      </c>
      <c r="B22">
        <v>0.13655999999999999</v>
      </c>
    </row>
    <row r="23" spans="1:2" hidden="1">
      <c r="A23" s="4">
        <v>44927</v>
      </c>
      <c r="B23">
        <v>0.13672000000000001</v>
      </c>
    </row>
    <row r="24" spans="1:2" hidden="1">
      <c r="A24" s="4">
        <v>44958</v>
      </c>
      <c r="B24">
        <v>0.13683999999999999</v>
      </c>
    </row>
    <row r="25" spans="1:2" hidden="1">
      <c r="A25" s="4">
        <v>44986</v>
      </c>
      <c r="B25">
        <v>0.13705000000000001</v>
      </c>
    </row>
    <row r="26" spans="1:2">
      <c r="A26" s="4">
        <v>45017</v>
      </c>
      <c r="B26">
        <v>0.13700000000000001</v>
      </c>
    </row>
    <row r="27" spans="1:2" hidden="1">
      <c r="A27" s="4">
        <v>45047</v>
      </c>
      <c r="B27">
        <v>0.13694999999999999</v>
      </c>
    </row>
    <row r="28" spans="1:2" hidden="1">
      <c r="A28" s="4">
        <v>45078</v>
      </c>
      <c r="B28">
        <v>0.13658000000000001</v>
      </c>
    </row>
    <row r="29" spans="1:2" hidden="1">
      <c r="A29" s="4">
        <v>45108</v>
      </c>
      <c r="B29">
        <v>0.1361</v>
      </c>
    </row>
    <row r="30" spans="1:2" hidden="1">
      <c r="A30" s="4">
        <v>45139</v>
      </c>
      <c r="B30">
        <v>0.13525000000000001</v>
      </c>
    </row>
    <row r="31" spans="1:2" hidden="1">
      <c r="A31" s="4">
        <v>45170</v>
      </c>
      <c r="B31">
        <v>0.13413</v>
      </c>
    </row>
    <row r="32" spans="1:2">
      <c r="A32" s="4">
        <v>45200</v>
      </c>
      <c r="B32">
        <v>0.13305</v>
      </c>
    </row>
    <row r="33" spans="1:2" hidden="1">
      <c r="A33" s="4">
        <v>45231</v>
      </c>
      <c r="B33">
        <v>0.13150999999999999</v>
      </c>
    </row>
    <row r="34" spans="1:2" hidden="1">
      <c r="A34" s="4">
        <v>45261</v>
      </c>
      <c r="B34">
        <v>0.13150999999999999</v>
      </c>
    </row>
    <row r="35" spans="1:2" hidden="1">
      <c r="A35" s="4">
        <v>45292</v>
      </c>
      <c r="B35">
        <v>0.12934999999999999</v>
      </c>
    </row>
    <row r="36" spans="1:2" hidden="1">
      <c r="A36" s="4">
        <v>45323</v>
      </c>
      <c r="B36">
        <v>0.12934999999999999</v>
      </c>
    </row>
    <row r="37" spans="1:2" hidden="1">
      <c r="A37" s="4">
        <v>45352</v>
      </c>
      <c r="B37">
        <v>0.12934999999999999</v>
      </c>
    </row>
    <row r="38" spans="1:2">
      <c r="A38" s="4">
        <v>45383</v>
      </c>
      <c r="B38">
        <v>0.12570000000000001</v>
      </c>
    </row>
    <row r="39" spans="1:2" hidden="1">
      <c r="A39" s="4">
        <v>45413</v>
      </c>
      <c r="B39">
        <v>0.12570000000000001</v>
      </c>
    </row>
    <row r="40" spans="1:2" hidden="1">
      <c r="A40" s="4">
        <v>45444</v>
      </c>
      <c r="B40">
        <v>0.12570000000000001</v>
      </c>
    </row>
    <row r="41" spans="1:2" hidden="1">
      <c r="A41" s="4">
        <v>45474</v>
      </c>
      <c r="B41">
        <v>0.1205</v>
      </c>
    </row>
    <row r="42" spans="1:2" hidden="1">
      <c r="A42" s="4">
        <v>45505</v>
      </c>
      <c r="B42">
        <v>0.1205</v>
      </c>
    </row>
    <row r="43" spans="1:2" hidden="1">
      <c r="A43" s="4">
        <v>45536</v>
      </c>
      <c r="B43">
        <v>0.1205</v>
      </c>
    </row>
    <row r="44" spans="1:2">
      <c r="A44" s="4">
        <v>45566</v>
      </c>
      <c r="B44">
        <v>0.11924999999999999</v>
      </c>
    </row>
    <row r="45" spans="1:2" hidden="1">
      <c r="A45" s="4">
        <v>45597</v>
      </c>
      <c r="B45">
        <v>0.11924999999999999</v>
      </c>
    </row>
    <row r="46" spans="1:2" hidden="1">
      <c r="A46" s="4">
        <v>45627</v>
      </c>
      <c r="B46">
        <v>0.11924999999999999</v>
      </c>
    </row>
    <row r="47" spans="1:2" hidden="1">
      <c r="A47" s="4">
        <v>45658</v>
      </c>
      <c r="B47">
        <v>0.1171</v>
      </c>
    </row>
    <row r="48" spans="1:2" hidden="1">
      <c r="A48" s="4">
        <v>45689</v>
      </c>
      <c r="B48">
        <v>0.1171</v>
      </c>
    </row>
    <row r="49" spans="1:2" hidden="1">
      <c r="A49" s="4">
        <v>45717</v>
      </c>
      <c r="B49">
        <v>0.1171</v>
      </c>
    </row>
    <row r="50" spans="1:2">
      <c r="A50" s="4">
        <v>45748</v>
      </c>
      <c r="B50">
        <v>0.11595</v>
      </c>
    </row>
    <row r="51" spans="1:2" hidden="1">
      <c r="A51" s="4">
        <v>45778</v>
      </c>
      <c r="B51">
        <v>0.11595</v>
      </c>
    </row>
    <row r="52" spans="1:2" hidden="1">
      <c r="A52" s="4">
        <v>45809</v>
      </c>
      <c r="B52">
        <v>0.11595</v>
      </c>
    </row>
    <row r="53" spans="1:2" hidden="1">
      <c r="A53" s="4">
        <v>45839</v>
      </c>
      <c r="B53">
        <v>0.11559999999999999</v>
      </c>
    </row>
    <row r="54" spans="1:2" hidden="1">
      <c r="A54" s="4">
        <v>45870</v>
      </c>
      <c r="B54">
        <v>0.11559999999999999</v>
      </c>
    </row>
    <row r="55" spans="1:2" hidden="1">
      <c r="A55" s="4">
        <v>45901</v>
      </c>
      <c r="B55">
        <v>0.11559999999999999</v>
      </c>
    </row>
    <row r="56" spans="1:2">
      <c r="A56" s="4">
        <v>45931</v>
      </c>
      <c r="B56">
        <v>0.11544</v>
      </c>
    </row>
    <row r="57" spans="1:2" hidden="1">
      <c r="A57" s="4">
        <v>45962</v>
      </c>
      <c r="B57">
        <v>0.11544</v>
      </c>
    </row>
    <row r="58" spans="1:2" hidden="1">
      <c r="A58" s="4">
        <v>45992</v>
      </c>
      <c r="B58">
        <v>0.11544</v>
      </c>
    </row>
    <row r="59" spans="1:2" hidden="1">
      <c r="A59" s="4">
        <v>46023</v>
      </c>
      <c r="B59">
        <v>0.1152</v>
      </c>
    </row>
    <row r="60" spans="1:2" hidden="1">
      <c r="A60" s="4">
        <v>46054</v>
      </c>
      <c r="B60">
        <v>0.1152</v>
      </c>
    </row>
    <row r="61" spans="1:2" hidden="1">
      <c r="A61" s="4">
        <v>46082</v>
      </c>
      <c r="B61">
        <v>0.1152</v>
      </c>
    </row>
    <row r="62" spans="1:2">
      <c r="A62" s="4">
        <v>46113</v>
      </c>
      <c r="B62">
        <v>0.11496000000000001</v>
      </c>
    </row>
    <row r="63" spans="1:2" hidden="1">
      <c r="A63" s="4">
        <v>46143</v>
      </c>
      <c r="B63">
        <v>0.11496000000000001</v>
      </c>
    </row>
    <row r="64" spans="1:2" hidden="1">
      <c r="A64" s="4">
        <v>46174</v>
      </c>
      <c r="B64">
        <v>0.11496000000000001</v>
      </c>
    </row>
    <row r="65" spans="1:2" hidden="1">
      <c r="A65" s="4">
        <v>46204</v>
      </c>
      <c r="B65">
        <v>0.115</v>
      </c>
    </row>
    <row r="66" spans="1:2" hidden="1">
      <c r="A66" s="4">
        <v>46235</v>
      </c>
      <c r="B66">
        <v>0.115</v>
      </c>
    </row>
    <row r="67" spans="1:2" hidden="1">
      <c r="A67" s="4">
        <v>46266</v>
      </c>
      <c r="B67">
        <v>0.115</v>
      </c>
    </row>
    <row r="68" spans="1:2">
      <c r="A68" s="4">
        <v>46296</v>
      </c>
      <c r="B68">
        <v>0.11491999999999999</v>
      </c>
    </row>
    <row r="69" spans="1:2" hidden="1">
      <c r="A69" s="4">
        <v>46327</v>
      </c>
      <c r="B69">
        <v>0.11491999999999999</v>
      </c>
    </row>
    <row r="70" spans="1:2" hidden="1">
      <c r="A70" s="4">
        <v>46357</v>
      </c>
      <c r="B70">
        <v>0.11491999999999999</v>
      </c>
    </row>
    <row r="71" spans="1:2" hidden="1">
      <c r="A71" s="4">
        <v>46388</v>
      </c>
      <c r="B71">
        <v>0.11484999999999999</v>
      </c>
    </row>
    <row r="72" spans="1:2" hidden="1">
      <c r="A72" s="4">
        <v>46419</v>
      </c>
      <c r="B72">
        <v>0.11484999999999999</v>
      </c>
    </row>
    <row r="73" spans="1:2" hidden="1">
      <c r="A73" s="4">
        <v>46447</v>
      </c>
      <c r="B73">
        <v>0.11484999999999999</v>
      </c>
    </row>
    <row r="74" spans="1:2">
      <c r="A74" s="4">
        <v>46478</v>
      </c>
      <c r="B74">
        <v>0.11484</v>
      </c>
    </row>
    <row r="75" spans="1:2" hidden="1">
      <c r="A75" s="4">
        <v>46508</v>
      </c>
      <c r="B75">
        <v>0.11484</v>
      </c>
    </row>
    <row r="76" spans="1:2" hidden="1">
      <c r="A76" s="4">
        <v>46539</v>
      </c>
      <c r="B76">
        <v>0.11484</v>
      </c>
    </row>
    <row r="77" spans="1:2" hidden="1">
      <c r="A77" s="4">
        <v>46569</v>
      </c>
      <c r="B77">
        <v>0.11459999999999999</v>
      </c>
    </row>
    <row r="78" spans="1:2" hidden="1">
      <c r="A78" s="4">
        <v>46600</v>
      </c>
      <c r="B78">
        <v>0.11459999999999999</v>
      </c>
    </row>
    <row r="79" spans="1:2" hidden="1">
      <c r="A79" s="4">
        <v>46631</v>
      </c>
      <c r="B79">
        <v>0.11459999999999999</v>
      </c>
    </row>
    <row r="80" spans="1:2">
      <c r="A80" s="4">
        <v>46661</v>
      </c>
      <c r="B80">
        <v>0.11473</v>
      </c>
    </row>
    <row r="81" spans="1:2" hidden="1">
      <c r="A81" s="4">
        <v>46692</v>
      </c>
      <c r="B81">
        <v>0.11473</v>
      </c>
    </row>
    <row r="82" spans="1:2" hidden="1">
      <c r="A82" s="4">
        <v>46722</v>
      </c>
      <c r="B82">
        <v>0.11473</v>
      </c>
    </row>
    <row r="83" spans="1:2" hidden="1">
      <c r="A83" s="4">
        <v>46753</v>
      </c>
      <c r="B83">
        <v>0.115</v>
      </c>
    </row>
    <row r="84" spans="1:2" hidden="1">
      <c r="A84" s="4">
        <v>46784</v>
      </c>
      <c r="B84">
        <v>0.115</v>
      </c>
    </row>
    <row r="85" spans="1:2" hidden="1">
      <c r="A85" s="4">
        <v>46813</v>
      </c>
      <c r="B85">
        <v>0.115</v>
      </c>
    </row>
    <row r="86" spans="1:2">
      <c r="A86" s="4">
        <v>46844</v>
      </c>
      <c r="B86">
        <v>0.115</v>
      </c>
    </row>
    <row r="87" spans="1:2" hidden="1">
      <c r="A87" s="4">
        <v>46874</v>
      </c>
      <c r="B87">
        <v>0.115</v>
      </c>
    </row>
    <row r="88" spans="1:2" hidden="1">
      <c r="A88" s="4">
        <v>46905</v>
      </c>
      <c r="B88">
        <v>0.115</v>
      </c>
    </row>
    <row r="89" spans="1:2" hidden="1">
      <c r="A89" s="4">
        <v>46935</v>
      </c>
      <c r="B89">
        <v>0.115</v>
      </c>
    </row>
    <row r="90" spans="1:2" hidden="1">
      <c r="A90" s="4">
        <v>46966</v>
      </c>
      <c r="B90">
        <v>0.115</v>
      </c>
    </row>
    <row r="91" spans="1:2" hidden="1">
      <c r="A91" s="4">
        <v>46997</v>
      </c>
      <c r="B91">
        <v>0.115</v>
      </c>
    </row>
    <row r="92" spans="1:2">
      <c r="A92" s="4">
        <v>47027</v>
      </c>
      <c r="B92">
        <v>0.115</v>
      </c>
    </row>
    <row r="93" spans="1:2" hidden="1">
      <c r="A93" s="4">
        <v>47058</v>
      </c>
      <c r="B93">
        <v>0.115</v>
      </c>
    </row>
    <row r="94" spans="1:2" hidden="1">
      <c r="A94" s="4">
        <v>47088</v>
      </c>
      <c r="B94">
        <v>0.115</v>
      </c>
    </row>
    <row r="95" spans="1:2" hidden="1">
      <c r="A95" s="4">
        <v>47119</v>
      </c>
      <c r="B95">
        <v>0.1159</v>
      </c>
    </row>
    <row r="96" spans="1:2" hidden="1">
      <c r="A96" s="4">
        <v>47150</v>
      </c>
      <c r="B96">
        <v>0.1159</v>
      </c>
    </row>
    <row r="97" spans="1:2" hidden="1">
      <c r="A97" s="4">
        <v>47178</v>
      </c>
      <c r="B97">
        <v>0.1159</v>
      </c>
    </row>
    <row r="98" spans="1:2">
      <c r="A98" s="4">
        <v>47209</v>
      </c>
      <c r="B98">
        <v>0.1159</v>
      </c>
    </row>
    <row r="99" spans="1:2" hidden="1">
      <c r="A99" s="4">
        <v>47239</v>
      </c>
      <c r="B99">
        <v>0.1159</v>
      </c>
    </row>
    <row r="100" spans="1:2" hidden="1">
      <c r="A100" s="4">
        <v>47270</v>
      </c>
      <c r="B100">
        <v>0.1159</v>
      </c>
    </row>
    <row r="101" spans="1:2" hidden="1">
      <c r="A101" s="4">
        <v>47300</v>
      </c>
      <c r="B101">
        <v>0.1159</v>
      </c>
    </row>
    <row r="102" spans="1:2" hidden="1">
      <c r="A102" s="4">
        <v>47331</v>
      </c>
      <c r="B102">
        <v>0.1159</v>
      </c>
    </row>
    <row r="103" spans="1:2" hidden="1">
      <c r="A103" s="4">
        <v>47362</v>
      </c>
      <c r="B103">
        <v>0.1159</v>
      </c>
    </row>
    <row r="104" spans="1:2">
      <c r="A104" s="4">
        <v>47392</v>
      </c>
      <c r="B104">
        <v>0.1159</v>
      </c>
    </row>
    <row r="105" spans="1:2" hidden="1">
      <c r="A105" s="4">
        <v>47423</v>
      </c>
      <c r="B105">
        <v>0.1159</v>
      </c>
    </row>
    <row r="106" spans="1:2" hidden="1">
      <c r="A106" s="4">
        <v>47453</v>
      </c>
      <c r="B106">
        <v>0.1159</v>
      </c>
    </row>
    <row r="107" spans="1:2" hidden="1">
      <c r="A107" s="4">
        <v>47484</v>
      </c>
      <c r="B107">
        <v>0.1162</v>
      </c>
    </row>
    <row r="108" spans="1:2" hidden="1">
      <c r="A108" s="4">
        <v>47515</v>
      </c>
      <c r="B108">
        <v>0.1162</v>
      </c>
    </row>
    <row r="109" spans="1:2" hidden="1">
      <c r="A109" s="4">
        <v>47543</v>
      </c>
      <c r="B109">
        <v>0.1162</v>
      </c>
    </row>
    <row r="110" spans="1:2">
      <c r="A110" s="4">
        <v>47574</v>
      </c>
      <c r="B110">
        <v>0.1162</v>
      </c>
    </row>
    <row r="111" spans="1:2" hidden="1">
      <c r="A111" s="4">
        <v>47604</v>
      </c>
      <c r="B111">
        <v>0.1162</v>
      </c>
    </row>
    <row r="112" spans="1:2" hidden="1">
      <c r="A112" s="4">
        <v>47635</v>
      </c>
      <c r="B112">
        <v>0.1162</v>
      </c>
    </row>
    <row r="113" spans="1:2" hidden="1">
      <c r="A113" s="4">
        <v>47665</v>
      </c>
      <c r="B113">
        <v>0.1162</v>
      </c>
    </row>
    <row r="114" spans="1:2" hidden="1">
      <c r="A114" s="4">
        <v>47696</v>
      </c>
      <c r="B114">
        <v>0.1162</v>
      </c>
    </row>
    <row r="115" spans="1:2" hidden="1">
      <c r="A115" s="4">
        <v>47727</v>
      </c>
      <c r="B115">
        <v>0.1162</v>
      </c>
    </row>
    <row r="116" spans="1:2">
      <c r="A116" s="4">
        <v>47757</v>
      </c>
      <c r="B116">
        <v>0.1162</v>
      </c>
    </row>
    <row r="117" spans="1:2" hidden="1">
      <c r="A117" s="4">
        <v>47788</v>
      </c>
      <c r="B117">
        <v>0.1162</v>
      </c>
    </row>
    <row r="118" spans="1:2" hidden="1">
      <c r="A118" s="4">
        <v>47818</v>
      </c>
      <c r="B118">
        <v>0.1162</v>
      </c>
    </row>
    <row r="119" spans="1:2" hidden="1">
      <c r="A119" s="4">
        <v>47849</v>
      </c>
      <c r="B119">
        <v>0.1166</v>
      </c>
    </row>
    <row r="120" spans="1:2" hidden="1">
      <c r="A120" s="4">
        <v>47880</v>
      </c>
      <c r="B120">
        <v>0.1166</v>
      </c>
    </row>
    <row r="121" spans="1:2" hidden="1">
      <c r="A121" s="4">
        <v>47908</v>
      </c>
      <c r="B121">
        <v>0.1166</v>
      </c>
    </row>
    <row r="122" spans="1:2">
      <c r="A122" s="4">
        <v>47939</v>
      </c>
      <c r="B122">
        <v>0.1166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CB358-137A-4507-A078-F6BE010FDDC9}">
  <dimension ref="A1:D193"/>
  <sheetViews>
    <sheetView workbookViewId="0">
      <selection sqref="A1:D1"/>
    </sheetView>
  </sheetViews>
  <sheetFormatPr defaultRowHeight="15"/>
  <cols>
    <col min="1" max="1" width="11.140625" customWidth="1"/>
    <col min="2" max="2" width="10.140625" customWidth="1"/>
    <col min="4" max="4" width="13" customWidth="1"/>
  </cols>
  <sheetData>
    <row r="1" spans="1:4">
      <c r="A1" t="s">
        <v>21</v>
      </c>
      <c r="B1" t="s">
        <v>150</v>
      </c>
      <c r="C1" t="s">
        <v>22</v>
      </c>
      <c r="D1" t="s">
        <v>149</v>
      </c>
    </row>
    <row r="2" spans="1:4" hidden="1">
      <c r="A2" s="4">
        <v>44136</v>
      </c>
      <c r="B2">
        <v>0.89</v>
      </c>
      <c r="C2">
        <v>1.0088999999999999</v>
      </c>
      <c r="D2">
        <v>1.0088999999999999</v>
      </c>
    </row>
    <row r="3" spans="1:4" hidden="1">
      <c r="A3" s="4">
        <v>44166</v>
      </c>
      <c r="B3">
        <v>1.35</v>
      </c>
      <c r="C3">
        <v>1.0135000000000001</v>
      </c>
      <c r="D3">
        <f t="shared" ref="D3:D65" si="0">C3*D2</f>
        <v>1.0225201500000001</v>
      </c>
    </row>
    <row r="4" spans="1:4" hidden="1">
      <c r="A4" s="4">
        <v>44197</v>
      </c>
      <c r="B4">
        <v>0.25</v>
      </c>
      <c r="C4">
        <v>1.0024999999999999</v>
      </c>
      <c r="D4">
        <f t="shared" si="0"/>
        <v>1.0250764503750001</v>
      </c>
    </row>
    <row r="5" spans="1:4" hidden="1">
      <c r="A5" s="4">
        <v>44228</v>
      </c>
      <c r="B5">
        <v>0.86</v>
      </c>
      <c r="C5">
        <v>1.0085999999999999</v>
      </c>
      <c r="D5">
        <f t="shared" si="0"/>
        <v>1.0338921078482251</v>
      </c>
    </row>
    <row r="6" spans="1:4" hidden="1">
      <c r="A6" s="4">
        <v>44256</v>
      </c>
      <c r="B6">
        <v>0.93</v>
      </c>
      <c r="C6">
        <v>1.0093000000000001</v>
      </c>
      <c r="D6">
        <f t="shared" si="0"/>
        <v>1.0435073044512135</v>
      </c>
    </row>
    <row r="7" spans="1:4">
      <c r="A7" s="4">
        <v>44287</v>
      </c>
      <c r="B7">
        <v>0.31</v>
      </c>
      <c r="C7">
        <v>1.0031000000000001</v>
      </c>
      <c r="D7">
        <f t="shared" si="0"/>
        <v>1.0467421770950125</v>
      </c>
    </row>
    <row r="8" spans="1:4" hidden="1">
      <c r="A8" s="4">
        <v>44317</v>
      </c>
      <c r="B8">
        <v>0.83</v>
      </c>
      <c r="C8">
        <v>1.0083</v>
      </c>
      <c r="D8">
        <f t="shared" si="0"/>
        <v>1.0554301371649011</v>
      </c>
    </row>
    <row r="9" spans="1:4" hidden="1">
      <c r="A9" s="4">
        <v>44348</v>
      </c>
      <c r="B9">
        <v>0.53</v>
      </c>
      <c r="C9">
        <v>1.0053000000000001</v>
      </c>
      <c r="D9">
        <f t="shared" si="0"/>
        <v>1.0610239168918751</v>
      </c>
    </row>
    <row r="10" spans="1:4" hidden="1">
      <c r="A10" s="4">
        <v>44378</v>
      </c>
      <c r="B10">
        <v>0.96</v>
      </c>
      <c r="C10">
        <v>1.0096000000000001</v>
      </c>
      <c r="D10">
        <f t="shared" si="0"/>
        <v>1.0712097464940371</v>
      </c>
    </row>
    <row r="11" spans="1:4" hidden="1">
      <c r="A11" s="4">
        <v>44409</v>
      </c>
      <c r="B11">
        <v>0.87</v>
      </c>
      <c r="C11">
        <v>1.0086999999999999</v>
      </c>
      <c r="D11">
        <f t="shared" si="0"/>
        <v>1.0805292712885353</v>
      </c>
    </row>
    <row r="12" spans="1:4" hidden="1">
      <c r="A12" s="4">
        <v>44440</v>
      </c>
      <c r="B12">
        <v>1.1599999999999999</v>
      </c>
      <c r="C12">
        <v>1.0116000000000001</v>
      </c>
      <c r="D12">
        <f t="shared" si="0"/>
        <v>1.0930634108354824</v>
      </c>
    </row>
    <row r="13" spans="1:4">
      <c r="A13" s="4">
        <v>44470</v>
      </c>
      <c r="B13">
        <v>1.25</v>
      </c>
      <c r="C13">
        <v>1.0125</v>
      </c>
      <c r="D13">
        <f t="shared" si="0"/>
        <v>1.1067267034709258</v>
      </c>
    </row>
    <row r="14" spans="1:4" hidden="1">
      <c r="A14" s="4">
        <v>44501</v>
      </c>
      <c r="B14">
        <v>0.95</v>
      </c>
      <c r="C14">
        <v>1.0095000000000001</v>
      </c>
      <c r="D14">
        <f t="shared" si="0"/>
        <v>1.1172406071538996</v>
      </c>
    </row>
    <row r="15" spans="1:4" hidden="1">
      <c r="A15" s="4">
        <v>44531</v>
      </c>
      <c r="B15">
        <v>0.73</v>
      </c>
      <c r="C15">
        <v>1.0073000000000001</v>
      </c>
      <c r="D15">
        <f t="shared" si="0"/>
        <v>1.1253964635861231</v>
      </c>
    </row>
    <row r="16" spans="1:4" hidden="1">
      <c r="A16" s="4">
        <v>44562</v>
      </c>
      <c r="B16">
        <v>0.54</v>
      </c>
      <c r="C16">
        <v>1.0054000000000001</v>
      </c>
      <c r="D16">
        <f t="shared" si="0"/>
        <v>1.1314736044894882</v>
      </c>
    </row>
    <row r="17" spans="1:4" hidden="1">
      <c r="A17" s="4">
        <v>44593</v>
      </c>
      <c r="B17">
        <v>1.01</v>
      </c>
      <c r="C17">
        <v>1.0101</v>
      </c>
      <c r="D17">
        <f t="shared" si="0"/>
        <v>1.142901487894832</v>
      </c>
    </row>
    <row r="18" spans="1:4" hidden="1">
      <c r="A18" s="4">
        <v>44621</v>
      </c>
      <c r="B18">
        <v>1.62</v>
      </c>
      <c r="C18">
        <v>1.0162</v>
      </c>
      <c r="D18">
        <f t="shared" si="0"/>
        <v>1.1614164919987282</v>
      </c>
    </row>
    <row r="19" spans="1:4">
      <c r="A19" s="4">
        <v>44652</v>
      </c>
      <c r="B19">
        <v>1.06</v>
      </c>
      <c r="C19">
        <v>1.0105999999999999</v>
      </c>
      <c r="D19">
        <f t="shared" si="0"/>
        <v>1.1737275068139146</v>
      </c>
    </row>
    <row r="20" spans="1:4" hidden="1">
      <c r="A20" s="4">
        <v>44682</v>
      </c>
      <c r="B20">
        <v>0.47</v>
      </c>
      <c r="C20">
        <v>1.0046999999999999</v>
      </c>
      <c r="D20">
        <f t="shared" si="0"/>
        <v>1.1792440260959398</v>
      </c>
    </row>
    <row r="21" spans="1:4" hidden="1">
      <c r="A21" s="4">
        <v>44713</v>
      </c>
      <c r="B21">
        <v>0.67</v>
      </c>
      <c r="C21">
        <v>1.0066999999999999</v>
      </c>
      <c r="D21">
        <f t="shared" si="0"/>
        <v>1.1871449610707825</v>
      </c>
    </row>
    <row r="22" spans="1:4" hidden="1">
      <c r="A22" s="4">
        <v>44743</v>
      </c>
      <c r="B22">
        <v>-0.68</v>
      </c>
      <c r="C22">
        <v>0.99319999999999997</v>
      </c>
      <c r="D22">
        <f t="shared" si="0"/>
        <v>1.1790723753355012</v>
      </c>
    </row>
    <row r="23" spans="1:4" hidden="1">
      <c r="A23" s="4">
        <v>44774</v>
      </c>
      <c r="B23">
        <v>-0.36</v>
      </c>
      <c r="C23">
        <v>0.99639999999999995</v>
      </c>
      <c r="D23">
        <f t="shared" si="0"/>
        <v>1.1748277147842934</v>
      </c>
    </row>
    <row r="24" spans="1:4" hidden="1">
      <c r="A24" s="4">
        <v>44805</v>
      </c>
      <c r="B24">
        <v>-0.28999999999999998</v>
      </c>
      <c r="C24">
        <v>0.99709999999999999</v>
      </c>
      <c r="D24">
        <f t="shared" si="0"/>
        <v>1.1714207144114188</v>
      </c>
    </row>
    <row r="25" spans="1:4">
      <c r="A25" s="4">
        <v>44835</v>
      </c>
      <c r="B25">
        <v>0.33</v>
      </c>
      <c r="C25">
        <v>1.0033000000000001</v>
      </c>
      <c r="D25">
        <f t="shared" si="0"/>
        <v>1.1752864027689767</v>
      </c>
    </row>
    <row r="26" spans="1:4" hidden="1">
      <c r="A26" s="4">
        <v>44866</v>
      </c>
      <c r="B26">
        <v>0.94638500140897963</v>
      </c>
      <c r="C26">
        <v>1.0094638500140898</v>
      </c>
      <c r="D26">
        <f t="shared" si="0"/>
        <v>1.1864091370083814</v>
      </c>
    </row>
    <row r="27" spans="1:4" hidden="1">
      <c r="A27" s="4">
        <v>44896</v>
      </c>
      <c r="B27">
        <v>1.9531775560993834</v>
      </c>
      <c r="C27">
        <v>1.0195317755609938</v>
      </c>
      <c r="D27">
        <f t="shared" si="0"/>
        <v>1.2095818139959413</v>
      </c>
    </row>
    <row r="28" spans="1:4" hidden="1">
      <c r="A28" s="4">
        <v>44927</v>
      </c>
      <c r="B28">
        <v>0.84570574593993919</v>
      </c>
      <c r="C28">
        <v>1.0084570574593994</v>
      </c>
      <c r="D28">
        <f t="shared" si="0"/>
        <v>1.2198113168987497</v>
      </c>
    </row>
    <row r="29" spans="1:4" hidden="1">
      <c r="A29" s="4">
        <v>44958</v>
      </c>
      <c r="B29">
        <v>0.66448308609566664</v>
      </c>
      <c r="C29">
        <v>1.0066448308609566</v>
      </c>
      <c r="D29">
        <f t="shared" si="0"/>
        <v>1.2279167567818225</v>
      </c>
    </row>
    <row r="30" spans="1:4" hidden="1">
      <c r="A30" s="4">
        <v>44986</v>
      </c>
      <c r="B30">
        <v>1.006792554690404</v>
      </c>
      <c r="C30">
        <v>1.0100679255469041</v>
      </c>
      <c r="D30">
        <f t="shared" si="0"/>
        <v>1.2402793312668978</v>
      </c>
    </row>
    <row r="31" spans="1:4">
      <c r="A31" s="4">
        <v>45017</v>
      </c>
      <c r="B31">
        <v>1.1276076612532524</v>
      </c>
      <c r="C31">
        <v>1.0112760766125326</v>
      </c>
      <c r="D31">
        <f t="shared" si="0"/>
        <v>1.2542648160272041</v>
      </c>
    </row>
    <row r="32" spans="1:4" hidden="1">
      <c r="A32" s="4">
        <v>45047</v>
      </c>
      <c r="B32">
        <v>0.41494999999999999</v>
      </c>
      <c r="C32">
        <v>1.0041495</v>
      </c>
      <c r="D32">
        <f t="shared" si="0"/>
        <v>1.259469387881309</v>
      </c>
    </row>
    <row r="33" spans="1:4" hidden="1">
      <c r="A33" s="4">
        <v>45078</v>
      </c>
      <c r="B33">
        <v>0.38303300000000001</v>
      </c>
      <c r="C33">
        <v>1.00383033</v>
      </c>
      <c r="D33">
        <f t="shared" si="0"/>
        <v>1.2642935712617924</v>
      </c>
    </row>
    <row r="34" spans="1:4" hidden="1">
      <c r="A34" s="4">
        <v>45108</v>
      </c>
      <c r="B34">
        <v>0.35111999999999999</v>
      </c>
      <c r="C34">
        <v>1.0035111999999999</v>
      </c>
      <c r="D34">
        <f t="shared" si="0"/>
        <v>1.2687327588492068</v>
      </c>
    </row>
    <row r="35" spans="1:4" hidden="1">
      <c r="A35" s="4">
        <v>45139</v>
      </c>
      <c r="B35">
        <v>0.17555687203791467</v>
      </c>
      <c r="C35">
        <v>1.0017555687203792</v>
      </c>
      <c r="D35">
        <f t="shared" si="0"/>
        <v>1.2709601063951628</v>
      </c>
    </row>
    <row r="36" spans="1:4" hidden="1">
      <c r="A36" s="4">
        <v>45170</v>
      </c>
      <c r="B36">
        <v>9.5758293838862543E-2</v>
      </c>
      <c r="C36">
        <v>1.0009575829383885</v>
      </c>
      <c r="D36">
        <f t="shared" si="0"/>
        <v>1.2721771561084192</v>
      </c>
    </row>
    <row r="37" spans="1:4">
      <c r="A37" s="4">
        <v>45200</v>
      </c>
      <c r="B37">
        <v>0.12767772511848341</v>
      </c>
      <c r="C37">
        <v>1.0012767772511848</v>
      </c>
      <c r="D37">
        <f t="shared" si="0"/>
        <v>1.2738014429608153</v>
      </c>
    </row>
    <row r="38" spans="1:4" hidden="1">
      <c r="A38" s="4">
        <v>45231</v>
      </c>
      <c r="B38">
        <v>0.66754478672985762</v>
      </c>
      <c r="C38">
        <v>1.0066754478672986</v>
      </c>
      <c r="D38">
        <f t="shared" si="0"/>
        <v>1.2823046380865899</v>
      </c>
    </row>
    <row r="39" spans="1:4" hidden="1">
      <c r="A39" s="4">
        <v>45261</v>
      </c>
      <c r="B39">
        <v>1.3776988151658764</v>
      </c>
      <c r="C39">
        <v>1.0137769881516587</v>
      </c>
      <c r="D39">
        <f t="shared" si="0"/>
        <v>1.299970933892326</v>
      </c>
    </row>
    <row r="40" spans="1:4" hidden="1">
      <c r="A40" s="4">
        <v>45292</v>
      </c>
      <c r="B40">
        <v>0.59652938388625576</v>
      </c>
      <c r="C40">
        <v>1.0059652938388626</v>
      </c>
      <c r="D40">
        <f t="shared" si="0"/>
        <v>1.3077256424949744</v>
      </c>
    </row>
    <row r="41" spans="1:4" hidden="1">
      <c r="A41" s="4">
        <v>45323</v>
      </c>
      <c r="B41">
        <v>0.46870165876777242</v>
      </c>
      <c r="C41">
        <v>1.0046870165876778</v>
      </c>
      <c r="D41">
        <f t="shared" si="0"/>
        <v>1.31385497427348</v>
      </c>
    </row>
    <row r="42" spans="1:4" hidden="1">
      <c r="A42" s="4">
        <v>45352</v>
      </c>
      <c r="B42">
        <v>0.71015402843601882</v>
      </c>
      <c r="C42">
        <v>1.0071015402843602</v>
      </c>
      <c r="D42">
        <f t="shared" si="0"/>
        <v>1.3231853683010901</v>
      </c>
    </row>
    <row r="43" spans="1:4">
      <c r="A43" s="4">
        <v>45383</v>
      </c>
      <c r="B43">
        <v>0.79537251184834112</v>
      </c>
      <c r="C43">
        <v>1.0079537251184834</v>
      </c>
      <c r="D43">
        <f t="shared" si="0"/>
        <v>1.3337096210013561</v>
      </c>
    </row>
    <row r="44" spans="1:4" hidden="1">
      <c r="A44" s="4">
        <v>45413</v>
      </c>
      <c r="B44">
        <v>0.3692800947867298</v>
      </c>
      <c r="C44">
        <v>1.0036928009478674</v>
      </c>
      <c r="D44">
        <f t="shared" si="0"/>
        <v>1.3386347451539697</v>
      </c>
    </row>
    <row r="45" spans="1:4" hidden="1">
      <c r="A45" s="4">
        <v>45444</v>
      </c>
      <c r="B45">
        <v>0.34087393364928903</v>
      </c>
      <c r="C45">
        <v>1.003408739336493</v>
      </c>
      <c r="D45">
        <f t="shared" si="0"/>
        <v>1.3431978020669724</v>
      </c>
    </row>
    <row r="46" spans="1:4" hidden="1">
      <c r="A46" s="4">
        <v>45474</v>
      </c>
      <c r="B46">
        <v>0.31246777251184826</v>
      </c>
      <c r="C46">
        <v>1.0031246777251184</v>
      </c>
      <c r="D46">
        <f t="shared" si="0"/>
        <v>1.3473948623195191</v>
      </c>
    </row>
    <row r="47" spans="1:4" hidden="1">
      <c r="A47" s="4">
        <v>45505</v>
      </c>
      <c r="B47">
        <v>0.15623388625592413</v>
      </c>
      <c r="C47">
        <v>1.0015623388625592</v>
      </c>
      <c r="D47">
        <f t="shared" si="0"/>
        <v>1.3494999496761335</v>
      </c>
    </row>
    <row r="48" spans="1:4" hidden="1">
      <c r="A48" s="4">
        <v>45536</v>
      </c>
      <c r="B48">
        <v>8.5218483412322257E-2</v>
      </c>
      <c r="C48">
        <v>1.0008521848341232</v>
      </c>
      <c r="D48">
        <f t="shared" si="0"/>
        <v>1.3506499730668975</v>
      </c>
    </row>
    <row r="49" spans="1:4">
      <c r="A49" s="4">
        <v>45566</v>
      </c>
      <c r="B49">
        <v>0.11362464454976301</v>
      </c>
      <c r="C49">
        <v>1.0011362464454976</v>
      </c>
      <c r="D49">
        <f t="shared" si="0"/>
        <v>1.3521846442979062</v>
      </c>
    </row>
    <row r="50" spans="1:4" hidden="1">
      <c r="A50" s="4">
        <v>45597</v>
      </c>
      <c r="B50">
        <v>0.64748625592417042</v>
      </c>
      <c r="C50">
        <v>1.0064748625592417</v>
      </c>
      <c r="D50">
        <f t="shared" si="0"/>
        <v>1.3609398540244522</v>
      </c>
    </row>
    <row r="51" spans="1:4" hidden="1">
      <c r="A51" s="4">
        <v>45627</v>
      </c>
      <c r="B51">
        <v>1.3363014218009477</v>
      </c>
      <c r="C51">
        <v>1.0133630142180095</v>
      </c>
      <c r="D51">
        <f t="shared" si="0"/>
        <v>1.3791261126436367</v>
      </c>
    </row>
    <row r="52" spans="1:4" hidden="1">
      <c r="A52" s="4">
        <v>45658</v>
      </c>
      <c r="B52">
        <v>0.57860473933649281</v>
      </c>
      <c r="C52">
        <v>1.0057860473933649</v>
      </c>
      <c r="D52">
        <f t="shared" si="0"/>
        <v>1.3871058016928199</v>
      </c>
    </row>
    <row r="53" spans="1:4" hidden="1">
      <c r="A53" s="4">
        <v>45689</v>
      </c>
      <c r="B53">
        <v>0.45461800947867292</v>
      </c>
      <c r="C53">
        <v>1.0045461800947868</v>
      </c>
      <c r="D53">
        <f t="shared" si="0"/>
        <v>1.3934118344778392</v>
      </c>
    </row>
    <row r="54" spans="1:4" hidden="1">
      <c r="A54" s="4">
        <v>45717</v>
      </c>
      <c r="B54">
        <v>0.68881516587677716</v>
      </c>
      <c r="C54">
        <v>1.0068881516587678</v>
      </c>
      <c r="D54">
        <f t="shared" si="0"/>
        <v>1.4030098665168445</v>
      </c>
    </row>
    <row r="55" spans="1:4">
      <c r="A55" s="4">
        <v>45748</v>
      </c>
      <c r="B55">
        <v>0.77147298578199042</v>
      </c>
      <c r="C55">
        <v>1.00771472985782</v>
      </c>
      <c r="D55">
        <f t="shared" si="0"/>
        <v>1.413833708624878</v>
      </c>
    </row>
    <row r="56" spans="1:4" hidden="1">
      <c r="A56" s="4">
        <v>45778</v>
      </c>
      <c r="B56">
        <v>0.35818388625592412</v>
      </c>
      <c r="C56">
        <v>1.0035818388625593</v>
      </c>
      <c r="D56">
        <f t="shared" si="0"/>
        <v>1.418897833147627</v>
      </c>
    </row>
    <row r="57" spans="1:4" hidden="1">
      <c r="A57" s="4">
        <v>45809</v>
      </c>
      <c r="B57">
        <v>0.33063127962085304</v>
      </c>
      <c r="C57">
        <v>1.0033063127962085</v>
      </c>
      <c r="D57">
        <f t="shared" si="0"/>
        <v>1.4235891532098754</v>
      </c>
    </row>
    <row r="58" spans="1:4" hidden="1">
      <c r="A58" s="4">
        <v>45839</v>
      </c>
      <c r="B58">
        <v>0.30307867298578195</v>
      </c>
      <c r="C58">
        <v>1.0030307867298578</v>
      </c>
      <c r="D58">
        <f t="shared" si="0"/>
        <v>1.4279037483241934</v>
      </c>
    </row>
    <row r="59" spans="1:4" hidden="1">
      <c r="A59" s="4">
        <v>45870</v>
      </c>
      <c r="B59">
        <v>0.15153933649289097</v>
      </c>
      <c r="C59">
        <v>1.001515393364929</v>
      </c>
      <c r="D59">
        <f t="shared" si="0"/>
        <v>1.4300675841901611</v>
      </c>
    </row>
    <row r="60" spans="1:4" hidden="1">
      <c r="A60" s="4">
        <v>45901</v>
      </c>
      <c r="B60">
        <v>8.2657819905213259E-2</v>
      </c>
      <c r="C60">
        <v>1.0008265781990522</v>
      </c>
      <c r="D60">
        <f t="shared" si="0"/>
        <v>1.4312496468784239</v>
      </c>
    </row>
    <row r="61" spans="1:4">
      <c r="A61" s="4">
        <v>45931</v>
      </c>
      <c r="B61">
        <v>0.11021042654028435</v>
      </c>
      <c r="C61">
        <v>1.0011021042654029</v>
      </c>
      <c r="D61">
        <f t="shared" si="0"/>
        <v>1.4328270332191051</v>
      </c>
    </row>
    <row r="62" spans="1:4" hidden="1">
      <c r="A62" s="4">
        <v>45962</v>
      </c>
      <c r="B62">
        <v>0.64681800947867285</v>
      </c>
      <c r="C62">
        <v>1.0064681800947868</v>
      </c>
      <c r="D62">
        <f t="shared" si="0"/>
        <v>1.4420948165146452</v>
      </c>
    </row>
    <row r="63" spans="1:4" hidden="1">
      <c r="A63" s="4">
        <v>45992</v>
      </c>
      <c r="B63">
        <v>1.3349222748815164</v>
      </c>
      <c r="C63">
        <v>1.0133492227488152</v>
      </c>
      <c r="D63">
        <f t="shared" si="0"/>
        <v>1.4613456614452109</v>
      </c>
    </row>
    <row r="64" spans="1:4" hidden="1">
      <c r="A64" s="4">
        <v>46023</v>
      </c>
      <c r="B64">
        <v>0.5780075829383885</v>
      </c>
      <c r="C64">
        <v>1.0057800758293838</v>
      </c>
      <c r="D64">
        <f t="shared" si="0"/>
        <v>1.4697923501813053</v>
      </c>
    </row>
    <row r="65" spans="1:4" hidden="1">
      <c r="A65" s="4">
        <v>46054</v>
      </c>
      <c r="B65">
        <v>0.45414881516587668</v>
      </c>
      <c r="C65">
        <v>1.0045414881516588</v>
      </c>
      <c r="D65">
        <f t="shared" si="0"/>
        <v>1.4764673947250524</v>
      </c>
    </row>
    <row r="66" spans="1:4" hidden="1">
      <c r="A66" s="4">
        <v>46082</v>
      </c>
      <c r="B66">
        <v>0.68810426540284353</v>
      </c>
      <c r="C66">
        <v>1.0068810426540284</v>
      </c>
      <c r="D66">
        <f t="shared" ref="D66:D129" si="1">C66*D65</f>
        <v>1.4866270298454378</v>
      </c>
    </row>
    <row r="67" spans="1:4">
      <c r="A67" s="4">
        <v>46113</v>
      </c>
      <c r="B67">
        <v>0.77067677725118466</v>
      </c>
      <c r="C67">
        <v>1.0077067677725118</v>
      </c>
      <c r="D67">
        <f t="shared" si="1"/>
        <v>1.4980841191287955</v>
      </c>
    </row>
    <row r="68" spans="1:4" hidden="1">
      <c r="A68" s="4">
        <v>46143</v>
      </c>
      <c r="B68">
        <v>0.3578142180094786</v>
      </c>
      <c r="C68">
        <v>1.0035781421800949</v>
      </c>
      <c r="D68">
        <f t="shared" si="1"/>
        <v>1.5034444771047806</v>
      </c>
    </row>
    <row r="69" spans="1:4" hidden="1">
      <c r="A69" s="4">
        <v>46174</v>
      </c>
      <c r="B69">
        <v>0.33029004739336487</v>
      </c>
      <c r="C69">
        <v>1.0033029004739336</v>
      </c>
      <c r="D69">
        <f t="shared" si="1"/>
        <v>1.5084102045807428</v>
      </c>
    </row>
    <row r="70" spans="1:4" hidden="1">
      <c r="A70" s="4">
        <v>46204</v>
      </c>
      <c r="B70">
        <v>0.30276587677725114</v>
      </c>
      <c r="C70">
        <v>1.0030276587677724</v>
      </c>
      <c r="D70">
        <f t="shared" si="1"/>
        <v>1.5129771559620391</v>
      </c>
    </row>
    <row r="71" spans="1:4" hidden="1">
      <c r="A71" s="4">
        <v>46235</v>
      </c>
      <c r="B71">
        <v>0.15138293838862557</v>
      </c>
      <c r="C71">
        <v>1.0015138293838863</v>
      </c>
      <c r="D71">
        <f t="shared" si="1"/>
        <v>1.5152675452378832</v>
      </c>
    </row>
    <row r="72" spans="1:4" hidden="1">
      <c r="A72" s="4">
        <v>46266</v>
      </c>
      <c r="B72">
        <v>8.2572511848341218E-2</v>
      </c>
      <c r="C72">
        <v>1.0008257251184833</v>
      </c>
      <c r="D72">
        <f t="shared" si="1"/>
        <v>1.5165187397112088</v>
      </c>
    </row>
    <row r="73" spans="1:4">
      <c r="A73" s="4">
        <v>46296</v>
      </c>
      <c r="B73">
        <v>0.11009668246445496</v>
      </c>
      <c r="C73">
        <v>1.0011009668246444</v>
      </c>
      <c r="D73">
        <f t="shared" si="1"/>
        <v>1.5181883765325823</v>
      </c>
    </row>
    <row r="74" spans="1:4" hidden="1">
      <c r="A74" s="4">
        <v>46327</v>
      </c>
      <c r="B74">
        <v>0.65048222748815143</v>
      </c>
      <c r="C74">
        <v>1.0065048222748816</v>
      </c>
      <c r="D74">
        <f t="shared" si="1"/>
        <v>1.5280639221017178</v>
      </c>
    </row>
    <row r="75" spans="1:4" hidden="1">
      <c r="A75" s="4">
        <v>46357</v>
      </c>
      <c r="B75">
        <v>1.3424845971563977</v>
      </c>
      <c r="C75">
        <v>1.013424845971564</v>
      </c>
      <c r="D75">
        <f t="shared" si="1"/>
        <v>1.5485779448906374</v>
      </c>
    </row>
    <row r="76" spans="1:4" hidden="1">
      <c r="A76" s="4">
        <v>46388</v>
      </c>
      <c r="B76">
        <v>0.5812819905213269</v>
      </c>
      <c r="C76">
        <v>1.0058128199052132</v>
      </c>
      <c r="D76">
        <f t="shared" si="1"/>
        <v>1.5575795495934719</v>
      </c>
    </row>
    <row r="77" spans="1:4" hidden="1">
      <c r="A77" s="4">
        <v>46419</v>
      </c>
      <c r="B77">
        <v>0.45672156398104258</v>
      </c>
      <c r="C77">
        <v>1.0045672156398104</v>
      </c>
      <c r="D77">
        <f t="shared" si="1"/>
        <v>1.564693351272624</v>
      </c>
    </row>
    <row r="78" spans="1:4" hidden="1">
      <c r="A78" s="4">
        <v>46447</v>
      </c>
      <c r="B78">
        <v>0.69200236966824635</v>
      </c>
      <c r="C78">
        <v>1.0069200236966824</v>
      </c>
      <c r="D78">
        <f t="shared" si="1"/>
        <v>1.575521066341472</v>
      </c>
    </row>
    <row r="79" spans="1:4">
      <c r="A79" s="4">
        <v>46478</v>
      </c>
      <c r="B79">
        <v>0.77504265402843586</v>
      </c>
      <c r="C79">
        <v>1.0077504265402843</v>
      </c>
      <c r="D79">
        <f t="shared" si="1"/>
        <v>1.5877320266288222</v>
      </c>
    </row>
    <row r="80" spans="1:4" hidden="1">
      <c r="A80" s="4">
        <v>46508</v>
      </c>
      <c r="B80">
        <v>0.35984123222748809</v>
      </c>
      <c r="C80">
        <v>1.003598412322275</v>
      </c>
      <c r="D80">
        <f t="shared" si="1"/>
        <v>1.5934453411179139</v>
      </c>
    </row>
    <row r="81" spans="1:4" hidden="1">
      <c r="A81" s="4">
        <v>46539</v>
      </c>
      <c r="B81">
        <v>0.3321611374407582</v>
      </c>
      <c r="C81">
        <v>1.0033216113744077</v>
      </c>
      <c r="D81">
        <f t="shared" si="1"/>
        <v>1.598738147287468</v>
      </c>
    </row>
    <row r="82" spans="1:4" hidden="1">
      <c r="A82" s="4">
        <v>46569</v>
      </c>
      <c r="B82">
        <v>0.30448104265402837</v>
      </c>
      <c r="C82">
        <v>1.0030448104265404</v>
      </c>
      <c r="D82">
        <f t="shared" si="1"/>
        <v>1.6036060018676368</v>
      </c>
    </row>
    <row r="83" spans="1:4" hidden="1">
      <c r="A83" s="4">
        <v>46600</v>
      </c>
      <c r="B83">
        <v>0.15224052132701418</v>
      </c>
      <c r="C83">
        <v>1.0015224052132701</v>
      </c>
      <c r="D83">
        <f t="shared" si="1"/>
        <v>1.6060473400049113</v>
      </c>
    </row>
    <row r="84" spans="1:4" hidden="1">
      <c r="A84" s="4">
        <v>46631</v>
      </c>
      <c r="B84">
        <v>8.3040284360189551E-2</v>
      </c>
      <c r="C84">
        <v>1.0008304028436019</v>
      </c>
      <c r="D84">
        <f t="shared" si="1"/>
        <v>1.6073810062830107</v>
      </c>
    </row>
    <row r="85" spans="1:4">
      <c r="A85" s="4">
        <v>46661</v>
      </c>
      <c r="B85">
        <v>0.11072037914691941</v>
      </c>
      <c r="C85">
        <v>1.0011072037914692</v>
      </c>
      <c r="D85">
        <f t="shared" si="1"/>
        <v>1.6091607046275029</v>
      </c>
    </row>
    <row r="86" spans="1:4" hidden="1">
      <c r="A86" s="4">
        <v>46692</v>
      </c>
      <c r="B86">
        <v>0.65446943127962065</v>
      </c>
      <c r="C86">
        <v>1.0065446943127963</v>
      </c>
      <c r="D86">
        <f t="shared" si="1"/>
        <v>1.6196921695394537</v>
      </c>
    </row>
    <row r="87" spans="1:4" hidden="1">
      <c r="A87" s="4">
        <v>46722</v>
      </c>
      <c r="B87">
        <v>1.3507135071090044</v>
      </c>
      <c r="C87">
        <v>1.01350713507109</v>
      </c>
      <c r="D87">
        <f t="shared" si="1"/>
        <v>1.6415695704470099</v>
      </c>
    </row>
    <row r="88" spans="1:4" hidden="1">
      <c r="A88" s="4">
        <v>46753</v>
      </c>
      <c r="B88">
        <v>0.58484502369668234</v>
      </c>
      <c r="C88">
        <v>1.0058484502369669</v>
      </c>
      <c r="D88">
        <f t="shared" si="1"/>
        <v>1.6511702083902884</v>
      </c>
    </row>
    <row r="89" spans="1:4" hidden="1">
      <c r="A89" s="4">
        <v>46784</v>
      </c>
      <c r="B89">
        <v>0.45952109004739328</v>
      </c>
      <c r="C89">
        <v>1.0045952109004739</v>
      </c>
      <c r="D89">
        <f t="shared" si="1"/>
        <v>1.6587576837304212</v>
      </c>
    </row>
    <row r="90" spans="1:4" hidden="1">
      <c r="A90" s="4">
        <v>46813</v>
      </c>
      <c r="B90">
        <v>0.69624407582938375</v>
      </c>
      <c r="C90">
        <v>1.0069624407582938</v>
      </c>
      <c r="D90">
        <f t="shared" si="1"/>
        <v>1.6703066858357589</v>
      </c>
    </row>
    <row r="91" spans="1:4">
      <c r="A91" s="4">
        <v>46844</v>
      </c>
      <c r="B91">
        <v>0.77979336492890983</v>
      </c>
      <c r="C91">
        <v>1.007797933649289</v>
      </c>
      <c r="D91">
        <f t="shared" si="1"/>
        <v>1.68333162654587</v>
      </c>
    </row>
    <row r="92" spans="1:4" hidden="1">
      <c r="A92" s="4">
        <v>46874</v>
      </c>
      <c r="B92">
        <v>0.36204691943127953</v>
      </c>
      <c r="C92">
        <v>1.0036204691943127</v>
      </c>
      <c r="D92">
        <f t="shared" si="1"/>
        <v>1.6894260768435916</v>
      </c>
    </row>
    <row r="93" spans="1:4" hidden="1">
      <c r="A93" s="4">
        <v>46905</v>
      </c>
      <c r="B93">
        <v>0.33419715639810421</v>
      </c>
      <c r="C93">
        <v>1.0033419715639811</v>
      </c>
      <c r="D93">
        <f t="shared" si="1"/>
        <v>1.6950720907518511</v>
      </c>
    </row>
    <row r="94" spans="1:4" hidden="1">
      <c r="A94" s="4">
        <v>46935</v>
      </c>
      <c r="B94">
        <v>0.30634739336492883</v>
      </c>
      <c r="C94">
        <v>1.0030634739336493</v>
      </c>
      <c r="D94">
        <f t="shared" si="1"/>
        <v>1.7002648999175256</v>
      </c>
    </row>
    <row r="95" spans="1:4" hidden="1">
      <c r="A95" s="4">
        <v>46966</v>
      </c>
      <c r="B95">
        <v>0.15317369668246442</v>
      </c>
      <c r="C95">
        <v>1.0015317369668246</v>
      </c>
      <c r="D95">
        <f t="shared" si="1"/>
        <v>1.7028692585181238</v>
      </c>
    </row>
    <row r="96" spans="1:4" hidden="1">
      <c r="A96" s="4">
        <v>46997</v>
      </c>
      <c r="B96">
        <v>8.3549289099526053E-2</v>
      </c>
      <c r="C96">
        <v>1.0008354928909953</v>
      </c>
      <c r="D96">
        <f t="shared" si="1"/>
        <v>1.70429199367791</v>
      </c>
    </row>
    <row r="97" spans="1:4">
      <c r="A97" s="4">
        <v>47027</v>
      </c>
      <c r="B97">
        <v>0.1113990521327014</v>
      </c>
      <c r="C97">
        <v>1.0011139905213271</v>
      </c>
      <c r="D97">
        <f t="shared" si="1"/>
        <v>1.7061905588044408</v>
      </c>
    </row>
    <row r="98" spans="1:4" hidden="1">
      <c r="A98" s="4">
        <v>47058</v>
      </c>
      <c r="B98">
        <v>0.65791090047393341</v>
      </c>
      <c r="C98">
        <v>1.0065791090047393</v>
      </c>
      <c r="D98">
        <f t="shared" si="1"/>
        <v>1.7174157724736723</v>
      </c>
    </row>
    <row r="99" spans="1:4" hidden="1">
      <c r="A99" s="4">
        <v>47088</v>
      </c>
      <c r="B99">
        <v>1.3578161137440754</v>
      </c>
      <c r="C99">
        <v>1.0135781611374408</v>
      </c>
      <c r="D99">
        <f t="shared" si="1"/>
        <v>1.7407351205723023</v>
      </c>
    </row>
    <row r="100" spans="1:4" hidden="1">
      <c r="A100" s="4">
        <v>47119</v>
      </c>
      <c r="B100">
        <v>0.5879203791469193</v>
      </c>
      <c r="C100">
        <v>1.0058792037914692</v>
      </c>
      <c r="D100">
        <f t="shared" si="1"/>
        <v>1.7509692570931146</v>
      </c>
    </row>
    <row r="101" spans="1:4" hidden="1">
      <c r="A101" s="4">
        <v>47150</v>
      </c>
      <c r="B101">
        <v>0.46193744075829374</v>
      </c>
      <c r="C101">
        <v>1.0046193744075829</v>
      </c>
      <c r="D101">
        <f t="shared" si="1"/>
        <v>1.7590576396677948</v>
      </c>
    </row>
    <row r="102" spans="1:4" hidden="1">
      <c r="A102" s="4">
        <v>47178</v>
      </c>
      <c r="B102">
        <v>0.6999052132701421</v>
      </c>
      <c r="C102">
        <v>1.0069990521327015</v>
      </c>
      <c r="D102">
        <f t="shared" si="1"/>
        <v>1.7713693757922566</v>
      </c>
    </row>
    <row r="103" spans="1:4">
      <c r="A103" s="4">
        <v>47209</v>
      </c>
      <c r="B103">
        <v>0.78389383886255903</v>
      </c>
      <c r="C103">
        <v>1.0078389383886255</v>
      </c>
      <c r="D103">
        <f t="shared" si="1"/>
        <v>1.7852550311925901</v>
      </c>
    </row>
    <row r="104" spans="1:4" hidden="1">
      <c r="A104" s="4">
        <v>47239</v>
      </c>
      <c r="B104">
        <v>0.36395071090047387</v>
      </c>
      <c r="C104">
        <v>1.0036395071090047</v>
      </c>
      <c r="D104">
        <f t="shared" si="1"/>
        <v>1.7917524795700019</v>
      </c>
    </row>
    <row r="105" spans="1:4" hidden="1">
      <c r="A105" s="4">
        <v>47270</v>
      </c>
      <c r="B105">
        <v>0.33595450236966817</v>
      </c>
      <c r="C105">
        <v>1.0033595450236967</v>
      </c>
      <c r="D105">
        <f t="shared" si="1"/>
        <v>1.7977719526964375</v>
      </c>
    </row>
    <row r="106" spans="1:4" hidden="1">
      <c r="A106" s="4">
        <v>47300</v>
      </c>
      <c r="B106">
        <v>0.30795829383886247</v>
      </c>
      <c r="C106">
        <v>1.0030795829383887</v>
      </c>
      <c r="D106">
        <f t="shared" si="1"/>
        <v>1.8033083405290753</v>
      </c>
    </row>
    <row r="107" spans="1:4" hidden="1">
      <c r="A107" s="4">
        <v>47331</v>
      </c>
      <c r="B107">
        <v>0.15397914691943124</v>
      </c>
      <c r="C107">
        <v>1.0015397914691944</v>
      </c>
      <c r="D107">
        <f t="shared" si="1"/>
        <v>1.806085059328149</v>
      </c>
    </row>
    <row r="108" spans="1:4" hidden="1">
      <c r="A108" s="4">
        <v>47362</v>
      </c>
      <c r="B108">
        <v>8.3988625592417043E-2</v>
      </c>
      <c r="C108">
        <v>1.0008398862559242</v>
      </c>
      <c r="D108">
        <f t="shared" si="1"/>
        <v>1.8076019653465087</v>
      </c>
    </row>
    <row r="109" spans="1:4">
      <c r="A109" s="4">
        <v>47392</v>
      </c>
      <c r="B109">
        <v>0.11198483412322273</v>
      </c>
      <c r="C109">
        <v>1.0011198483412322</v>
      </c>
      <c r="D109">
        <f t="shared" si="1"/>
        <v>1.8096262054090102</v>
      </c>
    </row>
    <row r="110" spans="1:4" hidden="1">
      <c r="A110" s="4">
        <v>47423</v>
      </c>
      <c r="B110">
        <v>0.66068412322274861</v>
      </c>
      <c r="C110">
        <v>1.0066068412322275</v>
      </c>
      <c r="D110">
        <f t="shared" si="1"/>
        <v>1.821582118437826</v>
      </c>
    </row>
    <row r="111" spans="1:4" hidden="1">
      <c r="A111" s="4">
        <v>47453</v>
      </c>
      <c r="B111">
        <v>1.3635395734597153</v>
      </c>
      <c r="C111">
        <v>1.0136353957345972</v>
      </c>
      <c r="D111">
        <f t="shared" si="1"/>
        <v>1.8464201114857917</v>
      </c>
    </row>
    <row r="112" spans="1:4" hidden="1">
      <c r="A112" s="4">
        <v>47484</v>
      </c>
      <c r="B112">
        <v>0.59039857819905206</v>
      </c>
      <c r="C112">
        <v>1.0059039857819905</v>
      </c>
      <c r="D112">
        <f t="shared" si="1"/>
        <v>1.857321349571585</v>
      </c>
    </row>
    <row r="113" spans="1:4" hidden="1">
      <c r="A113" s="4">
        <v>47515</v>
      </c>
      <c r="B113">
        <v>0.46388459715639807</v>
      </c>
      <c r="C113">
        <v>1.0046388459715641</v>
      </c>
      <c r="D113">
        <f t="shared" si="1"/>
        <v>1.8659371772319451</v>
      </c>
    </row>
    <row r="114" spans="1:4" hidden="1">
      <c r="A114" s="4">
        <v>47543</v>
      </c>
      <c r="B114">
        <v>0.70285545023696683</v>
      </c>
      <c r="C114">
        <v>1.0070285545023696</v>
      </c>
      <c r="D114">
        <f t="shared" si="1"/>
        <v>1.8790520183801176</v>
      </c>
    </row>
    <row r="115" spans="1:4">
      <c r="A115" s="4">
        <v>47574</v>
      </c>
      <c r="B115">
        <v>0.78719810426540271</v>
      </c>
      <c r="C115">
        <v>1.007871981042654</v>
      </c>
      <c r="D115">
        <f t="shared" si="1"/>
        <v>1.8938438802469666</v>
      </c>
    </row>
    <row r="116" spans="1:4" hidden="1">
      <c r="A116" s="4">
        <v>47604</v>
      </c>
      <c r="B116">
        <v>0.36548483412322269</v>
      </c>
      <c r="C116">
        <v>1.0036548483412322</v>
      </c>
      <c r="D116">
        <f t="shared" si="1"/>
        <v>1.9007655924112399</v>
      </c>
    </row>
    <row r="117" spans="1:4" hidden="1">
      <c r="A117" s="4">
        <v>47635</v>
      </c>
      <c r="B117">
        <v>0.33737061611374403</v>
      </c>
      <c r="C117">
        <v>1.0033737061611374</v>
      </c>
      <c r="D117">
        <f t="shared" si="1"/>
        <v>1.9071782170012357</v>
      </c>
    </row>
    <row r="118" spans="1:4" hidden="1">
      <c r="A118" s="4">
        <v>47665</v>
      </c>
      <c r="B118">
        <v>0.30925639810426536</v>
      </c>
      <c r="C118">
        <v>1.0030925639810426</v>
      </c>
      <c r="D118">
        <f t="shared" si="1"/>
        <v>1.9130762876605627</v>
      </c>
    </row>
    <row r="119" spans="1:4" hidden="1">
      <c r="A119" s="4">
        <v>47696</v>
      </c>
      <c r="B119">
        <v>0.15462819905213268</v>
      </c>
      <c r="C119">
        <v>1.0015462819905214</v>
      </c>
      <c r="D119">
        <f t="shared" si="1"/>
        <v>1.9160344430706657</v>
      </c>
    </row>
    <row r="120" spans="1:4" hidden="1">
      <c r="A120" s="4">
        <v>47727</v>
      </c>
      <c r="B120">
        <v>8.4342654028436007E-2</v>
      </c>
      <c r="C120">
        <v>1.0008434265402844</v>
      </c>
      <c r="D120">
        <f t="shared" si="1"/>
        <v>1.9176504773720504</v>
      </c>
    </row>
    <row r="121" spans="1:4">
      <c r="A121" s="4">
        <v>47757</v>
      </c>
      <c r="B121">
        <v>0.11245687203791468</v>
      </c>
      <c r="C121">
        <v>1.0011245687203791</v>
      </c>
      <c r="D121">
        <f t="shared" si="1"/>
        <v>1.9198070071155231</v>
      </c>
    </row>
    <row r="122" spans="1:4" hidden="1">
      <c r="A122" s="4">
        <v>47788</v>
      </c>
      <c r="B122">
        <v>0.66295616113744049</v>
      </c>
      <c r="C122">
        <v>1.0066295616113745</v>
      </c>
      <c r="D122">
        <f t="shared" si="1"/>
        <v>1.932534485951144</v>
      </c>
    </row>
    <row r="123" spans="1:4" hidden="1">
      <c r="A123" s="4">
        <v>47818</v>
      </c>
      <c r="B123">
        <v>1.3682286729857818</v>
      </c>
      <c r="C123">
        <v>1.0136822867298578</v>
      </c>
      <c r="D123">
        <f t="shared" si="1"/>
        <v>1.958975976903266</v>
      </c>
    </row>
    <row r="124" spans="1:4" hidden="1">
      <c r="A124" s="4">
        <v>47849</v>
      </c>
      <c r="B124">
        <v>0.59242890995260655</v>
      </c>
      <c r="C124">
        <v>1.0059242890995261</v>
      </c>
      <c r="D124">
        <f t="shared" si="1"/>
        <v>1.9705815169294676</v>
      </c>
    </row>
    <row r="125" spans="1:4" hidden="1">
      <c r="A125" s="4">
        <v>47880</v>
      </c>
      <c r="B125">
        <v>0.46547985781990514</v>
      </c>
      <c r="C125">
        <v>1.0046547985781991</v>
      </c>
      <c r="D125">
        <f t="shared" si="1"/>
        <v>1.9797541769726963</v>
      </c>
    </row>
    <row r="126" spans="1:4" hidden="1">
      <c r="A126" s="4">
        <v>47908</v>
      </c>
      <c r="B126">
        <v>0.70527251184834117</v>
      </c>
      <c r="C126">
        <v>1.0070527251184833</v>
      </c>
      <c r="D126">
        <f t="shared" si="1"/>
        <v>1.9937168389850539</v>
      </c>
    </row>
    <row r="127" spans="1:4">
      <c r="A127" s="4">
        <v>47939</v>
      </c>
      <c r="B127">
        <v>0.78990521327014207</v>
      </c>
      <c r="C127">
        <v>1.0078990521327014</v>
      </c>
      <c r="D127">
        <f t="shared" si="1"/>
        <v>2.0094653122340413</v>
      </c>
    </row>
    <row r="128" spans="1:4" hidden="1">
      <c r="A128" s="4">
        <v>47969</v>
      </c>
      <c r="B128">
        <v>0.36674170616113738</v>
      </c>
      <c r="C128">
        <v>1.0036674170616113</v>
      </c>
      <c r="D128">
        <f t="shared" si="1"/>
        <v>2.0168348596048444</v>
      </c>
    </row>
    <row r="129" spans="1:4" hidden="1">
      <c r="A129" s="4">
        <v>48000</v>
      </c>
      <c r="B129">
        <v>0.33853080568720373</v>
      </c>
      <c r="C129">
        <v>1.003385308056872</v>
      </c>
      <c r="D129">
        <f t="shared" si="1"/>
        <v>2.0236624669044452</v>
      </c>
    </row>
    <row r="130" spans="1:4" hidden="1">
      <c r="A130" s="4">
        <v>48030</v>
      </c>
      <c r="B130">
        <v>0.31031990521327008</v>
      </c>
      <c r="C130">
        <v>1.0031031990521326</v>
      </c>
      <c r="D130">
        <f t="shared" ref="D130:D193" si="2">C130*D129</f>
        <v>2.0299422943535794</v>
      </c>
    </row>
    <row r="131" spans="1:4" hidden="1">
      <c r="A131" s="4">
        <v>48061</v>
      </c>
      <c r="B131">
        <v>0.15515995260663504</v>
      </c>
      <c r="C131">
        <v>1.0015515995260664</v>
      </c>
      <c r="D131">
        <f t="shared" si="2"/>
        <v>2.0330919518554404</v>
      </c>
    </row>
    <row r="132" spans="1:4" hidden="1">
      <c r="A132" s="4">
        <v>48092</v>
      </c>
      <c r="B132">
        <v>8.4632701421800932E-2</v>
      </c>
      <c r="C132">
        <v>1.0008463270142181</v>
      </c>
      <c r="D132">
        <f t="shared" si="2"/>
        <v>2.034812612496685</v>
      </c>
    </row>
    <row r="133" spans="1:4">
      <c r="A133" s="4">
        <v>48122</v>
      </c>
      <c r="B133">
        <v>0.11315639810426539</v>
      </c>
      <c r="C133">
        <v>1.0011315639810427</v>
      </c>
      <c r="D133">
        <f t="shared" si="2"/>
        <v>2.0371151331571578</v>
      </c>
    </row>
    <row r="134" spans="1:4" hidden="1">
      <c r="A134" s="4">
        <v>48153</v>
      </c>
      <c r="B134">
        <v>0.66479383886255905</v>
      </c>
      <c r="C134">
        <v>1.0066479383886255</v>
      </c>
      <c r="D134">
        <f t="shared" si="2"/>
        <v>2.0506577490529234</v>
      </c>
    </row>
    <row r="135" spans="1:4" hidden="1">
      <c r="A135" s="4">
        <v>48183</v>
      </c>
      <c r="B135">
        <v>1.3720213270142179</v>
      </c>
      <c r="C135">
        <v>1.0137202132701422</v>
      </c>
      <c r="D135">
        <f t="shared" si="2"/>
        <v>2.0787932107139993</v>
      </c>
    </row>
    <row r="136" spans="1:4" hidden="1">
      <c r="A136" s="4">
        <v>48214</v>
      </c>
      <c r="B136">
        <v>0.59407109004739334</v>
      </c>
      <c r="C136">
        <v>1.0059407109004739</v>
      </c>
      <c r="D136">
        <f t="shared" si="2"/>
        <v>2.0911427202007191</v>
      </c>
    </row>
    <row r="137" spans="1:4" hidden="1">
      <c r="A137" s="4">
        <v>48245</v>
      </c>
      <c r="B137">
        <v>0.46677014218009472</v>
      </c>
      <c r="C137">
        <v>1.0046677014218008</v>
      </c>
      <c r="D137">
        <f t="shared" si="2"/>
        <v>2.1009035500489883</v>
      </c>
    </row>
    <row r="138" spans="1:4" hidden="1">
      <c r="A138" s="4">
        <v>48274</v>
      </c>
      <c r="B138">
        <v>0.7072274881516587</v>
      </c>
      <c r="C138">
        <v>1.0070722748815166</v>
      </c>
      <c r="D138">
        <f t="shared" si="2"/>
        <v>2.1157617174544887</v>
      </c>
    </row>
    <row r="139" spans="1:4">
      <c r="A139" s="4">
        <v>48305</v>
      </c>
      <c r="B139">
        <v>0.79209478672985778</v>
      </c>
      <c r="C139">
        <v>1.0079209478672986</v>
      </c>
      <c r="D139">
        <f t="shared" si="2"/>
        <v>2.132520555718072</v>
      </c>
    </row>
    <row r="140" spans="1:4" hidden="1">
      <c r="A140" s="4">
        <v>48335</v>
      </c>
      <c r="B140">
        <v>0.36775829383886255</v>
      </c>
      <c r="C140">
        <v>1.0036775829383886</v>
      </c>
      <c r="D140">
        <f t="shared" si="2"/>
        <v>2.1403630769295439</v>
      </c>
    </row>
    <row r="141" spans="1:4" hidden="1">
      <c r="A141" s="4">
        <v>48366</v>
      </c>
      <c r="B141">
        <v>0.33946919431279615</v>
      </c>
      <c r="C141">
        <v>1.003394691943128</v>
      </c>
      <c r="D141">
        <f t="shared" si="2"/>
        <v>2.1476289502221655</v>
      </c>
    </row>
    <row r="142" spans="1:4" hidden="1">
      <c r="A142" s="4">
        <v>48396</v>
      </c>
      <c r="B142">
        <v>0.31118009478672981</v>
      </c>
      <c r="C142">
        <v>1.0031118009478672</v>
      </c>
      <c r="D142">
        <f t="shared" si="2"/>
        <v>2.1543119440251339</v>
      </c>
    </row>
    <row r="143" spans="1:4" hidden="1">
      <c r="A143" s="4">
        <v>48427</v>
      </c>
      <c r="B143">
        <v>0.15559004739336491</v>
      </c>
      <c r="C143">
        <v>1.0015559004739336</v>
      </c>
      <c r="D143">
        <f t="shared" si="2"/>
        <v>2.1576638389998433</v>
      </c>
    </row>
    <row r="144" spans="1:4" hidden="1">
      <c r="A144" s="4">
        <v>48458</v>
      </c>
      <c r="B144">
        <v>8.4867298578199038E-2</v>
      </c>
      <c r="C144">
        <v>1.000848672985782</v>
      </c>
      <c r="D144">
        <f t="shared" si="2"/>
        <v>2.159494990012401</v>
      </c>
    </row>
    <row r="145" spans="1:4">
      <c r="A145" s="4">
        <v>48488</v>
      </c>
      <c r="B145">
        <v>0.11341207582938387</v>
      </c>
      <c r="C145">
        <v>1.0011341207582938</v>
      </c>
      <c r="D145">
        <f t="shared" si="2"/>
        <v>2.1619441181080052</v>
      </c>
    </row>
    <row r="146" spans="1:4" hidden="1">
      <c r="A146" s="4">
        <v>48519</v>
      </c>
      <c r="B146">
        <v>0.66629594549763016</v>
      </c>
      <c r="C146">
        <v>1.0066629594549763</v>
      </c>
      <c r="D146">
        <f t="shared" si="2"/>
        <v>2.1763490641108834</v>
      </c>
    </row>
    <row r="147" spans="1:4" hidden="1">
      <c r="A147" s="4">
        <v>48549</v>
      </c>
      <c r="B147">
        <v>1.3751214194312793</v>
      </c>
      <c r="C147">
        <v>1.0137512141943128</v>
      </c>
      <c r="D147">
        <f t="shared" si="2"/>
        <v>2.2062765062530643</v>
      </c>
    </row>
    <row r="148" spans="1:4" hidden="1">
      <c r="A148" s="4">
        <v>48580</v>
      </c>
      <c r="B148">
        <v>0.5954133981042653</v>
      </c>
      <c r="C148">
        <v>1.0059541339810427</v>
      </c>
      <c r="D148">
        <f t="shared" si="2"/>
        <v>2.219412972170522</v>
      </c>
    </row>
    <row r="149" spans="1:4" hidden="1">
      <c r="A149" s="4">
        <v>48611</v>
      </c>
      <c r="B149">
        <v>0.46782481279620847</v>
      </c>
      <c r="C149">
        <v>1.0046782481279621</v>
      </c>
      <c r="D149">
        <f t="shared" si="2"/>
        <v>2.2297959367527538</v>
      </c>
    </row>
    <row r="150" spans="1:4" hidden="1">
      <c r="A150" s="4">
        <v>48639</v>
      </c>
      <c r="B150">
        <v>0.70882547393364925</v>
      </c>
      <c r="C150">
        <v>1.0070882547393365</v>
      </c>
      <c r="D150">
        <f t="shared" si="2"/>
        <v>2.2456012983691949</v>
      </c>
    </row>
    <row r="151" spans="1:4">
      <c r="A151" s="4">
        <v>48670</v>
      </c>
      <c r="B151">
        <v>0.79388453080568711</v>
      </c>
      <c r="C151">
        <v>1.0079388453080569</v>
      </c>
      <c r="D151">
        <f t="shared" si="2"/>
        <v>2.2634287797005195</v>
      </c>
    </row>
    <row r="152" spans="1:4" hidden="1">
      <c r="A152" s="4">
        <v>48700</v>
      </c>
      <c r="B152">
        <v>0.36858924644549756</v>
      </c>
      <c r="C152">
        <v>1.0036858924644549</v>
      </c>
      <c r="D152">
        <f t="shared" si="2"/>
        <v>2.271771534783448</v>
      </c>
    </row>
    <row r="153" spans="1:4" hidden="1">
      <c r="A153" s="4">
        <v>48731</v>
      </c>
      <c r="B153">
        <v>0.34023622748815158</v>
      </c>
      <c r="C153">
        <v>1.0034023622748816</v>
      </c>
      <c r="D153">
        <f t="shared" si="2"/>
        <v>2.2795009245505451</v>
      </c>
    </row>
    <row r="154" spans="1:4" hidden="1">
      <c r="A154" s="4">
        <v>48761</v>
      </c>
      <c r="B154">
        <v>0.31188320853080564</v>
      </c>
      <c r="C154">
        <v>1.0031188320853082</v>
      </c>
      <c r="D154">
        <f t="shared" si="2"/>
        <v>2.2866103051725228</v>
      </c>
    </row>
    <row r="155" spans="1:4" hidden="1">
      <c r="A155" s="4">
        <v>48792</v>
      </c>
      <c r="B155">
        <v>0.15594160426540282</v>
      </c>
      <c r="C155">
        <v>1.001559416042654</v>
      </c>
      <c r="D155">
        <f t="shared" si="2"/>
        <v>2.2901760819657069</v>
      </c>
    </row>
    <row r="156" spans="1:4" hidden="1">
      <c r="A156" s="4">
        <v>48823</v>
      </c>
      <c r="B156">
        <v>8.5059056872037894E-2</v>
      </c>
      <c r="C156">
        <v>1.0008505905687204</v>
      </c>
      <c r="D156">
        <f t="shared" si="2"/>
        <v>2.2921240841417361</v>
      </c>
    </row>
    <row r="157" spans="1:4">
      <c r="A157" s="4">
        <v>48853</v>
      </c>
      <c r="B157">
        <v>0.11362790521327013</v>
      </c>
      <c r="C157">
        <v>1.0011362790521328</v>
      </c>
      <c r="D157">
        <f t="shared" si="2"/>
        <v>2.2947285767234353</v>
      </c>
    </row>
    <row r="158" spans="1:4" hidden="1">
      <c r="A158" s="4">
        <v>48884</v>
      </c>
      <c r="B158">
        <v>0.66756394312796186</v>
      </c>
      <c r="C158">
        <v>1.0066756394312797</v>
      </c>
      <c r="D158">
        <f t="shared" si="2"/>
        <v>2.3100473572942946</v>
      </c>
    </row>
    <row r="159" spans="1:4" hidden="1">
      <c r="A159" s="4">
        <v>48914</v>
      </c>
      <c r="B159">
        <v>1.3777383507109002</v>
      </c>
      <c r="C159">
        <v>1.0137773835071091</v>
      </c>
      <c r="D159">
        <f t="shared" si="2"/>
        <v>2.3418737656553219</v>
      </c>
    </row>
    <row r="160" spans="1:4" hidden="1">
      <c r="A160" s="4">
        <v>48945</v>
      </c>
      <c r="B160">
        <v>0.59654650236966811</v>
      </c>
      <c r="C160">
        <v>1.0059654650236967</v>
      </c>
      <c r="D160">
        <f t="shared" si="2"/>
        <v>2.3558441316942513</v>
      </c>
    </row>
    <row r="161" spans="1:4" hidden="1">
      <c r="A161" s="4">
        <v>48976</v>
      </c>
      <c r="B161">
        <v>0.46871510900473923</v>
      </c>
      <c r="C161">
        <v>1.0046871510900475</v>
      </c>
      <c r="D161">
        <f t="shared" si="2"/>
        <v>2.366886329084104</v>
      </c>
    </row>
    <row r="162" spans="1:4" hidden="1">
      <c r="A162" s="4">
        <v>49004</v>
      </c>
      <c r="B162">
        <v>0.71017440758293826</v>
      </c>
      <c r="C162">
        <v>1.0071017440758294</v>
      </c>
      <c r="D162">
        <f t="shared" si="2"/>
        <v>2.3836953500498388</v>
      </c>
    </row>
    <row r="163" spans="1:4">
      <c r="A163" s="4">
        <v>49035</v>
      </c>
      <c r="B163">
        <v>0.79539533649289085</v>
      </c>
      <c r="C163">
        <v>1.0079539533649289</v>
      </c>
      <c r="D163">
        <f t="shared" si="2"/>
        <v>2.4026551517003329</v>
      </c>
    </row>
    <row r="164" spans="1:4" hidden="1">
      <c r="A164" s="4">
        <v>49065</v>
      </c>
      <c r="B164">
        <v>0.36929069194312786</v>
      </c>
      <c r="C164">
        <v>1.0036929069194314</v>
      </c>
      <c r="D164">
        <f t="shared" si="2"/>
        <v>2.4115279335350546</v>
      </c>
    </row>
    <row r="165" spans="1:4" hidden="1">
      <c r="A165" s="4">
        <v>49096</v>
      </c>
      <c r="B165">
        <v>0.34088371563981035</v>
      </c>
      <c r="C165">
        <v>1.0034088371563981</v>
      </c>
      <c r="D165">
        <f t="shared" si="2"/>
        <v>2.4197484395585809</v>
      </c>
    </row>
    <row r="166" spans="1:4" hidden="1">
      <c r="A166" s="4">
        <v>49126</v>
      </c>
      <c r="B166">
        <v>0.31247673933649284</v>
      </c>
      <c r="C166">
        <v>1.003124767393365</v>
      </c>
      <c r="D166">
        <f t="shared" si="2"/>
        <v>2.4273095905826594</v>
      </c>
    </row>
    <row r="167" spans="1:4" hidden="1">
      <c r="A167" s="4">
        <v>49157</v>
      </c>
      <c r="B167">
        <v>0.15623836966824642</v>
      </c>
      <c r="C167">
        <v>1.0015623836966825</v>
      </c>
      <c r="D167">
        <f t="shared" si="2"/>
        <v>2.4311019795137869</v>
      </c>
    </row>
    <row r="168" spans="1:4" hidden="1">
      <c r="A168" s="4">
        <v>49188</v>
      </c>
      <c r="B168">
        <v>8.5220928909952587E-2</v>
      </c>
      <c r="C168">
        <v>1.0008522092890995</v>
      </c>
      <c r="D168">
        <f t="shared" si="2"/>
        <v>2.4331737872034767</v>
      </c>
    </row>
    <row r="169" spans="1:4">
      <c r="A169" s="4">
        <v>49218</v>
      </c>
      <c r="B169">
        <v>0.11381074881516587</v>
      </c>
      <c r="C169">
        <v>1.0011381074881516</v>
      </c>
      <c r="D169">
        <f t="shared" si="2"/>
        <v>2.435943000510667</v>
      </c>
    </row>
    <row r="170" spans="1:4" hidden="1">
      <c r="A170" s="4">
        <v>49249</v>
      </c>
      <c r="B170">
        <v>0.66863814928909937</v>
      </c>
      <c r="C170">
        <v>1.006686381492891</v>
      </c>
      <c r="D170">
        <f t="shared" si="2"/>
        <v>2.452230644707019</v>
      </c>
    </row>
    <row r="171" spans="1:4" hidden="1">
      <c r="A171" s="4">
        <v>49279</v>
      </c>
      <c r="B171">
        <v>1.3799553293838862</v>
      </c>
      <c r="C171">
        <v>1.0137995532938389</v>
      </c>
      <c r="D171">
        <f t="shared" si="2"/>
        <v>2.4860703321774382</v>
      </c>
    </row>
    <row r="172" spans="1:4" hidden="1">
      <c r="A172" s="4">
        <v>49310</v>
      </c>
      <c r="B172">
        <v>0.59750643127962078</v>
      </c>
      <c r="C172">
        <v>1.0059750643127963</v>
      </c>
      <c r="D172">
        <f t="shared" si="2"/>
        <v>2.5009247622983333</v>
      </c>
    </row>
    <row r="173" spans="1:4" hidden="1">
      <c r="A173" s="4">
        <v>49341</v>
      </c>
      <c r="B173">
        <v>0.4694693388625592</v>
      </c>
      <c r="C173">
        <v>1.0046946933886256</v>
      </c>
      <c r="D173">
        <f t="shared" si="2"/>
        <v>2.5126658372453452</v>
      </c>
    </row>
    <row r="174" spans="1:4" hidden="1">
      <c r="A174" s="4">
        <v>49369</v>
      </c>
      <c r="B174">
        <v>0.71131718009478673</v>
      </c>
      <c r="C174">
        <v>1.0071131718009478</v>
      </c>
      <c r="D174">
        <f t="shared" si="2"/>
        <v>2.5305388610240436</v>
      </c>
    </row>
    <row r="175" spans="1:4">
      <c r="A175" s="4">
        <v>49400</v>
      </c>
      <c r="B175">
        <v>0.79667524170616111</v>
      </c>
      <c r="C175">
        <v>1.0079667524170617</v>
      </c>
      <c r="D175">
        <f t="shared" si="2"/>
        <v>2.5506990376115755</v>
      </c>
    </row>
    <row r="176" spans="1:4" hidden="1">
      <c r="A176" s="4">
        <v>49430</v>
      </c>
      <c r="B176">
        <v>0.36988493364928909</v>
      </c>
      <c r="C176">
        <v>1.0036988493364929</v>
      </c>
      <c r="D176">
        <f t="shared" si="2"/>
        <v>2.5601336890544379</v>
      </c>
    </row>
    <row r="177" spans="1:4" hidden="1">
      <c r="A177" s="4">
        <v>49461</v>
      </c>
      <c r="B177">
        <v>0.34143224644549758</v>
      </c>
      <c r="C177">
        <v>1.0034143224644549</v>
      </c>
      <c r="D177">
        <f t="shared" si="2"/>
        <v>2.5688748110209843</v>
      </c>
    </row>
    <row r="178" spans="1:4" hidden="1">
      <c r="A178" s="4">
        <v>49491</v>
      </c>
      <c r="B178">
        <v>0.31297955924170612</v>
      </c>
      <c r="C178">
        <v>1.003129795592417</v>
      </c>
      <c r="D178">
        <f t="shared" si="2"/>
        <v>2.5769148640819886</v>
      </c>
    </row>
    <row r="179" spans="1:4" hidden="1">
      <c r="A179" s="4">
        <v>49522</v>
      </c>
      <c r="B179">
        <v>0.15648977962085306</v>
      </c>
      <c r="C179">
        <v>1.0015648977962086</v>
      </c>
      <c r="D179">
        <f t="shared" si="2"/>
        <v>2.5809474724738077</v>
      </c>
    </row>
    <row r="180" spans="1:4" hidden="1">
      <c r="A180" s="4">
        <v>49553</v>
      </c>
      <c r="B180">
        <v>8.5358061611374395E-2</v>
      </c>
      <c r="C180">
        <v>1.0008535806161138</v>
      </c>
      <c r="D180">
        <f t="shared" si="2"/>
        <v>2.5831505192075195</v>
      </c>
    </row>
    <row r="181" spans="1:4">
      <c r="A181" s="4">
        <v>49583</v>
      </c>
      <c r="B181">
        <v>0.11396756398104264</v>
      </c>
      <c r="C181">
        <v>1.0011396756398103</v>
      </c>
      <c r="D181">
        <f t="shared" si="2"/>
        <v>2.5860944729282238</v>
      </c>
    </row>
    <row r="182" spans="1:4" hidden="1">
      <c r="A182" s="4">
        <v>49614</v>
      </c>
      <c r="B182">
        <v>0.66955943838862542</v>
      </c>
      <c r="C182">
        <v>1.0066955943838862</v>
      </c>
      <c r="D182">
        <f t="shared" si="2"/>
        <v>2.6034099125573613</v>
      </c>
    </row>
    <row r="183" spans="1:4" hidden="1">
      <c r="A183" s="4">
        <v>49644</v>
      </c>
      <c r="B183">
        <v>1.381856713270142</v>
      </c>
      <c r="C183">
        <v>1.0138185671327014</v>
      </c>
      <c r="D183">
        <f t="shared" si="2"/>
        <v>2.6393853072079754</v>
      </c>
    </row>
    <row r="184" spans="1:4" hidden="1">
      <c r="A184" s="4">
        <v>49675</v>
      </c>
      <c r="B184">
        <v>0.59832971090047393</v>
      </c>
      <c r="C184">
        <v>1.0059832971090048</v>
      </c>
      <c r="D184">
        <f t="shared" si="2"/>
        <v>2.6551775336861425</v>
      </c>
    </row>
    <row r="185" spans="1:4" hidden="1">
      <c r="A185" s="4">
        <v>49706</v>
      </c>
      <c r="B185">
        <v>0.47011620142180088</v>
      </c>
      <c r="C185">
        <v>1.0047011620142181</v>
      </c>
      <c r="D185">
        <f t="shared" si="2"/>
        <v>2.667659953448513</v>
      </c>
    </row>
    <row r="186" spans="1:4" hidden="1">
      <c r="A186" s="4">
        <v>49735</v>
      </c>
      <c r="B186">
        <v>0.71229727488151651</v>
      </c>
      <c r="C186">
        <v>1.0071229727488151</v>
      </c>
      <c r="D186">
        <f t="shared" si="2"/>
        <v>2.6866616226000324</v>
      </c>
    </row>
    <row r="187" spans="1:4">
      <c r="A187" s="4">
        <v>49766</v>
      </c>
      <c r="B187">
        <v>0.79777294786729847</v>
      </c>
      <c r="C187">
        <v>1.0079777294786729</v>
      </c>
      <c r="D187">
        <f t="shared" si="2"/>
        <v>2.708095082225868</v>
      </c>
    </row>
    <row r="188" spans="1:4" hidden="1">
      <c r="A188" s="4">
        <v>49796</v>
      </c>
      <c r="B188">
        <v>0.37039458293838856</v>
      </c>
      <c r="C188">
        <v>1.0037039458293839</v>
      </c>
      <c r="D188">
        <f t="shared" si="2"/>
        <v>2.7181257197112538</v>
      </c>
    </row>
    <row r="189" spans="1:4" hidden="1">
      <c r="A189" s="4">
        <v>49827</v>
      </c>
      <c r="B189">
        <v>0.34190269194312795</v>
      </c>
      <c r="C189">
        <v>1.0034190269194312</v>
      </c>
      <c r="D189">
        <f t="shared" si="2"/>
        <v>2.7274190647173451</v>
      </c>
    </row>
    <row r="190" spans="1:4" hidden="1">
      <c r="A190" s="4">
        <v>49857</v>
      </c>
      <c r="B190">
        <v>0.31341080094786727</v>
      </c>
      <c r="C190">
        <v>1.0031341080094787</v>
      </c>
      <c r="D190">
        <f t="shared" si="2"/>
        <v>2.7359670906532805</v>
      </c>
    </row>
    <row r="191" spans="1:4" hidden="1">
      <c r="A191" s="4">
        <v>49888</v>
      </c>
      <c r="B191">
        <v>0.15670540047393364</v>
      </c>
      <c r="C191">
        <v>1.0015670540047394</v>
      </c>
      <c r="D191">
        <f t="shared" si="2"/>
        <v>2.7402544988395241</v>
      </c>
    </row>
    <row r="192" spans="1:4" hidden="1">
      <c r="A192" s="4">
        <v>49919</v>
      </c>
      <c r="B192">
        <v>8.5475672985781986E-2</v>
      </c>
      <c r="C192">
        <v>1.0008547567298578</v>
      </c>
      <c r="D192">
        <f t="shared" si="2"/>
        <v>2.7425967498139303</v>
      </c>
    </row>
    <row r="193" spans="1:4">
      <c r="A193" s="4">
        <v>49949</v>
      </c>
      <c r="B193">
        <v>0.11410348815165874</v>
      </c>
      <c r="C193">
        <v>1.0011410348815166</v>
      </c>
      <c r="D193">
        <f t="shared" si="2"/>
        <v>2.7457261483714022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A6046-B3E5-4FB4-9A79-D8370FA84336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3BFD1-F0BB-4594-BB57-C8BD9340FAA6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F458E-18D0-4E26-81C7-9E163B684246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F49E2-DC36-48B7-848D-164BDE1DF406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1AF4B-C4CB-4615-82B5-6CF67A053827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9FDC5-0A94-42B3-9347-17CC855C1848}">
  <dimension ref="A1:D217"/>
  <sheetViews>
    <sheetView topLeftCell="A4" workbookViewId="0">
      <selection activeCell="C127" sqref="B8:C127"/>
    </sheetView>
  </sheetViews>
  <sheetFormatPr defaultRowHeight="15"/>
  <cols>
    <col min="1" max="1" width="11.140625" customWidth="1"/>
    <col min="2" max="2" width="10.140625" customWidth="1"/>
    <col min="4" max="4" width="13" customWidth="1"/>
  </cols>
  <sheetData>
    <row r="1" spans="1:4">
      <c r="A1" t="s">
        <v>21</v>
      </c>
      <c r="B1" t="s">
        <v>150</v>
      </c>
      <c r="C1" t="s">
        <v>22</v>
      </c>
      <c r="D1" t="s">
        <v>149</v>
      </c>
    </row>
    <row r="2" spans="1:4">
      <c r="A2" s="4">
        <v>44136</v>
      </c>
      <c r="B2">
        <v>0.89</v>
      </c>
      <c r="C2">
        <v>1.0088999999999999</v>
      </c>
      <c r="D2">
        <v>1.0088999999999999</v>
      </c>
    </row>
    <row r="3" spans="1:4">
      <c r="A3" s="4">
        <v>44166</v>
      </c>
      <c r="B3">
        <v>1.35</v>
      </c>
      <c r="C3">
        <v>1.0135000000000001</v>
      </c>
      <c r="D3">
        <f>C3*D2</f>
        <v>1.0225201500000001</v>
      </c>
    </row>
    <row r="4" spans="1:4">
      <c r="A4" s="4">
        <v>44197</v>
      </c>
      <c r="B4">
        <v>0.25</v>
      </c>
      <c r="C4">
        <v>1.0024999999999999</v>
      </c>
      <c r="D4">
        <f t="shared" ref="D4:D67" si="0">C4*D3</f>
        <v>1.0250764503750001</v>
      </c>
    </row>
    <row r="5" spans="1:4">
      <c r="A5" s="4">
        <v>44228</v>
      </c>
      <c r="B5">
        <v>0.86</v>
      </c>
      <c r="C5">
        <v>1.0085999999999999</v>
      </c>
      <c r="D5">
        <f t="shared" si="0"/>
        <v>1.0338921078482251</v>
      </c>
    </row>
    <row r="6" spans="1:4">
      <c r="A6" s="4">
        <v>44256</v>
      </c>
      <c r="B6">
        <v>0.93</v>
      </c>
      <c r="C6">
        <v>1.0093000000000001</v>
      </c>
      <c r="D6">
        <f t="shared" si="0"/>
        <v>1.0435073044512135</v>
      </c>
    </row>
    <row r="7" spans="1:4">
      <c r="A7" s="4">
        <v>44287</v>
      </c>
      <c r="B7">
        <v>0.31</v>
      </c>
      <c r="C7">
        <v>1.0031000000000001</v>
      </c>
      <c r="D7">
        <f t="shared" si="0"/>
        <v>1.0467421770950125</v>
      </c>
    </row>
    <row r="8" spans="1:4">
      <c r="A8" s="4">
        <v>44317</v>
      </c>
      <c r="B8">
        <v>0.83</v>
      </c>
      <c r="C8">
        <v>1.0083</v>
      </c>
      <c r="D8">
        <f t="shared" si="0"/>
        <v>1.0554301371649011</v>
      </c>
    </row>
    <row r="9" spans="1:4">
      <c r="A9" s="4">
        <v>44348</v>
      </c>
      <c r="B9">
        <v>0.53</v>
      </c>
      <c r="C9">
        <v>1.0053000000000001</v>
      </c>
      <c r="D9">
        <f t="shared" si="0"/>
        <v>1.0610239168918751</v>
      </c>
    </row>
    <row r="10" spans="1:4">
      <c r="A10" s="4">
        <v>44378</v>
      </c>
      <c r="B10">
        <v>0.96</v>
      </c>
      <c r="C10">
        <v>1.0096000000000001</v>
      </c>
      <c r="D10">
        <f t="shared" si="0"/>
        <v>1.0712097464940371</v>
      </c>
    </row>
    <row r="11" spans="1:4">
      <c r="A11" s="4">
        <v>44409</v>
      </c>
      <c r="B11">
        <v>0.87</v>
      </c>
      <c r="C11">
        <v>1.0086999999999999</v>
      </c>
      <c r="D11">
        <f t="shared" si="0"/>
        <v>1.0805292712885353</v>
      </c>
    </row>
    <row r="12" spans="1:4">
      <c r="A12" s="4">
        <v>44440</v>
      </c>
      <c r="B12">
        <v>1.1599999999999999</v>
      </c>
      <c r="C12">
        <v>1.0116000000000001</v>
      </c>
      <c r="D12">
        <f t="shared" si="0"/>
        <v>1.0930634108354824</v>
      </c>
    </row>
    <row r="13" spans="1:4">
      <c r="A13" s="4">
        <v>44470</v>
      </c>
      <c r="B13">
        <v>1.25</v>
      </c>
      <c r="C13">
        <v>1.0125</v>
      </c>
      <c r="D13">
        <f t="shared" si="0"/>
        <v>1.1067267034709258</v>
      </c>
    </row>
    <row r="14" spans="1:4">
      <c r="A14" s="4">
        <v>44501</v>
      </c>
      <c r="B14">
        <v>0.95</v>
      </c>
      <c r="C14">
        <v>1.0095000000000001</v>
      </c>
      <c r="D14">
        <f t="shared" si="0"/>
        <v>1.1172406071538996</v>
      </c>
    </row>
    <row r="15" spans="1:4">
      <c r="A15" s="4">
        <v>44531</v>
      </c>
      <c r="B15">
        <v>0.73</v>
      </c>
      <c r="C15">
        <v>1.0073000000000001</v>
      </c>
      <c r="D15">
        <f t="shared" si="0"/>
        <v>1.1253964635861231</v>
      </c>
    </row>
    <row r="16" spans="1:4">
      <c r="A16" s="4">
        <v>44562</v>
      </c>
      <c r="B16">
        <v>0.54</v>
      </c>
      <c r="C16">
        <v>1.0054000000000001</v>
      </c>
      <c r="D16">
        <f t="shared" si="0"/>
        <v>1.1314736044894882</v>
      </c>
    </row>
    <row r="17" spans="1:4">
      <c r="A17" s="4">
        <v>44593</v>
      </c>
      <c r="B17">
        <v>1.01</v>
      </c>
      <c r="C17">
        <v>1.0101</v>
      </c>
      <c r="D17">
        <f t="shared" si="0"/>
        <v>1.142901487894832</v>
      </c>
    </row>
    <row r="18" spans="1:4">
      <c r="A18" s="4">
        <v>44621</v>
      </c>
      <c r="B18">
        <v>1.62</v>
      </c>
      <c r="C18">
        <v>1.0162</v>
      </c>
      <c r="D18">
        <f t="shared" si="0"/>
        <v>1.1614164919987282</v>
      </c>
    </row>
    <row r="19" spans="1:4">
      <c r="A19" s="4">
        <v>44652</v>
      </c>
      <c r="B19">
        <v>1.06</v>
      </c>
      <c r="C19">
        <v>1.0105999999999999</v>
      </c>
      <c r="D19">
        <f t="shared" si="0"/>
        <v>1.1737275068139146</v>
      </c>
    </row>
    <row r="20" spans="1:4">
      <c r="A20" s="4">
        <v>44682</v>
      </c>
      <c r="B20">
        <v>0.47</v>
      </c>
      <c r="C20">
        <v>1.0046999999999999</v>
      </c>
      <c r="D20">
        <f t="shared" si="0"/>
        <v>1.1792440260959398</v>
      </c>
    </row>
    <row r="21" spans="1:4">
      <c r="A21" s="4">
        <v>44713</v>
      </c>
      <c r="B21">
        <v>0.67</v>
      </c>
      <c r="C21">
        <v>1.0066999999999999</v>
      </c>
      <c r="D21">
        <f t="shared" si="0"/>
        <v>1.1871449610707825</v>
      </c>
    </row>
    <row r="22" spans="1:4">
      <c r="A22" s="4">
        <v>44743</v>
      </c>
      <c r="B22">
        <v>-0.68</v>
      </c>
      <c r="C22">
        <v>0.99319999999999997</v>
      </c>
      <c r="D22">
        <f t="shared" si="0"/>
        <v>1.1790723753355012</v>
      </c>
    </row>
    <row r="23" spans="1:4">
      <c r="A23" s="4">
        <v>44774</v>
      </c>
      <c r="B23">
        <v>-0.36</v>
      </c>
      <c r="C23">
        <v>0.99639999999999995</v>
      </c>
      <c r="D23">
        <f t="shared" si="0"/>
        <v>1.1748277147842934</v>
      </c>
    </row>
    <row r="24" spans="1:4">
      <c r="A24" s="4">
        <v>44805</v>
      </c>
      <c r="B24">
        <v>-0.28999999999999998</v>
      </c>
      <c r="C24">
        <v>0.99709999999999999</v>
      </c>
      <c r="D24">
        <f t="shared" si="0"/>
        <v>1.1714207144114188</v>
      </c>
    </row>
    <row r="25" spans="1:4">
      <c r="A25" s="4">
        <v>44835</v>
      </c>
      <c r="B25">
        <v>0.33</v>
      </c>
      <c r="C25">
        <v>1.0033000000000001</v>
      </c>
      <c r="D25">
        <f t="shared" si="0"/>
        <v>1.1752864027689767</v>
      </c>
    </row>
    <row r="26" spans="1:4">
      <c r="A26" s="4">
        <v>44866</v>
      </c>
      <c r="B26">
        <v>0.94638500140897963</v>
      </c>
      <c r="C26">
        <v>1.0094638500140898</v>
      </c>
      <c r="D26">
        <f t="shared" si="0"/>
        <v>1.1864091370083814</v>
      </c>
    </row>
    <row r="27" spans="1:4">
      <c r="A27" s="4">
        <v>44896</v>
      </c>
      <c r="B27">
        <v>1.9531775560993834</v>
      </c>
      <c r="C27">
        <v>1.0195317755609938</v>
      </c>
      <c r="D27">
        <f t="shared" si="0"/>
        <v>1.2095818139959413</v>
      </c>
    </row>
    <row r="28" spans="1:4">
      <c r="A28" s="4">
        <v>44927</v>
      </c>
      <c r="B28">
        <v>0.84570574593993919</v>
      </c>
      <c r="C28">
        <v>1.0084570574593994</v>
      </c>
      <c r="D28">
        <f t="shared" si="0"/>
        <v>1.2198113168987497</v>
      </c>
    </row>
    <row r="29" spans="1:4">
      <c r="A29" s="4">
        <v>44958</v>
      </c>
      <c r="B29">
        <v>0.66448308609566664</v>
      </c>
      <c r="C29">
        <v>1.0066448308609566</v>
      </c>
      <c r="D29">
        <f t="shared" si="0"/>
        <v>1.2279167567818225</v>
      </c>
    </row>
    <row r="30" spans="1:4">
      <c r="A30" s="4">
        <v>44986</v>
      </c>
      <c r="B30">
        <v>1.006792554690404</v>
      </c>
      <c r="C30">
        <v>1.0100679255469041</v>
      </c>
      <c r="D30">
        <f t="shared" si="0"/>
        <v>1.2402793312668978</v>
      </c>
    </row>
    <row r="31" spans="1:4">
      <c r="A31" s="4">
        <v>45017</v>
      </c>
      <c r="B31">
        <v>1.1276076612532524</v>
      </c>
      <c r="C31">
        <v>1.0112760766125326</v>
      </c>
      <c r="D31">
        <f t="shared" si="0"/>
        <v>1.2542648160272041</v>
      </c>
    </row>
    <row r="32" spans="1:4">
      <c r="A32" s="4">
        <v>45047</v>
      </c>
      <c r="B32">
        <v>0.41494999999999999</v>
      </c>
      <c r="C32">
        <v>1.0041495</v>
      </c>
      <c r="D32">
        <f t="shared" si="0"/>
        <v>1.259469387881309</v>
      </c>
    </row>
    <row r="33" spans="1:4">
      <c r="A33" s="4">
        <v>45078</v>
      </c>
      <c r="B33">
        <v>0.38303300000000001</v>
      </c>
      <c r="C33">
        <v>1.00383033</v>
      </c>
      <c r="D33">
        <f t="shared" si="0"/>
        <v>1.2642935712617924</v>
      </c>
    </row>
    <row r="34" spans="1:4">
      <c r="A34" s="4">
        <v>45108</v>
      </c>
      <c r="B34">
        <v>0.35111999999999999</v>
      </c>
      <c r="C34">
        <v>1.0035111999999999</v>
      </c>
      <c r="D34">
        <f t="shared" si="0"/>
        <v>1.2687327588492068</v>
      </c>
    </row>
    <row r="35" spans="1:4">
      <c r="A35" s="4">
        <v>45139</v>
      </c>
      <c r="B35">
        <v>0.17555687203791467</v>
      </c>
      <c r="C35">
        <v>1.0017555687203792</v>
      </c>
      <c r="D35">
        <f t="shared" si="0"/>
        <v>1.2709601063951628</v>
      </c>
    </row>
    <row r="36" spans="1:4">
      <c r="A36" s="4">
        <v>45170</v>
      </c>
      <c r="B36">
        <v>9.5758293838862543E-2</v>
      </c>
      <c r="C36">
        <v>1.0009575829383885</v>
      </c>
      <c r="D36">
        <f t="shared" si="0"/>
        <v>1.2721771561084192</v>
      </c>
    </row>
    <row r="37" spans="1:4">
      <c r="A37" s="4">
        <v>45200</v>
      </c>
      <c r="B37">
        <v>0.12767772511848341</v>
      </c>
      <c r="C37">
        <v>1.0012767772511848</v>
      </c>
      <c r="D37">
        <f t="shared" si="0"/>
        <v>1.2738014429608153</v>
      </c>
    </row>
    <row r="38" spans="1:4">
      <c r="A38" s="4">
        <v>45231</v>
      </c>
      <c r="B38">
        <v>0.66754478672985762</v>
      </c>
      <c r="C38">
        <v>1.0066754478672986</v>
      </c>
      <c r="D38">
        <f t="shared" si="0"/>
        <v>1.2823046380865899</v>
      </c>
    </row>
    <row r="39" spans="1:4">
      <c r="A39" s="4">
        <v>45261</v>
      </c>
      <c r="B39">
        <v>1.3776988151658764</v>
      </c>
      <c r="C39">
        <v>1.0137769881516587</v>
      </c>
      <c r="D39">
        <f t="shared" si="0"/>
        <v>1.299970933892326</v>
      </c>
    </row>
    <row r="40" spans="1:4">
      <c r="A40" s="4">
        <v>45292</v>
      </c>
      <c r="B40">
        <v>0.59652938388625576</v>
      </c>
      <c r="C40">
        <v>1.0059652938388626</v>
      </c>
      <c r="D40">
        <f t="shared" si="0"/>
        <v>1.3077256424949744</v>
      </c>
    </row>
    <row r="41" spans="1:4">
      <c r="A41" s="4">
        <v>45323</v>
      </c>
      <c r="B41">
        <v>0.46870165876777242</v>
      </c>
      <c r="C41">
        <v>1.0046870165876778</v>
      </c>
      <c r="D41">
        <f t="shared" si="0"/>
        <v>1.31385497427348</v>
      </c>
    </row>
    <row r="42" spans="1:4">
      <c r="A42" s="4">
        <v>45352</v>
      </c>
      <c r="B42">
        <v>0.71015402843601882</v>
      </c>
      <c r="C42">
        <v>1.0071015402843602</v>
      </c>
      <c r="D42">
        <f t="shared" si="0"/>
        <v>1.3231853683010901</v>
      </c>
    </row>
    <row r="43" spans="1:4">
      <c r="A43" s="4">
        <v>45383</v>
      </c>
      <c r="B43">
        <v>0.79537251184834112</v>
      </c>
      <c r="C43">
        <v>1.0079537251184834</v>
      </c>
      <c r="D43">
        <f t="shared" si="0"/>
        <v>1.3337096210013561</v>
      </c>
    </row>
    <row r="44" spans="1:4">
      <c r="A44" s="4">
        <v>45413</v>
      </c>
      <c r="B44">
        <v>0.3692800947867298</v>
      </c>
      <c r="C44">
        <v>1.0036928009478674</v>
      </c>
      <c r="D44">
        <f t="shared" si="0"/>
        <v>1.3386347451539697</v>
      </c>
    </row>
    <row r="45" spans="1:4">
      <c r="A45" s="4">
        <v>45444</v>
      </c>
      <c r="B45">
        <v>0.34087393364928903</v>
      </c>
      <c r="C45">
        <v>1.003408739336493</v>
      </c>
      <c r="D45">
        <f t="shared" si="0"/>
        <v>1.3431978020669724</v>
      </c>
    </row>
    <row r="46" spans="1:4">
      <c r="A46" s="4">
        <v>45474</v>
      </c>
      <c r="B46">
        <v>0.31246777251184826</v>
      </c>
      <c r="C46">
        <v>1.0031246777251184</v>
      </c>
      <c r="D46">
        <f t="shared" si="0"/>
        <v>1.3473948623195191</v>
      </c>
    </row>
    <row r="47" spans="1:4">
      <c r="A47" s="4">
        <v>45505</v>
      </c>
      <c r="B47">
        <v>0.15623388625592413</v>
      </c>
      <c r="C47">
        <v>1.0015623388625592</v>
      </c>
      <c r="D47">
        <f t="shared" si="0"/>
        <v>1.3494999496761335</v>
      </c>
    </row>
    <row r="48" spans="1:4">
      <c r="A48" s="4">
        <v>45536</v>
      </c>
      <c r="B48">
        <v>8.5218483412322257E-2</v>
      </c>
      <c r="C48">
        <v>1.0008521848341232</v>
      </c>
      <c r="D48">
        <f t="shared" si="0"/>
        <v>1.3506499730668975</v>
      </c>
    </row>
    <row r="49" spans="1:4">
      <c r="A49" s="4">
        <v>45566</v>
      </c>
      <c r="B49">
        <v>0.11362464454976301</v>
      </c>
      <c r="C49">
        <v>1.0011362464454976</v>
      </c>
      <c r="D49">
        <f t="shared" si="0"/>
        <v>1.3521846442979062</v>
      </c>
    </row>
    <row r="50" spans="1:4">
      <c r="A50" s="4">
        <v>45597</v>
      </c>
      <c r="B50">
        <v>0.64748625592417042</v>
      </c>
      <c r="C50">
        <v>1.0064748625592417</v>
      </c>
      <c r="D50">
        <f t="shared" si="0"/>
        <v>1.3609398540244522</v>
      </c>
    </row>
    <row r="51" spans="1:4">
      <c r="A51" s="4">
        <v>45627</v>
      </c>
      <c r="B51">
        <v>1.3363014218009477</v>
      </c>
      <c r="C51">
        <v>1.0133630142180095</v>
      </c>
      <c r="D51">
        <f t="shared" si="0"/>
        <v>1.3791261126436367</v>
      </c>
    </row>
    <row r="52" spans="1:4">
      <c r="A52" s="4">
        <v>45658</v>
      </c>
      <c r="B52">
        <v>0.57860473933649281</v>
      </c>
      <c r="C52">
        <v>1.0057860473933649</v>
      </c>
      <c r="D52">
        <f t="shared" si="0"/>
        <v>1.3871058016928199</v>
      </c>
    </row>
    <row r="53" spans="1:4">
      <c r="A53" s="4">
        <v>45689</v>
      </c>
      <c r="B53">
        <v>0.45461800947867292</v>
      </c>
      <c r="C53">
        <v>1.0045461800947868</v>
      </c>
      <c r="D53">
        <f t="shared" si="0"/>
        <v>1.3934118344778392</v>
      </c>
    </row>
    <row r="54" spans="1:4">
      <c r="A54" s="4">
        <v>45717</v>
      </c>
      <c r="B54">
        <v>0.68881516587677716</v>
      </c>
      <c r="C54">
        <v>1.0068881516587678</v>
      </c>
      <c r="D54">
        <f t="shared" si="0"/>
        <v>1.4030098665168445</v>
      </c>
    </row>
    <row r="55" spans="1:4">
      <c r="A55" s="4">
        <v>45748</v>
      </c>
      <c r="B55">
        <v>0.77147298578199042</v>
      </c>
      <c r="C55">
        <v>1.00771472985782</v>
      </c>
      <c r="D55">
        <f t="shared" si="0"/>
        <v>1.413833708624878</v>
      </c>
    </row>
    <row r="56" spans="1:4">
      <c r="A56" s="4">
        <v>45778</v>
      </c>
      <c r="B56">
        <v>0.35818388625592412</v>
      </c>
      <c r="C56">
        <v>1.0035818388625593</v>
      </c>
      <c r="D56">
        <f t="shared" si="0"/>
        <v>1.418897833147627</v>
      </c>
    </row>
    <row r="57" spans="1:4">
      <c r="A57" s="4">
        <v>45809</v>
      </c>
      <c r="B57">
        <v>0.33063127962085304</v>
      </c>
      <c r="C57">
        <v>1.0033063127962085</v>
      </c>
      <c r="D57">
        <f t="shared" si="0"/>
        <v>1.4235891532098754</v>
      </c>
    </row>
    <row r="58" spans="1:4">
      <c r="A58" s="4">
        <v>45839</v>
      </c>
      <c r="B58">
        <v>0.30307867298578195</v>
      </c>
      <c r="C58">
        <v>1.0030307867298578</v>
      </c>
      <c r="D58">
        <f t="shared" si="0"/>
        <v>1.4279037483241934</v>
      </c>
    </row>
    <row r="59" spans="1:4">
      <c r="A59" s="4">
        <v>45870</v>
      </c>
      <c r="B59">
        <v>0.15153933649289097</v>
      </c>
      <c r="C59">
        <v>1.001515393364929</v>
      </c>
      <c r="D59">
        <f t="shared" si="0"/>
        <v>1.4300675841901611</v>
      </c>
    </row>
    <row r="60" spans="1:4">
      <c r="A60" s="4">
        <v>45901</v>
      </c>
      <c r="B60">
        <v>8.2657819905213259E-2</v>
      </c>
      <c r="C60">
        <v>1.0008265781990522</v>
      </c>
      <c r="D60">
        <f t="shared" si="0"/>
        <v>1.4312496468784239</v>
      </c>
    </row>
    <row r="61" spans="1:4">
      <c r="A61" s="4">
        <v>45931</v>
      </c>
      <c r="B61">
        <v>0.11021042654028435</v>
      </c>
      <c r="C61">
        <v>1.0011021042654029</v>
      </c>
      <c r="D61">
        <f t="shared" si="0"/>
        <v>1.4328270332191051</v>
      </c>
    </row>
    <row r="62" spans="1:4">
      <c r="A62" s="4">
        <v>45962</v>
      </c>
      <c r="B62">
        <v>0.64681800947867285</v>
      </c>
      <c r="C62">
        <v>1.0064681800947868</v>
      </c>
      <c r="D62">
        <f t="shared" si="0"/>
        <v>1.4420948165146452</v>
      </c>
    </row>
    <row r="63" spans="1:4">
      <c r="A63" s="4">
        <v>45992</v>
      </c>
      <c r="B63">
        <v>1.3349222748815164</v>
      </c>
      <c r="C63">
        <v>1.0133492227488152</v>
      </c>
      <c r="D63">
        <f t="shared" si="0"/>
        <v>1.4613456614452109</v>
      </c>
    </row>
    <row r="64" spans="1:4">
      <c r="A64" s="4">
        <v>46023</v>
      </c>
      <c r="B64">
        <v>0.5780075829383885</v>
      </c>
      <c r="C64">
        <v>1.0057800758293838</v>
      </c>
      <c r="D64">
        <f t="shared" si="0"/>
        <v>1.4697923501813053</v>
      </c>
    </row>
    <row r="65" spans="1:4">
      <c r="A65" s="4">
        <v>46054</v>
      </c>
      <c r="B65">
        <v>0.45414881516587668</v>
      </c>
      <c r="C65">
        <v>1.0045414881516588</v>
      </c>
      <c r="D65">
        <f t="shared" si="0"/>
        <v>1.4764673947250524</v>
      </c>
    </row>
    <row r="66" spans="1:4">
      <c r="A66" s="4">
        <v>46082</v>
      </c>
      <c r="B66">
        <v>0.68810426540284353</v>
      </c>
      <c r="C66">
        <v>1.0068810426540284</v>
      </c>
      <c r="D66">
        <f t="shared" si="0"/>
        <v>1.4866270298454378</v>
      </c>
    </row>
    <row r="67" spans="1:4">
      <c r="A67" s="4">
        <v>46113</v>
      </c>
      <c r="B67">
        <v>0.77067677725118466</v>
      </c>
      <c r="C67">
        <v>1.0077067677725118</v>
      </c>
      <c r="D67">
        <f t="shared" si="0"/>
        <v>1.4980841191287955</v>
      </c>
    </row>
    <row r="68" spans="1:4">
      <c r="A68" s="4">
        <v>46143</v>
      </c>
      <c r="B68">
        <v>0.3578142180094786</v>
      </c>
      <c r="C68">
        <v>1.0035781421800949</v>
      </c>
      <c r="D68">
        <f t="shared" ref="D68:D131" si="1">C68*D67</f>
        <v>1.5034444771047806</v>
      </c>
    </row>
    <row r="69" spans="1:4">
      <c r="A69" s="4">
        <v>46174</v>
      </c>
      <c r="B69">
        <v>0.33029004739336487</v>
      </c>
      <c r="C69">
        <v>1.0033029004739336</v>
      </c>
      <c r="D69">
        <f t="shared" si="1"/>
        <v>1.5084102045807428</v>
      </c>
    </row>
    <row r="70" spans="1:4">
      <c r="A70" s="4">
        <v>46204</v>
      </c>
      <c r="B70">
        <v>0.30276587677725114</v>
      </c>
      <c r="C70">
        <v>1.0030276587677724</v>
      </c>
      <c r="D70">
        <f t="shared" si="1"/>
        <v>1.5129771559620391</v>
      </c>
    </row>
    <row r="71" spans="1:4">
      <c r="A71" s="4">
        <v>46235</v>
      </c>
      <c r="B71">
        <v>0.15138293838862557</v>
      </c>
      <c r="C71">
        <v>1.0015138293838863</v>
      </c>
      <c r="D71">
        <f t="shared" si="1"/>
        <v>1.5152675452378832</v>
      </c>
    </row>
    <row r="72" spans="1:4">
      <c r="A72" s="4">
        <v>46266</v>
      </c>
      <c r="B72">
        <v>8.2572511848341218E-2</v>
      </c>
      <c r="C72">
        <v>1.0008257251184833</v>
      </c>
      <c r="D72">
        <f t="shared" si="1"/>
        <v>1.5165187397112088</v>
      </c>
    </row>
    <row r="73" spans="1:4">
      <c r="A73" s="4">
        <v>46296</v>
      </c>
      <c r="B73">
        <v>0.11009668246445496</v>
      </c>
      <c r="C73">
        <v>1.0011009668246444</v>
      </c>
      <c r="D73">
        <f t="shared" si="1"/>
        <v>1.5181883765325823</v>
      </c>
    </row>
    <row r="74" spans="1:4">
      <c r="A74" s="4">
        <v>46327</v>
      </c>
      <c r="B74">
        <v>0.65048222748815143</v>
      </c>
      <c r="C74">
        <v>1.0065048222748816</v>
      </c>
      <c r="D74">
        <f t="shared" si="1"/>
        <v>1.5280639221017178</v>
      </c>
    </row>
    <row r="75" spans="1:4">
      <c r="A75" s="4">
        <v>46357</v>
      </c>
      <c r="B75">
        <v>1.3424845971563977</v>
      </c>
      <c r="C75">
        <v>1.013424845971564</v>
      </c>
      <c r="D75">
        <f t="shared" si="1"/>
        <v>1.5485779448906374</v>
      </c>
    </row>
    <row r="76" spans="1:4">
      <c r="A76" s="4">
        <v>46388</v>
      </c>
      <c r="B76">
        <v>0.5812819905213269</v>
      </c>
      <c r="C76">
        <v>1.0058128199052132</v>
      </c>
      <c r="D76">
        <f t="shared" si="1"/>
        <v>1.5575795495934719</v>
      </c>
    </row>
    <row r="77" spans="1:4">
      <c r="A77" s="4">
        <v>46419</v>
      </c>
      <c r="B77">
        <v>0.45672156398104258</v>
      </c>
      <c r="C77">
        <v>1.0045672156398104</v>
      </c>
      <c r="D77">
        <f t="shared" si="1"/>
        <v>1.564693351272624</v>
      </c>
    </row>
    <row r="78" spans="1:4">
      <c r="A78" s="4">
        <v>46447</v>
      </c>
      <c r="B78">
        <v>0.69200236966824635</v>
      </c>
      <c r="C78">
        <v>1.0069200236966824</v>
      </c>
      <c r="D78">
        <f t="shared" si="1"/>
        <v>1.575521066341472</v>
      </c>
    </row>
    <row r="79" spans="1:4">
      <c r="A79" s="4">
        <v>46478</v>
      </c>
      <c r="B79">
        <v>0.77504265402843586</v>
      </c>
      <c r="C79">
        <v>1.0077504265402843</v>
      </c>
      <c r="D79">
        <f t="shared" si="1"/>
        <v>1.5877320266288222</v>
      </c>
    </row>
    <row r="80" spans="1:4">
      <c r="A80" s="4">
        <v>46508</v>
      </c>
      <c r="B80">
        <v>0.35984123222748809</v>
      </c>
      <c r="C80">
        <v>1.003598412322275</v>
      </c>
      <c r="D80">
        <f t="shared" si="1"/>
        <v>1.5934453411179139</v>
      </c>
    </row>
    <row r="81" spans="1:4">
      <c r="A81" s="4">
        <v>46539</v>
      </c>
      <c r="B81">
        <v>0.3321611374407582</v>
      </c>
      <c r="C81">
        <v>1.0033216113744077</v>
      </c>
      <c r="D81">
        <f t="shared" si="1"/>
        <v>1.598738147287468</v>
      </c>
    </row>
    <row r="82" spans="1:4">
      <c r="A82" s="4">
        <v>46569</v>
      </c>
      <c r="B82">
        <v>0.30448104265402837</v>
      </c>
      <c r="C82">
        <v>1.0030448104265404</v>
      </c>
      <c r="D82">
        <f t="shared" si="1"/>
        <v>1.6036060018676368</v>
      </c>
    </row>
    <row r="83" spans="1:4">
      <c r="A83" s="4">
        <v>46600</v>
      </c>
      <c r="B83">
        <v>0.15224052132701418</v>
      </c>
      <c r="C83">
        <v>1.0015224052132701</v>
      </c>
      <c r="D83">
        <f t="shared" si="1"/>
        <v>1.6060473400049113</v>
      </c>
    </row>
    <row r="84" spans="1:4">
      <c r="A84" s="4">
        <v>46631</v>
      </c>
      <c r="B84">
        <v>8.3040284360189551E-2</v>
      </c>
      <c r="C84">
        <v>1.0008304028436019</v>
      </c>
      <c r="D84">
        <f t="shared" si="1"/>
        <v>1.6073810062830107</v>
      </c>
    </row>
    <row r="85" spans="1:4">
      <c r="A85" s="4">
        <v>46661</v>
      </c>
      <c r="B85">
        <v>0.11072037914691941</v>
      </c>
      <c r="C85">
        <v>1.0011072037914692</v>
      </c>
      <c r="D85">
        <f t="shared" si="1"/>
        <v>1.6091607046275029</v>
      </c>
    </row>
    <row r="86" spans="1:4">
      <c r="A86" s="4">
        <v>46692</v>
      </c>
      <c r="B86">
        <v>0.65446943127962065</v>
      </c>
      <c r="C86">
        <v>1.0065446943127963</v>
      </c>
      <c r="D86">
        <f t="shared" si="1"/>
        <v>1.6196921695394537</v>
      </c>
    </row>
    <row r="87" spans="1:4">
      <c r="A87" s="4">
        <v>46722</v>
      </c>
      <c r="B87">
        <v>1.3507135071090044</v>
      </c>
      <c r="C87">
        <v>1.01350713507109</v>
      </c>
      <c r="D87">
        <f t="shared" si="1"/>
        <v>1.6415695704470099</v>
      </c>
    </row>
    <row r="88" spans="1:4">
      <c r="A88" s="4">
        <v>46753</v>
      </c>
      <c r="B88">
        <v>0.58484502369668234</v>
      </c>
      <c r="C88">
        <v>1.0058484502369669</v>
      </c>
      <c r="D88">
        <f t="shared" si="1"/>
        <v>1.6511702083902884</v>
      </c>
    </row>
    <row r="89" spans="1:4">
      <c r="A89" s="4">
        <v>46784</v>
      </c>
      <c r="B89">
        <v>0.45952109004739328</v>
      </c>
      <c r="C89">
        <v>1.0045952109004739</v>
      </c>
      <c r="D89">
        <f t="shared" si="1"/>
        <v>1.6587576837304212</v>
      </c>
    </row>
    <row r="90" spans="1:4">
      <c r="A90" s="4">
        <v>46813</v>
      </c>
      <c r="B90">
        <v>0.69624407582938375</v>
      </c>
      <c r="C90">
        <v>1.0069624407582938</v>
      </c>
      <c r="D90">
        <f t="shared" si="1"/>
        <v>1.6703066858357589</v>
      </c>
    </row>
    <row r="91" spans="1:4">
      <c r="A91" s="4">
        <v>46844</v>
      </c>
      <c r="B91">
        <v>0.77979336492890983</v>
      </c>
      <c r="C91">
        <v>1.007797933649289</v>
      </c>
      <c r="D91">
        <f t="shared" si="1"/>
        <v>1.68333162654587</v>
      </c>
    </row>
    <row r="92" spans="1:4">
      <c r="A92" s="4">
        <v>46874</v>
      </c>
      <c r="B92">
        <v>0.36204691943127953</v>
      </c>
      <c r="C92">
        <v>1.0036204691943127</v>
      </c>
      <c r="D92">
        <f t="shared" si="1"/>
        <v>1.6894260768435916</v>
      </c>
    </row>
    <row r="93" spans="1:4">
      <c r="A93" s="4">
        <v>46905</v>
      </c>
      <c r="B93">
        <v>0.33419715639810421</v>
      </c>
      <c r="C93">
        <v>1.0033419715639811</v>
      </c>
      <c r="D93">
        <f t="shared" si="1"/>
        <v>1.6950720907518511</v>
      </c>
    </row>
    <row r="94" spans="1:4">
      <c r="A94" s="4">
        <v>46935</v>
      </c>
      <c r="B94">
        <v>0.30634739336492883</v>
      </c>
      <c r="C94">
        <v>1.0030634739336493</v>
      </c>
      <c r="D94">
        <f t="shared" si="1"/>
        <v>1.7002648999175256</v>
      </c>
    </row>
    <row r="95" spans="1:4">
      <c r="A95" s="4">
        <v>46966</v>
      </c>
      <c r="B95">
        <v>0.15317369668246442</v>
      </c>
      <c r="C95">
        <v>1.0015317369668246</v>
      </c>
      <c r="D95">
        <f t="shared" si="1"/>
        <v>1.7028692585181238</v>
      </c>
    </row>
    <row r="96" spans="1:4">
      <c r="A96" s="4">
        <v>46997</v>
      </c>
      <c r="B96">
        <v>8.3549289099526053E-2</v>
      </c>
      <c r="C96">
        <v>1.0008354928909953</v>
      </c>
      <c r="D96">
        <f t="shared" si="1"/>
        <v>1.70429199367791</v>
      </c>
    </row>
    <row r="97" spans="1:4">
      <c r="A97" s="4">
        <v>47027</v>
      </c>
      <c r="B97">
        <v>0.1113990521327014</v>
      </c>
      <c r="C97">
        <v>1.0011139905213271</v>
      </c>
      <c r="D97">
        <f t="shared" si="1"/>
        <v>1.7061905588044408</v>
      </c>
    </row>
    <row r="98" spans="1:4">
      <c r="A98" s="4">
        <v>47058</v>
      </c>
      <c r="B98">
        <v>0.65791090047393341</v>
      </c>
      <c r="C98">
        <v>1.0065791090047393</v>
      </c>
      <c r="D98">
        <f t="shared" si="1"/>
        <v>1.7174157724736723</v>
      </c>
    </row>
    <row r="99" spans="1:4">
      <c r="A99" s="4">
        <v>47088</v>
      </c>
      <c r="B99">
        <v>1.3578161137440754</v>
      </c>
      <c r="C99">
        <v>1.0135781611374408</v>
      </c>
      <c r="D99">
        <f t="shared" si="1"/>
        <v>1.7407351205723023</v>
      </c>
    </row>
    <row r="100" spans="1:4">
      <c r="A100" s="4">
        <v>47119</v>
      </c>
      <c r="B100">
        <v>0.5879203791469193</v>
      </c>
      <c r="C100">
        <v>1.0058792037914692</v>
      </c>
      <c r="D100">
        <f t="shared" si="1"/>
        <v>1.7509692570931146</v>
      </c>
    </row>
    <row r="101" spans="1:4">
      <c r="A101" s="4">
        <v>47150</v>
      </c>
      <c r="B101">
        <v>0.46193744075829374</v>
      </c>
      <c r="C101">
        <v>1.0046193744075829</v>
      </c>
      <c r="D101">
        <f t="shared" si="1"/>
        <v>1.7590576396677948</v>
      </c>
    </row>
    <row r="102" spans="1:4">
      <c r="A102" s="4">
        <v>47178</v>
      </c>
      <c r="B102">
        <v>0.6999052132701421</v>
      </c>
      <c r="C102">
        <v>1.0069990521327015</v>
      </c>
      <c r="D102">
        <f t="shared" si="1"/>
        <v>1.7713693757922566</v>
      </c>
    </row>
    <row r="103" spans="1:4">
      <c r="A103" s="4">
        <v>47209</v>
      </c>
      <c r="B103">
        <v>0.78389383886255903</v>
      </c>
      <c r="C103">
        <v>1.0078389383886255</v>
      </c>
      <c r="D103">
        <f t="shared" si="1"/>
        <v>1.7852550311925901</v>
      </c>
    </row>
    <row r="104" spans="1:4">
      <c r="A104" s="4">
        <v>47239</v>
      </c>
      <c r="B104">
        <v>0.36395071090047387</v>
      </c>
      <c r="C104">
        <v>1.0036395071090047</v>
      </c>
      <c r="D104">
        <f t="shared" si="1"/>
        <v>1.7917524795700019</v>
      </c>
    </row>
    <row r="105" spans="1:4">
      <c r="A105" s="4">
        <v>47270</v>
      </c>
      <c r="B105">
        <v>0.33595450236966817</v>
      </c>
      <c r="C105">
        <v>1.0033595450236967</v>
      </c>
      <c r="D105">
        <f t="shared" si="1"/>
        <v>1.7977719526964375</v>
      </c>
    </row>
    <row r="106" spans="1:4">
      <c r="A106" s="4">
        <v>47300</v>
      </c>
      <c r="B106">
        <v>0.30795829383886247</v>
      </c>
      <c r="C106">
        <v>1.0030795829383887</v>
      </c>
      <c r="D106">
        <f t="shared" si="1"/>
        <v>1.8033083405290753</v>
      </c>
    </row>
    <row r="107" spans="1:4">
      <c r="A107" s="4">
        <v>47331</v>
      </c>
      <c r="B107">
        <v>0.15397914691943124</v>
      </c>
      <c r="C107">
        <v>1.0015397914691944</v>
      </c>
      <c r="D107">
        <f t="shared" si="1"/>
        <v>1.806085059328149</v>
      </c>
    </row>
    <row r="108" spans="1:4">
      <c r="A108" s="4">
        <v>47362</v>
      </c>
      <c r="B108">
        <v>8.3988625592417043E-2</v>
      </c>
      <c r="C108">
        <v>1.0008398862559242</v>
      </c>
      <c r="D108">
        <f t="shared" si="1"/>
        <v>1.8076019653465087</v>
      </c>
    </row>
    <row r="109" spans="1:4">
      <c r="A109" s="4">
        <v>47392</v>
      </c>
      <c r="B109">
        <v>0.11198483412322273</v>
      </c>
      <c r="C109">
        <v>1.0011198483412322</v>
      </c>
      <c r="D109">
        <f t="shared" si="1"/>
        <v>1.8096262054090102</v>
      </c>
    </row>
    <row r="110" spans="1:4">
      <c r="A110" s="4">
        <v>47423</v>
      </c>
      <c r="B110">
        <v>0.66068412322274861</v>
      </c>
      <c r="C110">
        <v>1.0066068412322275</v>
      </c>
      <c r="D110">
        <f t="shared" si="1"/>
        <v>1.821582118437826</v>
      </c>
    </row>
    <row r="111" spans="1:4">
      <c r="A111" s="4">
        <v>47453</v>
      </c>
      <c r="B111">
        <v>1.3635395734597153</v>
      </c>
      <c r="C111">
        <v>1.0136353957345972</v>
      </c>
      <c r="D111">
        <f t="shared" si="1"/>
        <v>1.8464201114857917</v>
      </c>
    </row>
    <row r="112" spans="1:4">
      <c r="A112" s="4">
        <v>47484</v>
      </c>
      <c r="B112">
        <v>0.59039857819905206</v>
      </c>
      <c r="C112">
        <v>1.0059039857819905</v>
      </c>
      <c r="D112">
        <f t="shared" si="1"/>
        <v>1.857321349571585</v>
      </c>
    </row>
    <row r="113" spans="1:4">
      <c r="A113" s="4">
        <v>47515</v>
      </c>
      <c r="B113">
        <v>0.46388459715639807</v>
      </c>
      <c r="C113">
        <v>1.0046388459715641</v>
      </c>
      <c r="D113">
        <f t="shared" si="1"/>
        <v>1.8659371772319451</v>
      </c>
    </row>
    <row r="114" spans="1:4">
      <c r="A114" s="4">
        <v>47543</v>
      </c>
      <c r="B114">
        <v>0.70285545023696683</v>
      </c>
      <c r="C114">
        <v>1.0070285545023696</v>
      </c>
      <c r="D114">
        <f t="shared" si="1"/>
        <v>1.8790520183801176</v>
      </c>
    </row>
    <row r="115" spans="1:4">
      <c r="A115" s="4">
        <v>47574</v>
      </c>
      <c r="B115">
        <v>0.78719810426540271</v>
      </c>
      <c r="C115">
        <v>1.007871981042654</v>
      </c>
      <c r="D115">
        <f t="shared" si="1"/>
        <v>1.8938438802469666</v>
      </c>
    </row>
    <row r="116" spans="1:4">
      <c r="A116" s="4">
        <v>47604</v>
      </c>
      <c r="B116">
        <v>0.36548483412322269</v>
      </c>
      <c r="C116">
        <v>1.0036548483412322</v>
      </c>
      <c r="D116">
        <f t="shared" si="1"/>
        <v>1.9007655924112399</v>
      </c>
    </row>
    <row r="117" spans="1:4">
      <c r="A117" s="4">
        <v>47635</v>
      </c>
      <c r="B117">
        <v>0.33737061611374403</v>
      </c>
      <c r="C117">
        <v>1.0033737061611374</v>
      </c>
      <c r="D117">
        <f t="shared" si="1"/>
        <v>1.9071782170012357</v>
      </c>
    </row>
    <row r="118" spans="1:4">
      <c r="A118" s="4">
        <v>47665</v>
      </c>
      <c r="B118">
        <v>0.30925639810426536</v>
      </c>
      <c r="C118">
        <v>1.0030925639810426</v>
      </c>
      <c r="D118">
        <f t="shared" si="1"/>
        <v>1.9130762876605627</v>
      </c>
    </row>
    <row r="119" spans="1:4">
      <c r="A119" s="4">
        <v>47696</v>
      </c>
      <c r="B119">
        <v>0.15462819905213268</v>
      </c>
      <c r="C119">
        <v>1.0015462819905214</v>
      </c>
      <c r="D119">
        <f t="shared" si="1"/>
        <v>1.9160344430706657</v>
      </c>
    </row>
    <row r="120" spans="1:4">
      <c r="A120" s="4">
        <v>47727</v>
      </c>
      <c r="B120">
        <v>8.4342654028436007E-2</v>
      </c>
      <c r="C120">
        <v>1.0008434265402844</v>
      </c>
      <c r="D120">
        <f t="shared" si="1"/>
        <v>1.9176504773720504</v>
      </c>
    </row>
    <row r="121" spans="1:4">
      <c r="A121" s="4">
        <v>47757</v>
      </c>
      <c r="B121">
        <v>0.11245687203791468</v>
      </c>
      <c r="C121">
        <v>1.0011245687203791</v>
      </c>
      <c r="D121">
        <f t="shared" si="1"/>
        <v>1.9198070071155231</v>
      </c>
    </row>
    <row r="122" spans="1:4">
      <c r="A122" s="4">
        <v>47788</v>
      </c>
      <c r="B122">
        <v>0.66295616113744049</v>
      </c>
      <c r="C122">
        <v>1.0066295616113745</v>
      </c>
      <c r="D122">
        <f t="shared" si="1"/>
        <v>1.932534485951144</v>
      </c>
    </row>
    <row r="123" spans="1:4">
      <c r="A123" s="4">
        <v>47818</v>
      </c>
      <c r="B123">
        <v>1.3682286729857818</v>
      </c>
      <c r="C123">
        <v>1.0136822867298578</v>
      </c>
      <c r="D123">
        <f t="shared" si="1"/>
        <v>1.958975976903266</v>
      </c>
    </row>
    <row r="124" spans="1:4">
      <c r="A124" s="4">
        <v>47849</v>
      </c>
      <c r="B124">
        <v>0.59242890995260655</v>
      </c>
      <c r="C124">
        <v>1.0059242890995261</v>
      </c>
      <c r="D124">
        <f t="shared" si="1"/>
        <v>1.9705815169294676</v>
      </c>
    </row>
    <row r="125" spans="1:4">
      <c r="A125" s="4">
        <v>47880</v>
      </c>
      <c r="B125">
        <v>0.46547985781990514</v>
      </c>
      <c r="C125">
        <v>1.0046547985781991</v>
      </c>
      <c r="D125">
        <f t="shared" si="1"/>
        <v>1.9797541769726963</v>
      </c>
    </row>
    <row r="126" spans="1:4">
      <c r="A126" s="4">
        <v>47908</v>
      </c>
      <c r="B126">
        <v>0.70527251184834117</v>
      </c>
      <c r="C126">
        <v>1.0070527251184833</v>
      </c>
      <c r="D126">
        <f t="shared" si="1"/>
        <v>1.9937168389850539</v>
      </c>
    </row>
    <row r="127" spans="1:4">
      <c r="A127" s="4">
        <v>47939</v>
      </c>
      <c r="B127">
        <v>0.78990521327014207</v>
      </c>
      <c r="C127">
        <v>1.0078990521327014</v>
      </c>
      <c r="D127">
        <f t="shared" si="1"/>
        <v>2.0094653122340413</v>
      </c>
    </row>
    <row r="128" spans="1:4">
      <c r="A128" s="4">
        <v>47969</v>
      </c>
      <c r="B128">
        <v>0.36674170616113738</v>
      </c>
      <c r="C128">
        <v>1.0036674170616113</v>
      </c>
      <c r="D128">
        <f t="shared" si="1"/>
        <v>2.0168348596048444</v>
      </c>
    </row>
    <row r="129" spans="1:4">
      <c r="A129" s="4">
        <v>48000</v>
      </c>
      <c r="B129">
        <v>0.33853080568720373</v>
      </c>
      <c r="C129">
        <v>1.003385308056872</v>
      </c>
      <c r="D129">
        <f t="shared" si="1"/>
        <v>2.0236624669044452</v>
      </c>
    </row>
    <row r="130" spans="1:4">
      <c r="A130" s="4">
        <v>48030</v>
      </c>
      <c r="B130">
        <v>0.31031990521327008</v>
      </c>
      <c r="C130">
        <v>1.0031031990521326</v>
      </c>
      <c r="D130">
        <f t="shared" si="1"/>
        <v>2.0299422943535794</v>
      </c>
    </row>
    <row r="131" spans="1:4">
      <c r="A131" s="4">
        <v>48061</v>
      </c>
      <c r="B131">
        <v>0.15515995260663504</v>
      </c>
      <c r="C131">
        <v>1.0015515995260664</v>
      </c>
      <c r="D131">
        <f t="shared" si="1"/>
        <v>2.0330919518554404</v>
      </c>
    </row>
    <row r="132" spans="1:4">
      <c r="A132" s="4">
        <v>48092</v>
      </c>
      <c r="B132">
        <v>8.4632701421800932E-2</v>
      </c>
      <c r="C132">
        <v>1.0008463270142181</v>
      </c>
      <c r="D132">
        <f t="shared" ref="D132:D195" si="2">C132*D131</f>
        <v>2.034812612496685</v>
      </c>
    </row>
    <row r="133" spans="1:4">
      <c r="A133" s="4">
        <v>48122</v>
      </c>
      <c r="B133">
        <v>0.11315639810426539</v>
      </c>
      <c r="C133">
        <v>1.0011315639810427</v>
      </c>
      <c r="D133">
        <f t="shared" si="2"/>
        <v>2.0371151331571578</v>
      </c>
    </row>
    <row r="134" spans="1:4">
      <c r="A134" s="4">
        <v>48153</v>
      </c>
      <c r="B134">
        <v>0.66479383886255905</v>
      </c>
      <c r="C134">
        <v>1.0066479383886255</v>
      </c>
      <c r="D134">
        <f t="shared" si="2"/>
        <v>2.0506577490529234</v>
      </c>
    </row>
    <row r="135" spans="1:4">
      <c r="A135" s="4">
        <v>48183</v>
      </c>
      <c r="B135">
        <v>1.3720213270142179</v>
      </c>
      <c r="C135">
        <v>1.0137202132701422</v>
      </c>
      <c r="D135">
        <f t="shared" si="2"/>
        <v>2.0787932107139993</v>
      </c>
    </row>
    <row r="136" spans="1:4">
      <c r="A136" s="4">
        <v>48214</v>
      </c>
      <c r="B136">
        <v>0.59407109004739334</v>
      </c>
      <c r="C136">
        <v>1.0059407109004739</v>
      </c>
      <c r="D136">
        <f t="shared" si="2"/>
        <v>2.0911427202007191</v>
      </c>
    </row>
    <row r="137" spans="1:4">
      <c r="A137" s="4">
        <v>48245</v>
      </c>
      <c r="B137">
        <v>0.46677014218009472</v>
      </c>
      <c r="C137">
        <v>1.0046677014218008</v>
      </c>
      <c r="D137">
        <f t="shared" si="2"/>
        <v>2.1009035500489883</v>
      </c>
    </row>
    <row r="138" spans="1:4">
      <c r="A138" s="4">
        <v>48274</v>
      </c>
      <c r="B138">
        <v>0.7072274881516587</v>
      </c>
      <c r="C138">
        <v>1.0070722748815166</v>
      </c>
      <c r="D138">
        <f t="shared" si="2"/>
        <v>2.1157617174544887</v>
      </c>
    </row>
    <row r="139" spans="1:4">
      <c r="A139" s="4">
        <v>48305</v>
      </c>
      <c r="B139">
        <v>0.79209478672985778</v>
      </c>
      <c r="C139">
        <v>1.0079209478672986</v>
      </c>
      <c r="D139">
        <f t="shared" si="2"/>
        <v>2.132520555718072</v>
      </c>
    </row>
    <row r="140" spans="1:4">
      <c r="A140" s="4">
        <v>48335</v>
      </c>
      <c r="B140">
        <v>0.36775829383886255</v>
      </c>
      <c r="C140">
        <v>1.0036775829383886</v>
      </c>
      <c r="D140">
        <f t="shared" si="2"/>
        <v>2.1403630769295439</v>
      </c>
    </row>
    <row r="141" spans="1:4">
      <c r="A141" s="4">
        <v>48366</v>
      </c>
      <c r="B141">
        <v>0.33946919431279615</v>
      </c>
      <c r="C141">
        <v>1.003394691943128</v>
      </c>
      <c r="D141">
        <f t="shared" si="2"/>
        <v>2.1476289502221655</v>
      </c>
    </row>
    <row r="142" spans="1:4">
      <c r="A142" s="4">
        <v>48396</v>
      </c>
      <c r="B142">
        <v>0.31118009478672981</v>
      </c>
      <c r="C142">
        <v>1.0031118009478672</v>
      </c>
      <c r="D142">
        <f t="shared" si="2"/>
        <v>2.1543119440251339</v>
      </c>
    </row>
    <row r="143" spans="1:4">
      <c r="A143" s="4">
        <v>48427</v>
      </c>
      <c r="B143">
        <v>0.15559004739336491</v>
      </c>
      <c r="C143">
        <v>1.0015559004739336</v>
      </c>
      <c r="D143">
        <f t="shared" si="2"/>
        <v>2.1576638389998433</v>
      </c>
    </row>
    <row r="144" spans="1:4">
      <c r="A144" s="4">
        <v>48458</v>
      </c>
      <c r="B144">
        <v>8.4867298578199038E-2</v>
      </c>
      <c r="C144">
        <v>1.000848672985782</v>
      </c>
      <c r="D144">
        <f t="shared" si="2"/>
        <v>2.159494990012401</v>
      </c>
    </row>
    <row r="145" spans="1:4">
      <c r="A145" s="4">
        <v>48488</v>
      </c>
      <c r="B145">
        <v>0.11341207582938387</v>
      </c>
      <c r="C145">
        <v>1.0011341207582938</v>
      </c>
      <c r="D145">
        <f t="shared" si="2"/>
        <v>2.1619441181080052</v>
      </c>
    </row>
    <row r="146" spans="1:4">
      <c r="A146" s="4">
        <v>48519</v>
      </c>
      <c r="B146">
        <v>0.66629594549763016</v>
      </c>
      <c r="C146">
        <v>1.0066629594549763</v>
      </c>
      <c r="D146">
        <f t="shared" si="2"/>
        <v>2.1763490641108834</v>
      </c>
    </row>
    <row r="147" spans="1:4">
      <c r="A147" s="4">
        <v>48549</v>
      </c>
      <c r="B147">
        <v>1.3751214194312793</v>
      </c>
      <c r="C147">
        <v>1.0137512141943128</v>
      </c>
      <c r="D147">
        <f t="shared" si="2"/>
        <v>2.2062765062530643</v>
      </c>
    </row>
    <row r="148" spans="1:4">
      <c r="A148" s="4">
        <v>48580</v>
      </c>
      <c r="B148">
        <v>0.5954133981042653</v>
      </c>
      <c r="C148">
        <v>1.0059541339810427</v>
      </c>
      <c r="D148">
        <f t="shared" si="2"/>
        <v>2.219412972170522</v>
      </c>
    </row>
    <row r="149" spans="1:4">
      <c r="A149" s="4">
        <v>48611</v>
      </c>
      <c r="B149">
        <v>0.46782481279620847</v>
      </c>
      <c r="C149">
        <v>1.0046782481279621</v>
      </c>
      <c r="D149">
        <f t="shared" si="2"/>
        <v>2.2297959367527538</v>
      </c>
    </row>
    <row r="150" spans="1:4">
      <c r="A150" s="4">
        <v>48639</v>
      </c>
      <c r="B150">
        <v>0.70882547393364925</v>
      </c>
      <c r="C150">
        <v>1.0070882547393365</v>
      </c>
      <c r="D150">
        <f t="shared" si="2"/>
        <v>2.2456012983691949</v>
      </c>
    </row>
    <row r="151" spans="1:4">
      <c r="A151" s="4">
        <v>48670</v>
      </c>
      <c r="B151">
        <v>0.79388453080568711</v>
      </c>
      <c r="C151">
        <v>1.0079388453080569</v>
      </c>
      <c r="D151">
        <f t="shared" si="2"/>
        <v>2.2634287797005195</v>
      </c>
    </row>
    <row r="152" spans="1:4">
      <c r="A152" s="4">
        <v>48700</v>
      </c>
      <c r="B152">
        <v>0.36858924644549756</v>
      </c>
      <c r="C152">
        <v>1.0036858924644549</v>
      </c>
      <c r="D152">
        <f t="shared" si="2"/>
        <v>2.271771534783448</v>
      </c>
    </row>
    <row r="153" spans="1:4">
      <c r="A153" s="4">
        <v>48731</v>
      </c>
      <c r="B153">
        <v>0.34023622748815158</v>
      </c>
      <c r="C153">
        <v>1.0034023622748816</v>
      </c>
      <c r="D153">
        <f t="shared" si="2"/>
        <v>2.2795009245505451</v>
      </c>
    </row>
    <row r="154" spans="1:4">
      <c r="A154" s="4">
        <v>48761</v>
      </c>
      <c r="B154">
        <v>0.31188320853080564</v>
      </c>
      <c r="C154">
        <v>1.0031188320853082</v>
      </c>
      <c r="D154">
        <f t="shared" si="2"/>
        <v>2.2866103051725228</v>
      </c>
    </row>
    <row r="155" spans="1:4">
      <c r="A155" s="4">
        <v>48792</v>
      </c>
      <c r="B155">
        <v>0.15594160426540282</v>
      </c>
      <c r="C155">
        <v>1.001559416042654</v>
      </c>
      <c r="D155">
        <f t="shared" si="2"/>
        <v>2.2901760819657069</v>
      </c>
    </row>
    <row r="156" spans="1:4">
      <c r="A156" s="4">
        <v>48823</v>
      </c>
      <c r="B156">
        <v>8.5059056872037894E-2</v>
      </c>
      <c r="C156">
        <v>1.0008505905687204</v>
      </c>
      <c r="D156">
        <f t="shared" si="2"/>
        <v>2.2921240841417361</v>
      </c>
    </row>
    <row r="157" spans="1:4">
      <c r="A157" s="4">
        <v>48853</v>
      </c>
      <c r="B157">
        <v>0.11362790521327013</v>
      </c>
      <c r="C157">
        <v>1.0011362790521328</v>
      </c>
      <c r="D157">
        <f t="shared" si="2"/>
        <v>2.2947285767234353</v>
      </c>
    </row>
    <row r="158" spans="1:4">
      <c r="A158" s="4">
        <v>48884</v>
      </c>
      <c r="B158">
        <v>0.66756394312796186</v>
      </c>
      <c r="C158">
        <v>1.0066756394312797</v>
      </c>
      <c r="D158">
        <f t="shared" si="2"/>
        <v>2.3100473572942946</v>
      </c>
    </row>
    <row r="159" spans="1:4">
      <c r="A159" s="4">
        <v>48914</v>
      </c>
      <c r="B159">
        <v>1.3777383507109002</v>
      </c>
      <c r="C159">
        <v>1.0137773835071091</v>
      </c>
      <c r="D159">
        <f t="shared" si="2"/>
        <v>2.3418737656553219</v>
      </c>
    </row>
    <row r="160" spans="1:4">
      <c r="A160" s="4">
        <v>48945</v>
      </c>
      <c r="B160">
        <v>0.59654650236966811</v>
      </c>
      <c r="C160">
        <v>1.0059654650236967</v>
      </c>
      <c r="D160">
        <f t="shared" si="2"/>
        <v>2.3558441316942513</v>
      </c>
    </row>
    <row r="161" spans="1:4">
      <c r="A161" s="4">
        <v>48976</v>
      </c>
      <c r="B161">
        <v>0.46871510900473923</v>
      </c>
      <c r="C161">
        <v>1.0046871510900475</v>
      </c>
      <c r="D161">
        <f t="shared" si="2"/>
        <v>2.366886329084104</v>
      </c>
    </row>
    <row r="162" spans="1:4">
      <c r="A162" s="4">
        <v>49004</v>
      </c>
      <c r="B162">
        <v>0.71017440758293826</v>
      </c>
      <c r="C162">
        <v>1.0071017440758294</v>
      </c>
      <c r="D162">
        <f t="shared" si="2"/>
        <v>2.3836953500498388</v>
      </c>
    </row>
    <row r="163" spans="1:4">
      <c r="A163" s="4">
        <v>49035</v>
      </c>
      <c r="B163">
        <v>0.79539533649289085</v>
      </c>
      <c r="C163">
        <v>1.0079539533649289</v>
      </c>
      <c r="D163">
        <f t="shared" si="2"/>
        <v>2.4026551517003329</v>
      </c>
    </row>
    <row r="164" spans="1:4">
      <c r="A164" s="4">
        <v>49065</v>
      </c>
      <c r="B164">
        <v>0.36929069194312786</v>
      </c>
      <c r="C164">
        <v>1.0036929069194314</v>
      </c>
      <c r="D164">
        <f t="shared" si="2"/>
        <v>2.4115279335350546</v>
      </c>
    </row>
    <row r="165" spans="1:4">
      <c r="A165" s="4">
        <v>49096</v>
      </c>
      <c r="B165">
        <v>0.34088371563981035</v>
      </c>
      <c r="C165">
        <v>1.0034088371563981</v>
      </c>
      <c r="D165">
        <f t="shared" si="2"/>
        <v>2.4197484395585809</v>
      </c>
    </row>
    <row r="166" spans="1:4">
      <c r="A166" s="4">
        <v>49126</v>
      </c>
      <c r="B166">
        <v>0.31247673933649284</v>
      </c>
      <c r="C166">
        <v>1.003124767393365</v>
      </c>
      <c r="D166">
        <f t="shared" si="2"/>
        <v>2.4273095905826594</v>
      </c>
    </row>
    <row r="167" spans="1:4">
      <c r="A167" s="4">
        <v>49157</v>
      </c>
      <c r="B167">
        <v>0.15623836966824642</v>
      </c>
      <c r="C167">
        <v>1.0015623836966825</v>
      </c>
      <c r="D167">
        <f t="shared" si="2"/>
        <v>2.4311019795137869</v>
      </c>
    </row>
    <row r="168" spans="1:4">
      <c r="A168" s="4">
        <v>49188</v>
      </c>
      <c r="B168">
        <v>8.5220928909952587E-2</v>
      </c>
      <c r="C168">
        <v>1.0008522092890995</v>
      </c>
      <c r="D168">
        <f t="shared" si="2"/>
        <v>2.4331737872034767</v>
      </c>
    </row>
    <row r="169" spans="1:4">
      <c r="A169" s="4">
        <v>49218</v>
      </c>
      <c r="B169">
        <v>0.11381074881516587</v>
      </c>
      <c r="C169">
        <v>1.0011381074881516</v>
      </c>
      <c r="D169">
        <f t="shared" si="2"/>
        <v>2.435943000510667</v>
      </c>
    </row>
    <row r="170" spans="1:4">
      <c r="A170" s="4">
        <v>49249</v>
      </c>
      <c r="B170">
        <v>0.66863814928909937</v>
      </c>
      <c r="C170">
        <v>1.006686381492891</v>
      </c>
      <c r="D170">
        <f t="shared" si="2"/>
        <v>2.452230644707019</v>
      </c>
    </row>
    <row r="171" spans="1:4">
      <c r="A171" s="4">
        <v>49279</v>
      </c>
      <c r="B171">
        <v>1.3799553293838862</v>
      </c>
      <c r="C171">
        <v>1.0137995532938389</v>
      </c>
      <c r="D171">
        <f t="shared" si="2"/>
        <v>2.4860703321774382</v>
      </c>
    </row>
    <row r="172" spans="1:4">
      <c r="A172" s="4">
        <v>49310</v>
      </c>
      <c r="B172">
        <v>0.59750643127962078</v>
      </c>
      <c r="C172">
        <v>1.0059750643127963</v>
      </c>
      <c r="D172">
        <f t="shared" si="2"/>
        <v>2.5009247622983333</v>
      </c>
    </row>
    <row r="173" spans="1:4">
      <c r="A173" s="4">
        <v>49341</v>
      </c>
      <c r="B173">
        <v>0.4694693388625592</v>
      </c>
      <c r="C173">
        <v>1.0046946933886256</v>
      </c>
      <c r="D173">
        <f t="shared" si="2"/>
        <v>2.5126658372453452</v>
      </c>
    </row>
    <row r="174" spans="1:4">
      <c r="A174" s="4">
        <v>49369</v>
      </c>
      <c r="B174">
        <v>0.71131718009478673</v>
      </c>
      <c r="C174">
        <v>1.0071131718009478</v>
      </c>
      <c r="D174">
        <f t="shared" si="2"/>
        <v>2.5305388610240436</v>
      </c>
    </row>
    <row r="175" spans="1:4">
      <c r="A175" s="4">
        <v>49400</v>
      </c>
      <c r="B175">
        <v>0.79667524170616111</v>
      </c>
      <c r="C175">
        <v>1.0079667524170617</v>
      </c>
      <c r="D175">
        <f t="shared" si="2"/>
        <v>2.5506990376115755</v>
      </c>
    </row>
    <row r="176" spans="1:4">
      <c r="A176" s="4">
        <v>49430</v>
      </c>
      <c r="B176">
        <v>0.36988493364928909</v>
      </c>
      <c r="C176">
        <v>1.0036988493364929</v>
      </c>
      <c r="D176">
        <f t="shared" si="2"/>
        <v>2.5601336890544379</v>
      </c>
    </row>
    <row r="177" spans="1:4">
      <c r="A177" s="4">
        <v>49461</v>
      </c>
      <c r="B177">
        <v>0.34143224644549758</v>
      </c>
      <c r="C177">
        <v>1.0034143224644549</v>
      </c>
      <c r="D177">
        <f t="shared" si="2"/>
        <v>2.5688748110209843</v>
      </c>
    </row>
    <row r="178" spans="1:4">
      <c r="A178" s="4">
        <v>49491</v>
      </c>
      <c r="B178">
        <v>0.31297955924170612</v>
      </c>
      <c r="C178">
        <v>1.003129795592417</v>
      </c>
      <c r="D178">
        <f t="shared" si="2"/>
        <v>2.5769148640819886</v>
      </c>
    </row>
    <row r="179" spans="1:4">
      <c r="A179" s="4">
        <v>49522</v>
      </c>
      <c r="B179">
        <v>0.15648977962085306</v>
      </c>
      <c r="C179">
        <v>1.0015648977962086</v>
      </c>
      <c r="D179">
        <f t="shared" si="2"/>
        <v>2.5809474724738077</v>
      </c>
    </row>
    <row r="180" spans="1:4">
      <c r="A180" s="4">
        <v>49553</v>
      </c>
      <c r="B180">
        <v>8.5358061611374395E-2</v>
      </c>
      <c r="C180">
        <v>1.0008535806161138</v>
      </c>
      <c r="D180">
        <f t="shared" si="2"/>
        <v>2.5831505192075195</v>
      </c>
    </row>
    <row r="181" spans="1:4">
      <c r="A181" s="4">
        <v>49583</v>
      </c>
      <c r="B181">
        <v>0.11396756398104264</v>
      </c>
      <c r="C181">
        <v>1.0011396756398103</v>
      </c>
      <c r="D181">
        <f t="shared" si="2"/>
        <v>2.5860944729282238</v>
      </c>
    </row>
    <row r="182" spans="1:4">
      <c r="A182" s="4">
        <v>49614</v>
      </c>
      <c r="B182">
        <v>0.66955943838862542</v>
      </c>
      <c r="C182">
        <v>1.0066955943838862</v>
      </c>
      <c r="D182">
        <f t="shared" si="2"/>
        <v>2.6034099125573613</v>
      </c>
    </row>
    <row r="183" spans="1:4">
      <c r="A183" s="4">
        <v>49644</v>
      </c>
      <c r="B183">
        <v>1.381856713270142</v>
      </c>
      <c r="C183">
        <v>1.0138185671327014</v>
      </c>
      <c r="D183">
        <f t="shared" si="2"/>
        <v>2.6393853072079754</v>
      </c>
    </row>
    <row r="184" spans="1:4">
      <c r="A184" s="4">
        <v>49675</v>
      </c>
      <c r="B184">
        <v>0.59832971090047393</v>
      </c>
      <c r="C184">
        <v>1.0059832971090048</v>
      </c>
      <c r="D184">
        <f t="shared" si="2"/>
        <v>2.6551775336861425</v>
      </c>
    </row>
    <row r="185" spans="1:4">
      <c r="A185" s="4">
        <v>49706</v>
      </c>
      <c r="B185">
        <v>0.47011620142180088</v>
      </c>
      <c r="C185">
        <v>1.0047011620142181</v>
      </c>
      <c r="D185">
        <f t="shared" si="2"/>
        <v>2.667659953448513</v>
      </c>
    </row>
    <row r="186" spans="1:4">
      <c r="A186" s="4">
        <v>49735</v>
      </c>
      <c r="B186">
        <v>0.71229727488151651</v>
      </c>
      <c r="C186">
        <v>1.0071229727488151</v>
      </c>
      <c r="D186">
        <f t="shared" si="2"/>
        <v>2.6866616226000324</v>
      </c>
    </row>
    <row r="187" spans="1:4">
      <c r="A187" s="4">
        <v>49766</v>
      </c>
      <c r="B187">
        <v>0.79777294786729847</v>
      </c>
      <c r="C187">
        <v>1.0079777294786729</v>
      </c>
      <c r="D187">
        <f t="shared" si="2"/>
        <v>2.708095082225868</v>
      </c>
    </row>
    <row r="188" spans="1:4">
      <c r="A188" s="4">
        <v>49796</v>
      </c>
      <c r="B188">
        <v>0.37039458293838856</v>
      </c>
      <c r="C188">
        <v>1.0037039458293839</v>
      </c>
      <c r="D188">
        <f t="shared" si="2"/>
        <v>2.7181257197112538</v>
      </c>
    </row>
    <row r="189" spans="1:4">
      <c r="A189" s="4">
        <v>49827</v>
      </c>
      <c r="B189">
        <v>0.34190269194312795</v>
      </c>
      <c r="C189">
        <v>1.0034190269194312</v>
      </c>
      <c r="D189">
        <f t="shared" si="2"/>
        <v>2.7274190647173451</v>
      </c>
    </row>
    <row r="190" spans="1:4">
      <c r="A190" s="4">
        <v>49857</v>
      </c>
      <c r="B190">
        <v>0.31341080094786727</v>
      </c>
      <c r="C190">
        <v>1.0031341080094787</v>
      </c>
      <c r="D190">
        <f t="shared" si="2"/>
        <v>2.7359670906532805</v>
      </c>
    </row>
    <row r="191" spans="1:4">
      <c r="A191" s="4">
        <v>49888</v>
      </c>
      <c r="B191">
        <v>0.15670540047393364</v>
      </c>
      <c r="C191">
        <v>1.0015670540047394</v>
      </c>
      <c r="D191">
        <f t="shared" si="2"/>
        <v>2.7402544988395241</v>
      </c>
    </row>
    <row r="192" spans="1:4">
      <c r="A192" s="4">
        <v>49919</v>
      </c>
      <c r="B192">
        <v>8.5475672985781986E-2</v>
      </c>
      <c r="C192">
        <v>1.0008547567298578</v>
      </c>
      <c r="D192">
        <f t="shared" si="2"/>
        <v>2.7425967498139303</v>
      </c>
    </row>
    <row r="193" spans="1:4">
      <c r="A193" s="4">
        <v>49949</v>
      </c>
      <c r="B193">
        <v>0.11410348815165874</v>
      </c>
      <c r="C193">
        <v>1.0011410348815166</v>
      </c>
      <c r="D193">
        <f t="shared" si="2"/>
        <v>2.7457261483714022</v>
      </c>
    </row>
    <row r="194" spans="1:4">
      <c r="A194" s="4">
        <v>49980</v>
      </c>
      <c r="B194">
        <v>0.67035799289099507</v>
      </c>
      <c r="C194">
        <v>1.0067035799289099</v>
      </c>
      <c r="D194">
        <f t="shared" si="2"/>
        <v>2.7641323430699076</v>
      </c>
    </row>
    <row r="195" spans="1:4">
      <c r="A195" s="4">
        <v>50010</v>
      </c>
      <c r="B195">
        <v>1.3835047938388623</v>
      </c>
      <c r="C195">
        <v>1.0138350479383886</v>
      </c>
      <c r="D195">
        <f t="shared" si="2"/>
        <v>2.8023742465443302</v>
      </c>
    </row>
    <row r="196" spans="1:4">
      <c r="A196" s="4">
        <v>50041</v>
      </c>
      <c r="B196">
        <v>0.59904331279620837</v>
      </c>
      <c r="C196">
        <v>1.0059904331279621</v>
      </c>
      <c r="D196">
        <f t="shared" ref="D196:D217" si="3">C196*D195</f>
        <v>2.8191616820677772</v>
      </c>
    </row>
    <row r="197" spans="1:4">
      <c r="A197" s="4">
        <v>50072</v>
      </c>
      <c r="B197">
        <v>0.47067688862559232</v>
      </c>
      <c r="C197">
        <v>1.0047067688862559</v>
      </c>
      <c r="D197">
        <f t="shared" si="3"/>
        <v>2.8324308245582586</v>
      </c>
    </row>
    <row r="198" spans="1:4">
      <c r="A198" s="4">
        <v>50100</v>
      </c>
      <c r="B198">
        <v>0.7131468009478672</v>
      </c>
      <c r="C198">
        <v>1.0071314680094787</v>
      </c>
      <c r="D198">
        <f t="shared" si="3"/>
        <v>2.8526302143726574</v>
      </c>
    </row>
    <row r="199" spans="1:4">
      <c r="A199" s="4">
        <v>50131</v>
      </c>
      <c r="B199">
        <v>0.79872441706161124</v>
      </c>
      <c r="C199">
        <v>1.0079872441706161</v>
      </c>
      <c r="D199">
        <f t="shared" si="3"/>
        <v>2.8754148684233289</v>
      </c>
    </row>
    <row r="200" spans="1:4">
      <c r="A200" s="4">
        <v>50161</v>
      </c>
      <c r="B200">
        <v>0.37083633649289094</v>
      </c>
      <c r="C200">
        <v>1.0037083633649289</v>
      </c>
      <c r="D200">
        <f t="shared" si="3"/>
        <v>2.8860779515803618</v>
      </c>
    </row>
    <row r="201" spans="1:4">
      <c r="A201" s="4">
        <v>50192</v>
      </c>
      <c r="B201">
        <v>0.3423104644549762</v>
      </c>
      <c r="C201">
        <v>1.0034231046445499</v>
      </c>
      <c r="D201">
        <f t="shared" si="3"/>
        <v>2.8959572984209494</v>
      </c>
    </row>
    <row r="202" spans="1:4">
      <c r="A202" s="4">
        <v>50222</v>
      </c>
      <c r="B202">
        <v>0.31378459241706153</v>
      </c>
      <c r="C202">
        <v>1.0031378459241707</v>
      </c>
      <c r="D202">
        <f t="shared" si="3"/>
        <v>2.9050443662263716</v>
      </c>
    </row>
    <row r="203" spans="1:4">
      <c r="A203" s="4">
        <v>50253</v>
      </c>
      <c r="B203">
        <v>0.15689229620853076</v>
      </c>
      <c r="C203">
        <v>1.0015689229620852</v>
      </c>
      <c r="D203">
        <f t="shared" si="3"/>
        <v>2.9096021570384205</v>
      </c>
    </row>
    <row r="204" spans="1:4">
      <c r="A204" s="4">
        <v>50284</v>
      </c>
      <c r="B204">
        <v>8.5577616113744051E-2</v>
      </c>
      <c r="C204">
        <v>1.0008557761611374</v>
      </c>
      <c r="D204">
        <f t="shared" si="3"/>
        <v>2.912092125202808</v>
      </c>
    </row>
    <row r="205" spans="1:4">
      <c r="A205" s="4">
        <v>50314</v>
      </c>
      <c r="B205">
        <v>0.11422240758293838</v>
      </c>
      <c r="C205">
        <v>1.0011422240758294</v>
      </c>
      <c r="D205">
        <f t="shared" si="3"/>
        <v>2.915418386939248</v>
      </c>
    </row>
    <row r="206" spans="1:4">
      <c r="A206" s="4">
        <v>50345</v>
      </c>
      <c r="B206">
        <v>0.67105664454976288</v>
      </c>
      <c r="C206">
        <v>1.0067105664454976</v>
      </c>
      <c r="D206">
        <f t="shared" si="3"/>
        <v>2.9349824957412292</v>
      </c>
    </row>
    <row r="207" spans="1:4">
      <c r="A207" s="4">
        <v>50375</v>
      </c>
      <c r="B207">
        <v>1.3849466919431277</v>
      </c>
      <c r="C207">
        <v>1.0138494669194313</v>
      </c>
      <c r="D207">
        <f t="shared" si="3"/>
        <v>2.9756304387251071</v>
      </c>
    </row>
    <row r="208" spans="1:4">
      <c r="A208" s="4">
        <v>50406</v>
      </c>
      <c r="B208">
        <v>0.59966763981042648</v>
      </c>
      <c r="C208">
        <v>1.0059966763981043</v>
      </c>
      <c r="D208">
        <f t="shared" si="3"/>
        <v>2.9934743315464907</v>
      </c>
    </row>
    <row r="209" spans="1:4">
      <c r="A209" s="4">
        <v>50437</v>
      </c>
      <c r="B209">
        <v>0.4711674312796208</v>
      </c>
      <c r="C209">
        <v>1.0047116743127962</v>
      </c>
      <c r="D209">
        <f t="shared" si="3"/>
        <v>3.0075786076604532</v>
      </c>
    </row>
    <row r="210" spans="1:4">
      <c r="A210" s="4">
        <v>50465</v>
      </c>
      <c r="B210">
        <v>0.71389004739336481</v>
      </c>
      <c r="C210">
        <v>1.0071389004739337</v>
      </c>
      <c r="D210">
        <f t="shared" si="3"/>
        <v>3.0290494120080731</v>
      </c>
    </row>
    <row r="211" spans="1:4">
      <c r="A211" s="4">
        <v>50496</v>
      </c>
      <c r="B211">
        <v>0.79955685308056856</v>
      </c>
      <c r="C211">
        <v>1.0079955685308057</v>
      </c>
      <c r="D211">
        <f t="shared" si="3"/>
        <v>3.0532683841649804</v>
      </c>
    </row>
    <row r="212" spans="1:4">
      <c r="A212" s="4">
        <v>50526</v>
      </c>
      <c r="B212">
        <v>0.3712228246445497</v>
      </c>
      <c r="C212">
        <v>1.0037122282464455</v>
      </c>
      <c r="D212">
        <f t="shared" si="3"/>
        <v>3.0646028133046563</v>
      </c>
    </row>
    <row r="213" spans="1:4">
      <c r="A213" s="4">
        <v>50557</v>
      </c>
      <c r="B213">
        <v>0.34266722274881511</v>
      </c>
      <c r="C213">
        <v>1.003426672227488</v>
      </c>
      <c r="D213">
        <f t="shared" si="3"/>
        <v>3.0751042026532893</v>
      </c>
    </row>
    <row r="214" spans="1:4">
      <c r="A214" s="4">
        <v>50587</v>
      </c>
      <c r="B214">
        <v>0.31411162085308053</v>
      </c>
      <c r="C214">
        <v>1.0031411162085309</v>
      </c>
      <c r="D214">
        <f t="shared" si="3"/>
        <v>3.0847634623071651</v>
      </c>
    </row>
    <row r="215" spans="1:4">
      <c r="A215" s="4">
        <v>50618</v>
      </c>
      <c r="B215">
        <v>0.15705581042654027</v>
      </c>
      <c r="C215">
        <v>1.0015705581042653</v>
      </c>
      <c r="D215">
        <f t="shared" si="3"/>
        <v>3.0896082625626331</v>
      </c>
    </row>
    <row r="216" spans="1:4">
      <c r="A216" s="4">
        <v>50649</v>
      </c>
      <c r="B216">
        <v>8.5666805687203779E-2</v>
      </c>
      <c r="C216">
        <v>1.000856668056872</v>
      </c>
      <c r="D216">
        <f t="shared" si="3"/>
        <v>3.0922550312694184</v>
      </c>
    </row>
    <row r="217" spans="1:4">
      <c r="A217" s="4">
        <v>50679</v>
      </c>
      <c r="B217">
        <v>0.11432733649289098</v>
      </c>
      <c r="C217">
        <v>1.0011432733649288</v>
      </c>
      <c r="D217">
        <f t="shared" si="3"/>
        <v>3.0957903240842359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9905-EC29-4E2C-9856-6F793CDE756A}">
  <dimension ref="A1:D122"/>
  <sheetViews>
    <sheetView workbookViewId="0">
      <selection activeCell="J12" sqref="J12"/>
    </sheetView>
  </sheetViews>
  <sheetFormatPr defaultRowHeight="15"/>
  <cols>
    <col min="1" max="1" width="11.140625" customWidth="1"/>
    <col min="2" max="2" width="10.140625" customWidth="1"/>
    <col min="4" max="4" width="13" customWidth="1"/>
  </cols>
  <sheetData>
    <row r="1" spans="1:4">
      <c r="A1" t="s">
        <v>21</v>
      </c>
      <c r="B1" t="s">
        <v>150</v>
      </c>
      <c r="C1" t="s">
        <v>22</v>
      </c>
      <c r="D1" t="s">
        <v>149</v>
      </c>
    </row>
    <row r="2" spans="1:4">
      <c r="A2" s="4">
        <v>44105</v>
      </c>
      <c r="B2">
        <v>0.86</v>
      </c>
      <c r="C2">
        <v>1.0085999999999999</v>
      </c>
      <c r="D2">
        <v>1.0085999999999999</v>
      </c>
    </row>
    <row r="3" spans="1:4">
      <c r="A3" s="4">
        <v>44136</v>
      </c>
      <c r="B3">
        <v>0.89</v>
      </c>
      <c r="C3">
        <v>1.0088999999999999</v>
      </c>
      <c r="D3">
        <f t="shared" ref="D3:D66" si="0">C3*D2</f>
        <v>1.0175765399999999</v>
      </c>
    </row>
    <row r="4" spans="1:4">
      <c r="A4" s="4">
        <v>44166</v>
      </c>
      <c r="B4">
        <v>1.35</v>
      </c>
      <c r="C4">
        <v>1.0135000000000001</v>
      </c>
      <c r="D4">
        <f t="shared" si="0"/>
        <v>1.0313138232899999</v>
      </c>
    </row>
    <row r="5" spans="1:4">
      <c r="A5" s="4">
        <v>44197</v>
      </c>
      <c r="B5">
        <v>0.25</v>
      </c>
      <c r="C5">
        <v>1.0024999999999999</v>
      </c>
      <c r="D5">
        <f t="shared" si="0"/>
        <v>1.0338921078482248</v>
      </c>
    </row>
    <row r="6" spans="1:4">
      <c r="A6" s="4">
        <v>44228</v>
      </c>
      <c r="B6">
        <v>0.86</v>
      </c>
      <c r="C6">
        <v>1.0085999999999999</v>
      </c>
      <c r="D6">
        <f t="shared" si="0"/>
        <v>1.0427835799757195</v>
      </c>
    </row>
    <row r="7" spans="1:4">
      <c r="A7" s="4">
        <v>44256</v>
      </c>
      <c r="B7">
        <v>0.93</v>
      </c>
      <c r="C7">
        <v>1.0093000000000001</v>
      </c>
      <c r="D7">
        <f t="shared" si="0"/>
        <v>1.0524814672694938</v>
      </c>
    </row>
    <row r="8" spans="1:4">
      <c r="A8" s="4">
        <v>44287</v>
      </c>
      <c r="B8">
        <v>0.31</v>
      </c>
      <c r="C8">
        <v>1.0031000000000001</v>
      </c>
      <c r="D8">
        <f t="shared" si="0"/>
        <v>1.0557441598180293</v>
      </c>
    </row>
    <row r="9" spans="1:4">
      <c r="A9" s="4">
        <v>44317</v>
      </c>
      <c r="B9">
        <v>0.83</v>
      </c>
      <c r="C9">
        <v>1.0083</v>
      </c>
      <c r="D9">
        <f t="shared" si="0"/>
        <v>1.0645068363445189</v>
      </c>
    </row>
    <row r="10" spans="1:4">
      <c r="A10" s="4">
        <v>44348</v>
      </c>
      <c r="B10">
        <v>0.53</v>
      </c>
      <c r="C10">
        <v>1.0053000000000001</v>
      </c>
      <c r="D10">
        <f t="shared" si="0"/>
        <v>1.0701487225771449</v>
      </c>
    </row>
    <row r="11" spans="1:4">
      <c r="A11" s="4">
        <v>44378</v>
      </c>
      <c r="B11">
        <v>0.96</v>
      </c>
      <c r="C11">
        <v>1.0096000000000001</v>
      </c>
      <c r="D11">
        <f t="shared" si="0"/>
        <v>1.0804221503138856</v>
      </c>
    </row>
    <row r="12" spans="1:4">
      <c r="A12" s="4">
        <v>44409</v>
      </c>
      <c r="B12">
        <v>0.87</v>
      </c>
      <c r="C12">
        <v>1.0086999999999999</v>
      </c>
      <c r="D12">
        <f t="shared" si="0"/>
        <v>1.0898218230216163</v>
      </c>
    </row>
    <row r="13" spans="1:4">
      <c r="A13" s="4">
        <v>44440</v>
      </c>
      <c r="B13">
        <v>1.1599999999999999</v>
      </c>
      <c r="C13">
        <v>1.0116000000000001</v>
      </c>
      <c r="D13">
        <f t="shared" si="0"/>
        <v>1.1024637561686672</v>
      </c>
    </row>
    <row r="14" spans="1:4">
      <c r="A14" s="4">
        <v>44470</v>
      </c>
      <c r="B14">
        <v>1.25</v>
      </c>
      <c r="C14">
        <v>1.0125</v>
      </c>
      <c r="D14">
        <f t="shared" si="0"/>
        <v>1.1162445531207754</v>
      </c>
    </row>
    <row r="15" spans="1:4">
      <c r="A15" s="4">
        <v>44501</v>
      </c>
      <c r="B15">
        <v>0.95</v>
      </c>
      <c r="C15">
        <v>1.0095000000000001</v>
      </c>
      <c r="D15">
        <f t="shared" si="0"/>
        <v>1.1268488763754227</v>
      </c>
    </row>
    <row r="16" spans="1:4">
      <c r="A16" s="4">
        <v>44531</v>
      </c>
      <c r="B16">
        <v>0.73</v>
      </c>
      <c r="C16">
        <v>1.0073000000000001</v>
      </c>
      <c r="D16">
        <f t="shared" si="0"/>
        <v>1.1350748731729634</v>
      </c>
    </row>
    <row r="17" spans="1:4">
      <c r="A17" s="4">
        <v>44562</v>
      </c>
      <c r="B17">
        <v>0.54</v>
      </c>
      <c r="C17">
        <v>1.0054000000000001</v>
      </c>
      <c r="D17">
        <f t="shared" si="0"/>
        <v>1.1412042774880975</v>
      </c>
    </row>
    <row r="18" spans="1:4">
      <c r="A18" s="4">
        <v>44593</v>
      </c>
      <c r="B18">
        <v>1.01</v>
      </c>
      <c r="C18">
        <v>1.0101</v>
      </c>
      <c r="D18">
        <f t="shared" si="0"/>
        <v>1.1527304406907273</v>
      </c>
    </row>
    <row r="19" spans="1:4">
      <c r="A19" s="4">
        <v>44621</v>
      </c>
      <c r="B19">
        <v>1.62</v>
      </c>
      <c r="C19">
        <v>1.0162</v>
      </c>
      <c r="D19">
        <f t="shared" si="0"/>
        <v>1.1714046738299171</v>
      </c>
    </row>
    <row r="20" spans="1:4">
      <c r="A20" s="4">
        <v>44652</v>
      </c>
      <c r="B20">
        <v>1.06</v>
      </c>
      <c r="C20">
        <v>1.0105999999999999</v>
      </c>
      <c r="D20">
        <f t="shared" si="0"/>
        <v>1.1838215633725142</v>
      </c>
    </row>
    <row r="21" spans="1:4">
      <c r="A21" s="4">
        <v>44682</v>
      </c>
      <c r="B21">
        <v>0.47</v>
      </c>
      <c r="C21">
        <v>1.0046999999999999</v>
      </c>
      <c r="D21">
        <f t="shared" si="0"/>
        <v>1.1893855247203649</v>
      </c>
    </row>
    <row r="22" spans="1:4">
      <c r="A22" s="4">
        <v>44713</v>
      </c>
      <c r="B22">
        <v>0.67</v>
      </c>
      <c r="C22">
        <v>1.0066999999999999</v>
      </c>
      <c r="D22">
        <f t="shared" si="0"/>
        <v>1.1973544077359912</v>
      </c>
    </row>
    <row r="23" spans="1:4">
      <c r="A23" s="4">
        <v>44743</v>
      </c>
      <c r="B23">
        <v>-0.68</v>
      </c>
      <c r="C23">
        <v>0.99319999999999997</v>
      </c>
      <c r="D23">
        <f t="shared" si="0"/>
        <v>1.1892123977633864</v>
      </c>
    </row>
    <row r="24" spans="1:4">
      <c r="A24" s="4">
        <v>44774</v>
      </c>
      <c r="B24">
        <v>-0.36</v>
      </c>
      <c r="C24">
        <v>0.99639999999999995</v>
      </c>
      <c r="D24">
        <f t="shared" si="0"/>
        <v>1.1849312331314381</v>
      </c>
    </row>
    <row r="25" spans="1:4">
      <c r="A25" s="4">
        <v>44805</v>
      </c>
      <c r="B25">
        <v>-0.28999999999999998</v>
      </c>
      <c r="C25">
        <v>0.99709999999999999</v>
      </c>
      <c r="D25">
        <f t="shared" si="0"/>
        <v>1.181494932555357</v>
      </c>
    </row>
    <row r="26" spans="1:4">
      <c r="A26" s="4">
        <v>44835</v>
      </c>
      <c r="B26">
        <v>0.33</v>
      </c>
      <c r="C26">
        <v>1.0033000000000001</v>
      </c>
      <c r="D26">
        <f t="shared" si="0"/>
        <v>1.1853938658327898</v>
      </c>
    </row>
    <row r="27" spans="1:4">
      <c r="A27" s="4">
        <v>44866</v>
      </c>
      <c r="B27">
        <v>0.94638500140897963</v>
      </c>
      <c r="C27">
        <v>1.0094638500140898</v>
      </c>
      <c r="D27">
        <f t="shared" si="0"/>
        <v>1.1966122555866534</v>
      </c>
    </row>
    <row r="28" spans="1:4">
      <c r="A28" s="4">
        <v>44896</v>
      </c>
      <c r="B28">
        <v>1.9531775560993834</v>
      </c>
      <c r="C28">
        <v>1.0195317755609938</v>
      </c>
      <c r="D28">
        <f t="shared" si="0"/>
        <v>1.2199842175963065</v>
      </c>
    </row>
    <row r="29" spans="1:4">
      <c r="A29" s="4">
        <v>44927</v>
      </c>
      <c r="B29">
        <v>0.84570574593993919</v>
      </c>
      <c r="C29">
        <v>1.0084570574593994</v>
      </c>
      <c r="D29">
        <f t="shared" si="0"/>
        <v>1.2303016942240788</v>
      </c>
    </row>
    <row r="30" spans="1:4">
      <c r="A30" s="4">
        <v>44958</v>
      </c>
      <c r="B30">
        <v>0.66448308609566664</v>
      </c>
      <c r="C30">
        <v>1.0066448308609566</v>
      </c>
      <c r="D30">
        <f t="shared" si="0"/>
        <v>1.2384768408901461</v>
      </c>
    </row>
    <row r="31" spans="1:4">
      <c r="A31" s="4">
        <v>44986</v>
      </c>
      <c r="B31">
        <v>1.006792554690404</v>
      </c>
      <c r="C31">
        <v>1.0100679255469041</v>
      </c>
      <c r="D31">
        <f t="shared" si="0"/>
        <v>1.250945733515793</v>
      </c>
    </row>
    <row r="32" spans="1:4">
      <c r="A32" s="4">
        <v>45017</v>
      </c>
      <c r="B32">
        <v>1.1276076612532524</v>
      </c>
      <c r="C32">
        <v>1.0112760766125326</v>
      </c>
      <c r="D32">
        <f t="shared" si="0"/>
        <v>1.2650514934450379</v>
      </c>
    </row>
    <row r="33" spans="1:4">
      <c r="A33" s="4">
        <v>45047</v>
      </c>
      <c r="B33">
        <v>0.41494999999999999</v>
      </c>
      <c r="C33">
        <v>1.0041495</v>
      </c>
      <c r="D33">
        <f t="shared" si="0"/>
        <v>1.2703008246170882</v>
      </c>
    </row>
    <row r="34" spans="1:4">
      <c r="A34" s="4">
        <v>45078</v>
      </c>
      <c r="B34">
        <v>0.38303300000000001</v>
      </c>
      <c r="C34">
        <v>1.00383033</v>
      </c>
      <c r="D34">
        <f t="shared" si="0"/>
        <v>1.2751664959746438</v>
      </c>
    </row>
    <row r="35" spans="1:4">
      <c r="A35" s="4">
        <v>45108</v>
      </c>
      <c r="B35">
        <v>0.35111999999999999</v>
      </c>
      <c r="C35">
        <v>1.0035111999999999</v>
      </c>
      <c r="D35">
        <f t="shared" si="0"/>
        <v>1.27964386057531</v>
      </c>
    </row>
    <row r="36" spans="1:4">
      <c r="A36" s="4">
        <v>45139</v>
      </c>
      <c r="B36">
        <v>0.17555687203791467</v>
      </c>
      <c r="C36">
        <v>1.0017555687203792</v>
      </c>
      <c r="D36">
        <f t="shared" si="0"/>
        <v>1.2818903633101613</v>
      </c>
    </row>
    <row r="37" spans="1:4">
      <c r="A37" s="4">
        <v>45170</v>
      </c>
      <c r="B37">
        <v>9.5758293838862543E-2</v>
      </c>
      <c r="C37">
        <v>1.0009575829383885</v>
      </c>
      <c r="D37">
        <f t="shared" si="0"/>
        <v>1.2831178796509517</v>
      </c>
    </row>
    <row r="38" spans="1:4">
      <c r="A38" s="4">
        <v>45200</v>
      </c>
      <c r="B38">
        <v>0.12767772511848341</v>
      </c>
      <c r="C38">
        <v>1.0012767772511848</v>
      </c>
      <c r="D38">
        <f t="shared" si="0"/>
        <v>1.2847561353702786</v>
      </c>
    </row>
    <row r="39" spans="1:4">
      <c r="A39" s="4">
        <v>45231</v>
      </c>
      <c r="B39">
        <v>0.66754478672985762</v>
      </c>
      <c r="C39">
        <v>1.0066754478672986</v>
      </c>
      <c r="D39">
        <f t="shared" si="0"/>
        <v>1.2933324579741348</v>
      </c>
    </row>
    <row r="40" spans="1:4">
      <c r="A40" s="4">
        <v>45261</v>
      </c>
      <c r="B40">
        <v>1.3776988151658764</v>
      </c>
      <c r="C40">
        <v>1.0137769881516587</v>
      </c>
      <c r="D40">
        <f t="shared" si="0"/>
        <v>1.3111506839238001</v>
      </c>
    </row>
    <row r="41" spans="1:4">
      <c r="A41" s="4">
        <v>45292</v>
      </c>
      <c r="B41">
        <v>0.59652938388625576</v>
      </c>
      <c r="C41">
        <v>1.0059652938388626</v>
      </c>
      <c r="D41">
        <f t="shared" si="0"/>
        <v>1.3189720830204312</v>
      </c>
    </row>
    <row r="42" spans="1:4">
      <c r="A42" s="4">
        <v>45323</v>
      </c>
      <c r="B42">
        <v>0.46870165876777242</v>
      </c>
      <c r="C42">
        <v>1.0046870165876778</v>
      </c>
      <c r="D42">
        <f t="shared" si="0"/>
        <v>1.325154127052232</v>
      </c>
    </row>
    <row r="43" spans="1:4">
      <c r="A43" s="4">
        <v>45352</v>
      </c>
      <c r="B43">
        <v>0.71015402843601882</v>
      </c>
      <c r="C43">
        <v>1.0071015402843602</v>
      </c>
      <c r="D43">
        <f t="shared" si="0"/>
        <v>1.3345647624684795</v>
      </c>
    </row>
    <row r="44" spans="1:4">
      <c r="A44" s="4">
        <v>45383</v>
      </c>
      <c r="B44">
        <v>0.79537251184834112</v>
      </c>
      <c r="C44">
        <v>1.0079537251184834</v>
      </c>
      <c r="D44">
        <f t="shared" si="0"/>
        <v>1.3451795237419679</v>
      </c>
    </row>
    <row r="45" spans="1:4">
      <c r="A45" s="4">
        <v>45413</v>
      </c>
      <c r="B45">
        <v>0.3692800947867298</v>
      </c>
      <c r="C45">
        <v>1.0036928009478674</v>
      </c>
      <c r="D45">
        <f t="shared" si="0"/>
        <v>1.350147003962294</v>
      </c>
    </row>
    <row r="46" spans="1:4">
      <c r="A46" s="4">
        <v>45444</v>
      </c>
      <c r="B46">
        <v>0.34087393364928903</v>
      </c>
      <c r="C46">
        <v>1.003408739336493</v>
      </c>
      <c r="D46">
        <f t="shared" si="0"/>
        <v>1.3547493031647484</v>
      </c>
    </row>
    <row r="47" spans="1:4">
      <c r="A47" s="4">
        <v>45474</v>
      </c>
      <c r="B47">
        <v>0.31246777251184826</v>
      </c>
      <c r="C47">
        <v>1.0031246777251184</v>
      </c>
      <c r="D47">
        <f t="shared" si="0"/>
        <v>1.358982458135467</v>
      </c>
    </row>
    <row r="48" spans="1:4">
      <c r="A48" s="4">
        <v>45505</v>
      </c>
      <c r="B48">
        <v>0.15623388625592413</v>
      </c>
      <c r="C48">
        <v>1.0015623388625592</v>
      </c>
      <c r="D48">
        <f t="shared" si="0"/>
        <v>1.3611056492433482</v>
      </c>
    </row>
    <row r="49" spans="1:4">
      <c r="A49" s="4">
        <v>45536</v>
      </c>
      <c r="B49">
        <v>8.5218483412322257E-2</v>
      </c>
      <c r="C49">
        <v>1.0008521848341232</v>
      </c>
      <c r="D49">
        <f t="shared" si="0"/>
        <v>1.3622655628352729</v>
      </c>
    </row>
    <row r="50" spans="1:4">
      <c r="A50" s="4">
        <v>45566</v>
      </c>
      <c r="B50">
        <v>0.11362464454976301</v>
      </c>
      <c r="C50">
        <v>1.0011362464454976</v>
      </c>
      <c r="D50">
        <f t="shared" si="0"/>
        <v>1.3638134322388682</v>
      </c>
    </row>
    <row r="51" spans="1:4">
      <c r="A51" s="4">
        <v>45597</v>
      </c>
      <c r="B51">
        <v>0.64748625592417042</v>
      </c>
      <c r="C51">
        <v>1.0064748625592417</v>
      </c>
      <c r="D51">
        <f t="shared" si="0"/>
        <v>1.3726439367690626</v>
      </c>
    </row>
    <row r="52" spans="1:4">
      <c r="A52" s="4">
        <v>45627</v>
      </c>
      <c r="B52">
        <v>1.3363014218009477</v>
      </c>
      <c r="C52">
        <v>1.0133630142180095</v>
      </c>
      <c r="D52">
        <f t="shared" si="0"/>
        <v>1.3909865972123721</v>
      </c>
    </row>
    <row r="53" spans="1:4">
      <c r="A53" s="4">
        <v>45658</v>
      </c>
      <c r="B53">
        <v>0.57860473933649281</v>
      </c>
      <c r="C53">
        <v>1.0057860473933649</v>
      </c>
      <c r="D53">
        <f t="shared" si="0"/>
        <v>1.3990349115873781</v>
      </c>
    </row>
    <row r="54" spans="1:4">
      <c r="A54" s="4">
        <v>45689</v>
      </c>
      <c r="B54">
        <v>0.45461800947867292</v>
      </c>
      <c r="C54">
        <v>1.0045461800947868</v>
      </c>
      <c r="D54">
        <f t="shared" si="0"/>
        <v>1.4053951762543484</v>
      </c>
    </row>
    <row r="55" spans="1:4">
      <c r="A55" s="4">
        <v>45717</v>
      </c>
      <c r="B55">
        <v>0.68881516587677716</v>
      </c>
      <c r="C55">
        <v>1.0068881516587678</v>
      </c>
      <c r="D55">
        <f t="shared" si="0"/>
        <v>1.415075751368889</v>
      </c>
    </row>
    <row r="56" spans="1:4">
      <c r="A56" s="4">
        <v>45748</v>
      </c>
      <c r="B56">
        <v>0.77147298578199042</v>
      </c>
      <c r="C56">
        <v>1.00771472985782</v>
      </c>
      <c r="D56">
        <f t="shared" si="0"/>
        <v>1.4259926785190515</v>
      </c>
    </row>
    <row r="57" spans="1:4">
      <c r="A57" s="4">
        <v>45778</v>
      </c>
      <c r="B57">
        <v>0.35818388625592412</v>
      </c>
      <c r="C57">
        <v>1.0035818388625593</v>
      </c>
      <c r="D57">
        <f t="shared" si="0"/>
        <v>1.4311003545126961</v>
      </c>
    </row>
    <row r="58" spans="1:4">
      <c r="A58" s="4">
        <v>45809</v>
      </c>
      <c r="B58">
        <v>0.33063127962085304</v>
      </c>
      <c r="C58">
        <v>1.0033063127962085</v>
      </c>
      <c r="D58">
        <f t="shared" si="0"/>
        <v>1.4358320199274801</v>
      </c>
    </row>
    <row r="59" spans="1:4">
      <c r="A59" s="4">
        <v>45839</v>
      </c>
      <c r="B59">
        <v>0.30307867298578195</v>
      </c>
      <c r="C59">
        <v>1.0030307867298578</v>
      </c>
      <c r="D59">
        <f t="shared" si="0"/>
        <v>1.4401837205597812</v>
      </c>
    </row>
    <row r="60" spans="1:4">
      <c r="A60" s="4">
        <v>45870</v>
      </c>
      <c r="B60">
        <v>0.15153933649289097</v>
      </c>
      <c r="C60">
        <v>1.001515393364929</v>
      </c>
      <c r="D60">
        <f t="shared" si="0"/>
        <v>1.4423661654141962</v>
      </c>
    </row>
    <row r="61" spans="1:4">
      <c r="A61" s="4">
        <v>45901</v>
      </c>
      <c r="B61">
        <v>8.2657819905213259E-2</v>
      </c>
      <c r="C61">
        <v>1.0008265781990522</v>
      </c>
      <c r="D61">
        <f t="shared" si="0"/>
        <v>1.4435583938415781</v>
      </c>
    </row>
    <row r="62" spans="1:4">
      <c r="A62" s="4">
        <v>45931</v>
      </c>
      <c r="B62">
        <v>0.11021042654028435</v>
      </c>
      <c r="C62">
        <v>1.0011021042654029</v>
      </c>
      <c r="D62">
        <f t="shared" si="0"/>
        <v>1.445149345704789</v>
      </c>
    </row>
    <row r="63" spans="1:4">
      <c r="A63" s="4">
        <v>45962</v>
      </c>
      <c r="B63">
        <v>0.64681800947867285</v>
      </c>
      <c r="C63">
        <v>1.0064681800947868</v>
      </c>
      <c r="D63">
        <f t="shared" si="0"/>
        <v>1.4544968319366709</v>
      </c>
    </row>
    <row r="64" spans="1:4">
      <c r="A64" s="4">
        <v>45992</v>
      </c>
      <c r="B64">
        <v>1.3349222748815164</v>
      </c>
      <c r="C64">
        <v>1.0133492227488152</v>
      </c>
      <c r="D64">
        <f t="shared" si="0"/>
        <v>1.4739132341336396</v>
      </c>
    </row>
    <row r="65" spans="1:4">
      <c r="A65" s="4">
        <v>46023</v>
      </c>
      <c r="B65">
        <v>0.5780075829383885</v>
      </c>
      <c r="C65">
        <v>1.0057800758293838</v>
      </c>
      <c r="D65">
        <f t="shared" si="0"/>
        <v>1.4824325643928644</v>
      </c>
    </row>
    <row r="66" spans="1:4">
      <c r="A66" s="4">
        <v>46054</v>
      </c>
      <c r="B66">
        <v>0.45414881516587668</v>
      </c>
      <c r="C66">
        <v>1.0045414881516588</v>
      </c>
      <c r="D66">
        <f t="shared" si="0"/>
        <v>1.4891650143196877</v>
      </c>
    </row>
    <row r="67" spans="1:4">
      <c r="A67" s="4">
        <v>46082</v>
      </c>
      <c r="B67">
        <v>0.68810426540284353</v>
      </c>
      <c r="C67">
        <v>1.0068810426540284</v>
      </c>
      <c r="D67">
        <f t="shared" ref="D67:D121" si="1">C67*D66</f>
        <v>1.4994120223021083</v>
      </c>
    </row>
    <row r="68" spans="1:4">
      <c r="A68" s="4">
        <v>46113</v>
      </c>
      <c r="B68">
        <v>0.77067677725118466</v>
      </c>
      <c r="C68">
        <v>1.0077067677725118</v>
      </c>
      <c r="D68">
        <f t="shared" si="1"/>
        <v>1.510967642553303</v>
      </c>
    </row>
    <row r="69" spans="1:4">
      <c r="A69" s="4">
        <v>46143</v>
      </c>
      <c r="B69">
        <v>0.3578142180094786</v>
      </c>
      <c r="C69">
        <v>1.0035781421800949</v>
      </c>
      <c r="D69">
        <f t="shared" si="1"/>
        <v>1.5163740996078814</v>
      </c>
    </row>
    <row r="70" spans="1:4">
      <c r="A70" s="4">
        <v>46174</v>
      </c>
      <c r="B70">
        <v>0.33029004739336487</v>
      </c>
      <c r="C70">
        <v>1.0033029004739336</v>
      </c>
      <c r="D70">
        <f t="shared" si="1"/>
        <v>1.5213825323401369</v>
      </c>
    </row>
    <row r="71" spans="1:4">
      <c r="A71" s="4">
        <v>46204</v>
      </c>
      <c r="B71">
        <v>0.30276587677725114</v>
      </c>
      <c r="C71">
        <v>1.0030276587677724</v>
      </c>
      <c r="D71">
        <f t="shared" si="1"/>
        <v>1.5259887595033124</v>
      </c>
    </row>
    <row r="72" spans="1:4">
      <c r="A72" s="4">
        <v>46235</v>
      </c>
      <c r="B72">
        <v>0.15138293838862557</v>
      </c>
      <c r="C72">
        <v>1.0015138293838863</v>
      </c>
      <c r="D72">
        <f t="shared" si="1"/>
        <v>1.5282988461269287</v>
      </c>
    </row>
    <row r="73" spans="1:4">
      <c r="A73" s="4">
        <v>46266</v>
      </c>
      <c r="B73">
        <v>8.2572511848341218E-2</v>
      </c>
      <c r="C73">
        <v>1.0008257251184833</v>
      </c>
      <c r="D73">
        <f t="shared" si="1"/>
        <v>1.5295608008727248</v>
      </c>
    </row>
    <row r="74" spans="1:4">
      <c r="A74" s="4">
        <v>46296</v>
      </c>
      <c r="B74">
        <v>0.11009668246445496</v>
      </c>
      <c r="C74">
        <v>1.0011009668246444</v>
      </c>
      <c r="D74">
        <f t="shared" si="1"/>
        <v>1.5312447965707623</v>
      </c>
    </row>
    <row r="75" spans="1:4">
      <c r="A75" s="4">
        <v>46327</v>
      </c>
      <c r="B75">
        <v>0.65048222748815143</v>
      </c>
      <c r="C75">
        <v>1.0065048222748816</v>
      </c>
      <c r="D75">
        <f t="shared" si="1"/>
        <v>1.5412052718317923</v>
      </c>
    </row>
    <row r="76" spans="1:4">
      <c r="A76" s="4">
        <v>46357</v>
      </c>
      <c r="B76">
        <v>1.3424845971563977</v>
      </c>
      <c r="C76">
        <v>1.013424845971564</v>
      </c>
      <c r="D76">
        <f t="shared" si="1"/>
        <v>1.5618957152166966</v>
      </c>
    </row>
    <row r="77" spans="1:4">
      <c r="A77" s="4">
        <v>46388</v>
      </c>
      <c r="B77">
        <v>0.5812819905213269</v>
      </c>
      <c r="C77">
        <v>1.0058128199052132</v>
      </c>
      <c r="D77">
        <f t="shared" si="1"/>
        <v>1.5709747337199753</v>
      </c>
    </row>
    <row r="78" spans="1:4">
      <c r="A78" s="4">
        <v>46419</v>
      </c>
      <c r="B78">
        <v>0.45672156398104258</v>
      </c>
      <c r="C78">
        <v>1.0045672156398104</v>
      </c>
      <c r="D78">
        <f t="shared" si="1"/>
        <v>1.5781497140935683</v>
      </c>
    </row>
    <row r="79" spans="1:4">
      <c r="A79" s="4">
        <v>46447</v>
      </c>
      <c r="B79">
        <v>0.69200236966824635</v>
      </c>
      <c r="C79">
        <v>1.0069200236966824</v>
      </c>
      <c r="D79">
        <f t="shared" si="1"/>
        <v>1.5890705475120084</v>
      </c>
    </row>
    <row r="80" spans="1:4">
      <c r="A80" s="4">
        <v>46478</v>
      </c>
      <c r="B80">
        <v>0.77504265402843586</v>
      </c>
      <c r="C80">
        <v>1.0077504265402843</v>
      </c>
      <c r="D80">
        <f t="shared" si="1"/>
        <v>1.6013865220578296</v>
      </c>
    </row>
    <row r="81" spans="1:4">
      <c r="A81" s="4">
        <v>46508</v>
      </c>
      <c r="B81">
        <v>0.35984123222748809</v>
      </c>
      <c r="C81">
        <v>1.003598412322275</v>
      </c>
      <c r="D81">
        <f t="shared" si="1"/>
        <v>1.6071489710515277</v>
      </c>
    </row>
    <row r="82" spans="1:4">
      <c r="A82" s="4">
        <v>46539</v>
      </c>
      <c r="B82">
        <v>0.3321611374407582</v>
      </c>
      <c r="C82">
        <v>1.0033216113744077</v>
      </c>
      <c r="D82">
        <f t="shared" si="1"/>
        <v>1.61248729535414</v>
      </c>
    </row>
    <row r="83" spans="1:4">
      <c r="A83" s="4">
        <v>46569</v>
      </c>
      <c r="B83">
        <v>0.30448104265402837</v>
      </c>
      <c r="C83">
        <v>1.0030448104265404</v>
      </c>
      <c r="D83">
        <f t="shared" si="1"/>
        <v>1.6173970134836981</v>
      </c>
    </row>
    <row r="84" spans="1:4">
      <c r="A84" s="4">
        <v>46600</v>
      </c>
      <c r="B84">
        <v>0.15224052132701418</v>
      </c>
      <c r="C84">
        <v>1.0015224052132701</v>
      </c>
      <c r="D84">
        <f t="shared" si="1"/>
        <v>1.6198593471289531</v>
      </c>
    </row>
    <row r="85" spans="1:4">
      <c r="A85" s="4">
        <v>46631</v>
      </c>
      <c r="B85">
        <v>8.3040284360189551E-2</v>
      </c>
      <c r="C85">
        <v>1.0008304028436019</v>
      </c>
      <c r="D85">
        <f t="shared" si="1"/>
        <v>1.621204482937044</v>
      </c>
    </row>
    <row r="86" spans="1:4">
      <c r="A86" s="4">
        <v>46661</v>
      </c>
      <c r="B86">
        <v>0.11072037914691941</v>
      </c>
      <c r="C86">
        <v>1.0011072037914692</v>
      </c>
      <c r="D86">
        <f t="shared" si="1"/>
        <v>1.6229994866872988</v>
      </c>
    </row>
    <row r="87" spans="1:4">
      <c r="A87" s="4">
        <v>46692</v>
      </c>
      <c r="B87">
        <v>0.65446943127962065</v>
      </c>
      <c r="C87">
        <v>1.0065446943127963</v>
      </c>
      <c r="D87">
        <f t="shared" si="1"/>
        <v>1.6336215221974923</v>
      </c>
    </row>
    <row r="88" spans="1:4">
      <c r="A88" s="4">
        <v>46722</v>
      </c>
      <c r="B88">
        <v>1.3507135071090044</v>
      </c>
      <c r="C88">
        <v>1.01350713507109</v>
      </c>
      <c r="D88">
        <f t="shared" si="1"/>
        <v>1.6556870687528535</v>
      </c>
    </row>
    <row r="89" spans="1:4">
      <c r="A89" s="4">
        <v>46753</v>
      </c>
      <c r="B89">
        <v>0.58484502369668234</v>
      </c>
      <c r="C89">
        <v>1.0058484502369669</v>
      </c>
      <c r="D89">
        <f t="shared" si="1"/>
        <v>1.6653702721824442</v>
      </c>
    </row>
    <row r="90" spans="1:4">
      <c r="A90" s="4">
        <v>46784</v>
      </c>
      <c r="B90">
        <v>0.45952109004739328</v>
      </c>
      <c r="C90">
        <v>1.0045952109004739</v>
      </c>
      <c r="D90">
        <f t="shared" si="1"/>
        <v>1.6730229998105022</v>
      </c>
    </row>
    <row r="91" spans="1:4">
      <c r="A91" s="4">
        <v>46813</v>
      </c>
      <c r="B91">
        <v>0.69624407582938375</v>
      </c>
      <c r="C91">
        <v>1.0069624407582938</v>
      </c>
      <c r="D91">
        <f t="shared" si="1"/>
        <v>1.6846713233339456</v>
      </c>
    </row>
    <row r="92" spans="1:4">
      <c r="A92" s="4">
        <v>46844</v>
      </c>
      <c r="B92">
        <v>0.77979336492890983</v>
      </c>
      <c r="C92">
        <v>1.007797933649289</v>
      </c>
      <c r="D92">
        <f t="shared" si="1"/>
        <v>1.6978082785341637</v>
      </c>
    </row>
    <row r="93" spans="1:4">
      <c r="A93" s="4">
        <v>46874</v>
      </c>
      <c r="B93">
        <v>0.36204691943127953</v>
      </c>
      <c r="C93">
        <v>1.0036204691943127</v>
      </c>
      <c r="D93">
        <f t="shared" si="1"/>
        <v>1.7039551411044458</v>
      </c>
    </row>
    <row r="94" spans="1:4">
      <c r="A94" s="4">
        <v>46905</v>
      </c>
      <c r="B94">
        <v>0.33419715639810421</v>
      </c>
      <c r="C94">
        <v>1.0033419715639811</v>
      </c>
      <c r="D94">
        <f t="shared" si="1"/>
        <v>1.7096497107323163</v>
      </c>
    </row>
    <row r="95" spans="1:4">
      <c r="A95" s="4">
        <v>46935</v>
      </c>
      <c r="B95">
        <v>0.30634739336492883</v>
      </c>
      <c r="C95">
        <v>1.0030634739336493</v>
      </c>
      <c r="D95">
        <f t="shared" si="1"/>
        <v>1.7148871780568158</v>
      </c>
    </row>
    <row r="96" spans="1:4">
      <c r="A96" s="4">
        <v>46966</v>
      </c>
      <c r="B96">
        <v>0.15317369668246442</v>
      </c>
      <c r="C96">
        <v>1.0015317369668246</v>
      </c>
      <c r="D96">
        <f t="shared" si="1"/>
        <v>1.717513934141379</v>
      </c>
    </row>
    <row r="97" spans="1:4">
      <c r="A97" s="4">
        <v>46997</v>
      </c>
      <c r="B97">
        <v>8.3549289099526053E-2</v>
      </c>
      <c r="C97">
        <v>1.0008354928909953</v>
      </c>
      <c r="D97">
        <f t="shared" si="1"/>
        <v>1.7189489048235393</v>
      </c>
    </row>
    <row r="98" spans="1:4">
      <c r="A98" s="4">
        <v>47027</v>
      </c>
      <c r="B98">
        <v>0.1113990521327014</v>
      </c>
      <c r="C98">
        <v>1.0011139905213271</v>
      </c>
      <c r="D98">
        <f t="shared" si="1"/>
        <v>1.7208637976101584</v>
      </c>
    </row>
    <row r="99" spans="1:4">
      <c r="A99" s="4">
        <v>47058</v>
      </c>
      <c r="B99">
        <v>0.65791090047393341</v>
      </c>
      <c r="C99">
        <v>1.0065791090047393</v>
      </c>
      <c r="D99">
        <f t="shared" si="1"/>
        <v>1.7321855481169453</v>
      </c>
    </row>
    <row r="100" spans="1:4">
      <c r="A100" s="4">
        <v>47088</v>
      </c>
      <c r="B100">
        <v>1.3578161137440754</v>
      </c>
      <c r="C100">
        <v>1.0135781611374408</v>
      </c>
      <c r="D100">
        <f t="shared" si="1"/>
        <v>1.7557054426092233</v>
      </c>
    </row>
    <row r="101" spans="1:4">
      <c r="A101" s="4">
        <v>47119</v>
      </c>
      <c r="B101">
        <v>0.5879203791469193</v>
      </c>
      <c r="C101">
        <v>1.0058792037914692</v>
      </c>
      <c r="D101">
        <f t="shared" si="1"/>
        <v>1.7660275927041147</v>
      </c>
    </row>
    <row r="102" spans="1:4">
      <c r="A102" s="4">
        <v>47150</v>
      </c>
      <c r="B102">
        <v>0.46193744075829374</v>
      </c>
      <c r="C102">
        <v>1.0046193744075829</v>
      </c>
      <c r="D102">
        <f t="shared" si="1"/>
        <v>1.7741855353689373</v>
      </c>
    </row>
    <row r="103" spans="1:4">
      <c r="A103" s="4">
        <v>47178</v>
      </c>
      <c r="B103">
        <v>0.6999052132701421</v>
      </c>
      <c r="C103">
        <v>1.0069990521327015</v>
      </c>
      <c r="D103">
        <f t="shared" si="1"/>
        <v>1.7866031524240693</v>
      </c>
    </row>
    <row r="104" spans="1:4">
      <c r="A104" s="4">
        <v>47209</v>
      </c>
      <c r="B104">
        <v>0.78389383886255903</v>
      </c>
      <c r="C104">
        <v>1.0078389383886255</v>
      </c>
      <c r="D104">
        <f t="shared" si="1"/>
        <v>1.8006082244608457</v>
      </c>
    </row>
    <row r="105" spans="1:4">
      <c r="A105" s="4">
        <v>47239</v>
      </c>
      <c r="B105">
        <v>0.36395071090047387</v>
      </c>
      <c r="C105">
        <v>1.0036395071090047</v>
      </c>
      <c r="D105">
        <f t="shared" si="1"/>
        <v>1.8071615508943033</v>
      </c>
    </row>
    <row r="106" spans="1:4">
      <c r="A106" s="4">
        <v>47270</v>
      </c>
      <c r="B106">
        <v>0.33595450236966817</v>
      </c>
      <c r="C106">
        <v>1.0033595450236967</v>
      </c>
      <c r="D106">
        <f t="shared" si="1"/>
        <v>1.8132327914896262</v>
      </c>
    </row>
    <row r="107" spans="1:4">
      <c r="A107" s="4">
        <v>47300</v>
      </c>
      <c r="B107">
        <v>0.30795829383886247</v>
      </c>
      <c r="C107">
        <v>1.0030795829383887</v>
      </c>
      <c r="D107">
        <f t="shared" si="1"/>
        <v>1.8188167922576246</v>
      </c>
    </row>
    <row r="108" spans="1:4">
      <c r="A108" s="4">
        <v>47331</v>
      </c>
      <c r="B108">
        <v>0.15397914691943124</v>
      </c>
      <c r="C108">
        <v>1.0015397914691944</v>
      </c>
      <c r="D108">
        <f t="shared" si="1"/>
        <v>1.8216173908383704</v>
      </c>
    </row>
    <row r="109" spans="1:4">
      <c r="A109" s="4">
        <v>47362</v>
      </c>
      <c r="B109">
        <v>8.3988625592417043E-2</v>
      </c>
      <c r="C109">
        <v>1.0008398862559242</v>
      </c>
      <c r="D109">
        <f t="shared" si="1"/>
        <v>1.8231473422484881</v>
      </c>
    </row>
    <row r="110" spans="1:4">
      <c r="A110" s="4">
        <v>47392</v>
      </c>
      <c r="B110">
        <v>0.11198483412322273</v>
      </c>
      <c r="C110">
        <v>1.0011198483412322</v>
      </c>
      <c r="D110">
        <f t="shared" si="1"/>
        <v>1.825188990775527</v>
      </c>
    </row>
    <row r="111" spans="1:4">
      <c r="A111" s="4">
        <v>47423</v>
      </c>
      <c r="B111">
        <v>0.66068412322274861</v>
      </c>
      <c r="C111">
        <v>1.0066068412322275</v>
      </c>
      <c r="D111">
        <f t="shared" si="1"/>
        <v>1.8372477246563905</v>
      </c>
    </row>
    <row r="112" spans="1:4">
      <c r="A112" s="4">
        <v>47453</v>
      </c>
      <c r="B112">
        <v>1.3635395734597153</v>
      </c>
      <c r="C112">
        <v>1.0136353957345972</v>
      </c>
      <c r="D112">
        <f t="shared" si="1"/>
        <v>1.8622993244445687</v>
      </c>
    </row>
    <row r="113" spans="1:4">
      <c r="A113" s="4">
        <v>47484</v>
      </c>
      <c r="B113">
        <v>0.59039857819905206</v>
      </c>
      <c r="C113">
        <v>1.0059039857819905</v>
      </c>
      <c r="D113">
        <f t="shared" si="1"/>
        <v>1.8732943131778999</v>
      </c>
    </row>
    <row r="114" spans="1:4">
      <c r="A114" s="4">
        <v>47515</v>
      </c>
      <c r="B114">
        <v>0.46388459715639807</v>
      </c>
      <c r="C114">
        <v>1.0046388459715641</v>
      </c>
      <c r="D114">
        <f t="shared" si="1"/>
        <v>1.881984236956139</v>
      </c>
    </row>
    <row r="115" spans="1:4">
      <c r="A115" s="4">
        <v>47543</v>
      </c>
      <c r="B115">
        <v>0.70285545023696683</v>
      </c>
      <c r="C115">
        <v>1.0070285545023696</v>
      </c>
      <c r="D115">
        <f t="shared" si="1"/>
        <v>1.8952118657381858</v>
      </c>
    </row>
    <row r="116" spans="1:4">
      <c r="A116" s="4">
        <v>47574</v>
      </c>
      <c r="B116">
        <v>0.78719810426540271</v>
      </c>
      <c r="C116">
        <v>1.007871981042654</v>
      </c>
      <c r="D116">
        <f t="shared" si="1"/>
        <v>1.9101309376170896</v>
      </c>
    </row>
    <row r="117" spans="1:4">
      <c r="A117" s="4">
        <v>47604</v>
      </c>
      <c r="B117">
        <v>0.36548483412322269</v>
      </c>
      <c r="C117">
        <v>1.0036548483412322</v>
      </c>
      <c r="D117">
        <f t="shared" si="1"/>
        <v>1.9171121765059758</v>
      </c>
    </row>
    <row r="118" spans="1:4">
      <c r="A118" s="4">
        <v>47635</v>
      </c>
      <c r="B118">
        <v>0.33737061611374403</v>
      </c>
      <c r="C118">
        <v>1.0033737061611374</v>
      </c>
      <c r="D118">
        <f t="shared" si="1"/>
        <v>1.9235799496674455</v>
      </c>
    </row>
    <row r="119" spans="1:4">
      <c r="A119" s="4">
        <v>47665</v>
      </c>
      <c r="B119">
        <v>0.30925639810426536</v>
      </c>
      <c r="C119">
        <v>1.0030925639810426</v>
      </c>
      <c r="D119">
        <f t="shared" si="1"/>
        <v>1.9295287437344428</v>
      </c>
    </row>
    <row r="120" spans="1:4">
      <c r="A120" s="4">
        <v>47696</v>
      </c>
      <c r="B120">
        <v>0.15462819905213268</v>
      </c>
      <c r="C120">
        <v>1.0015462819905214</v>
      </c>
      <c r="D120">
        <f t="shared" si="1"/>
        <v>1.9325123392810728</v>
      </c>
    </row>
    <row r="121" spans="1:4">
      <c r="A121" s="4">
        <v>47727</v>
      </c>
      <c r="B121">
        <v>8.4342654028436007E-2</v>
      </c>
      <c r="C121">
        <v>1.0008434265402844</v>
      </c>
      <c r="D121">
        <f t="shared" si="1"/>
        <v>1.9341422714774494</v>
      </c>
    </row>
    <row r="122" spans="1:4">
      <c r="A122" s="4">
        <v>47757</v>
      </c>
      <c r="B122">
        <v>0.11245687203791468</v>
      </c>
      <c r="C122">
        <v>1.0008434265402844</v>
      </c>
      <c r="D122">
        <f>C122*D121</f>
        <v>1.9357735784018995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41AA2-69AC-43C6-8E43-A5FE6CC47B91}">
  <dimension ref="A1:D62"/>
  <sheetViews>
    <sheetView workbookViewId="0">
      <selection activeCell="D14" sqref="D14:D62"/>
    </sheetView>
  </sheetViews>
  <sheetFormatPr defaultRowHeight="15"/>
  <cols>
    <col min="1" max="1" width="11.140625" customWidth="1"/>
    <col min="2" max="2" width="10.140625" customWidth="1"/>
    <col min="4" max="4" width="13" customWidth="1"/>
  </cols>
  <sheetData>
    <row r="1" spans="1:4">
      <c r="A1" t="s">
        <v>21</v>
      </c>
      <c r="B1" t="s">
        <v>150</v>
      </c>
      <c r="C1" t="s">
        <v>22</v>
      </c>
      <c r="D1" t="s">
        <v>149</v>
      </c>
    </row>
    <row r="2" spans="1:4">
      <c r="A2" s="4">
        <v>44013</v>
      </c>
      <c r="B2">
        <v>0.36</v>
      </c>
      <c r="C2">
        <f>1+B2/100</f>
        <v>1.0036</v>
      </c>
      <c r="D2">
        <v>1.0036</v>
      </c>
    </row>
    <row r="3" spans="1:4" hidden="1">
      <c r="A3" s="4">
        <v>44044</v>
      </c>
      <c r="B3">
        <v>0.24</v>
      </c>
      <c r="C3">
        <f t="shared" ref="C3:C62" si="0">1+B3/100</f>
        <v>1.0024</v>
      </c>
      <c r="D3">
        <f>C3*D2</f>
        <v>1.0060086399999999</v>
      </c>
    </row>
    <row r="4" spans="1:4" hidden="1">
      <c r="A4" s="4">
        <v>44075</v>
      </c>
      <c r="B4">
        <v>0.64</v>
      </c>
      <c r="C4">
        <f t="shared" si="0"/>
        <v>1.0064</v>
      </c>
      <c r="D4">
        <f t="shared" ref="D4:D62" si="1">C4*D3</f>
        <v>1.0124470952959999</v>
      </c>
    </row>
    <row r="5" spans="1:4" hidden="1">
      <c r="A5" s="4">
        <v>44105</v>
      </c>
      <c r="B5">
        <v>0.86</v>
      </c>
      <c r="C5">
        <f t="shared" si="0"/>
        <v>1.0085999999999999</v>
      </c>
      <c r="D5">
        <f t="shared" si="1"/>
        <v>1.0211541403155453</v>
      </c>
    </row>
    <row r="6" spans="1:4" hidden="1">
      <c r="A6" s="4">
        <v>44136</v>
      </c>
      <c r="B6">
        <v>0.89</v>
      </c>
      <c r="C6">
        <f t="shared" si="0"/>
        <v>1.0088999999999999</v>
      </c>
      <c r="D6">
        <f t="shared" si="1"/>
        <v>1.0302424121643536</v>
      </c>
    </row>
    <row r="7" spans="1:4" hidden="1">
      <c r="A7" s="4">
        <v>44166</v>
      </c>
      <c r="B7">
        <v>1.35</v>
      </c>
      <c r="C7">
        <f t="shared" si="0"/>
        <v>1.0135000000000001</v>
      </c>
      <c r="D7">
        <f t="shared" si="1"/>
        <v>1.0441506847285724</v>
      </c>
    </row>
    <row r="8" spans="1:4" hidden="1">
      <c r="A8" s="4">
        <v>44197</v>
      </c>
      <c r="B8">
        <v>0.25</v>
      </c>
      <c r="C8">
        <f t="shared" si="0"/>
        <v>1.0024999999999999</v>
      </c>
      <c r="D8">
        <f t="shared" si="1"/>
        <v>1.0467610614403937</v>
      </c>
    </row>
    <row r="9" spans="1:4" hidden="1">
      <c r="A9" s="4">
        <v>44228</v>
      </c>
      <c r="B9">
        <v>0.86</v>
      </c>
      <c r="C9">
        <f t="shared" si="0"/>
        <v>1.0085999999999999</v>
      </c>
      <c r="D9">
        <f t="shared" si="1"/>
        <v>1.055763206568781</v>
      </c>
    </row>
    <row r="10" spans="1:4" hidden="1">
      <c r="A10" s="4">
        <v>44256</v>
      </c>
      <c r="B10">
        <v>0.93</v>
      </c>
      <c r="C10">
        <f t="shared" si="0"/>
        <v>1.0093000000000001</v>
      </c>
      <c r="D10">
        <f t="shared" si="1"/>
        <v>1.0655818043898708</v>
      </c>
    </row>
    <row r="11" spans="1:4" hidden="1">
      <c r="A11" s="4">
        <v>44287</v>
      </c>
      <c r="B11">
        <v>0.31</v>
      </c>
      <c r="C11">
        <f t="shared" si="0"/>
        <v>1.0031000000000001</v>
      </c>
      <c r="D11">
        <f t="shared" si="1"/>
        <v>1.0688851079834796</v>
      </c>
    </row>
    <row r="12" spans="1:4" hidden="1">
      <c r="A12" s="4">
        <v>44317</v>
      </c>
      <c r="B12">
        <v>0.83</v>
      </c>
      <c r="C12">
        <f t="shared" si="0"/>
        <v>1.0083</v>
      </c>
      <c r="D12">
        <f t="shared" si="1"/>
        <v>1.0777568543797424</v>
      </c>
    </row>
    <row r="13" spans="1:4" hidden="1">
      <c r="A13" s="4">
        <v>44348</v>
      </c>
      <c r="B13">
        <v>0.53</v>
      </c>
      <c r="C13">
        <f t="shared" si="0"/>
        <v>1.0053000000000001</v>
      </c>
      <c r="D13">
        <f t="shared" si="1"/>
        <v>1.0834689657079553</v>
      </c>
    </row>
    <row r="14" spans="1:4">
      <c r="A14" s="4">
        <v>44378</v>
      </c>
      <c r="B14">
        <v>0.96</v>
      </c>
      <c r="C14">
        <f t="shared" si="0"/>
        <v>1.0096000000000001</v>
      </c>
      <c r="D14">
        <f t="shared" si="1"/>
        <v>1.0938702677787517</v>
      </c>
    </row>
    <row r="15" spans="1:4" hidden="1">
      <c r="A15" s="4">
        <v>44409</v>
      </c>
      <c r="B15">
        <v>0.87</v>
      </c>
      <c r="C15">
        <f t="shared" si="0"/>
        <v>1.0086999999999999</v>
      </c>
      <c r="D15">
        <f t="shared" si="1"/>
        <v>1.1033869391084268</v>
      </c>
    </row>
    <row r="16" spans="1:4" hidden="1">
      <c r="A16" s="4">
        <v>44440</v>
      </c>
      <c r="B16">
        <v>1.1599999999999999</v>
      </c>
      <c r="C16">
        <f t="shared" si="0"/>
        <v>1.0116000000000001</v>
      </c>
      <c r="D16">
        <f t="shared" si="1"/>
        <v>1.1161862276020846</v>
      </c>
    </row>
    <row r="17" spans="1:4" hidden="1">
      <c r="A17" s="4">
        <v>44470</v>
      </c>
      <c r="B17">
        <v>1.25</v>
      </c>
      <c r="C17">
        <f t="shared" si="0"/>
        <v>1.0125</v>
      </c>
      <c r="D17">
        <f t="shared" si="1"/>
        <v>1.1301385554471106</v>
      </c>
    </row>
    <row r="18" spans="1:4" hidden="1">
      <c r="A18" s="4">
        <v>44501</v>
      </c>
      <c r="B18">
        <v>0.95</v>
      </c>
      <c r="C18">
        <f t="shared" si="0"/>
        <v>1.0095000000000001</v>
      </c>
      <c r="D18">
        <f t="shared" si="1"/>
        <v>1.1408748717238582</v>
      </c>
    </row>
    <row r="19" spans="1:4" hidden="1">
      <c r="A19" s="4">
        <v>44531</v>
      </c>
      <c r="B19">
        <v>0.73</v>
      </c>
      <c r="C19">
        <f t="shared" si="0"/>
        <v>1.0073000000000001</v>
      </c>
      <c r="D19">
        <f t="shared" si="1"/>
        <v>1.1492032582874425</v>
      </c>
    </row>
    <row r="20" spans="1:4" hidden="1">
      <c r="A20" s="4">
        <v>44562</v>
      </c>
      <c r="B20">
        <v>0.54</v>
      </c>
      <c r="C20">
        <f t="shared" si="0"/>
        <v>1.0054000000000001</v>
      </c>
      <c r="D20">
        <f t="shared" si="1"/>
        <v>1.1554089558821947</v>
      </c>
    </row>
    <row r="21" spans="1:4" hidden="1">
      <c r="A21" s="4">
        <v>44593</v>
      </c>
      <c r="B21">
        <v>1.01</v>
      </c>
      <c r="C21">
        <f t="shared" si="0"/>
        <v>1.0101</v>
      </c>
      <c r="D21">
        <f t="shared" si="1"/>
        <v>1.1670785863366049</v>
      </c>
    </row>
    <row r="22" spans="1:4" hidden="1">
      <c r="A22" s="4">
        <v>44621</v>
      </c>
      <c r="B22">
        <v>1.62</v>
      </c>
      <c r="C22">
        <f t="shared" si="0"/>
        <v>1.0162</v>
      </c>
      <c r="D22">
        <f t="shared" si="1"/>
        <v>1.1859852594352578</v>
      </c>
    </row>
    <row r="23" spans="1:4" hidden="1">
      <c r="A23" s="4">
        <v>44652</v>
      </c>
      <c r="B23">
        <v>1.06</v>
      </c>
      <c r="C23">
        <f t="shared" si="0"/>
        <v>1.0105999999999999</v>
      </c>
      <c r="D23">
        <f t="shared" si="1"/>
        <v>1.1985567031852715</v>
      </c>
    </row>
    <row r="24" spans="1:4" hidden="1">
      <c r="A24" s="4">
        <v>44682</v>
      </c>
      <c r="B24">
        <v>0.47</v>
      </c>
      <c r="C24">
        <f t="shared" si="0"/>
        <v>1.0046999999999999</v>
      </c>
      <c r="D24">
        <f t="shared" si="1"/>
        <v>1.2041899196902421</v>
      </c>
    </row>
    <row r="25" spans="1:4" hidden="1">
      <c r="A25" s="4">
        <v>44713</v>
      </c>
      <c r="B25">
        <v>0.67</v>
      </c>
      <c r="C25">
        <f t="shared" si="0"/>
        <v>1.0066999999999999</v>
      </c>
      <c r="D25">
        <f t="shared" si="1"/>
        <v>1.2122579921521668</v>
      </c>
    </row>
    <row r="26" spans="1:4">
      <c r="A26" s="4">
        <v>44743</v>
      </c>
      <c r="B26">
        <v>-0.68</v>
      </c>
      <c r="C26">
        <f t="shared" si="0"/>
        <v>0.99319999999999997</v>
      </c>
      <c r="D26">
        <f t="shared" si="1"/>
        <v>1.2040146378055321</v>
      </c>
    </row>
    <row r="27" spans="1:4" hidden="1">
      <c r="A27" s="4">
        <v>44774</v>
      </c>
      <c r="B27">
        <v>-0.36</v>
      </c>
      <c r="C27">
        <f t="shared" si="0"/>
        <v>0.99639999999999995</v>
      </c>
      <c r="D27">
        <f t="shared" si="1"/>
        <v>1.1996801851094321</v>
      </c>
    </row>
    <row r="28" spans="1:4" hidden="1">
      <c r="A28" s="4">
        <v>44805</v>
      </c>
      <c r="B28">
        <v>-0.28999999999999998</v>
      </c>
      <c r="C28">
        <f t="shared" si="0"/>
        <v>0.99709999999999999</v>
      </c>
      <c r="D28">
        <f t="shared" si="1"/>
        <v>1.1962011125726146</v>
      </c>
    </row>
    <row r="29" spans="1:4" hidden="1">
      <c r="A29" s="4">
        <v>44835</v>
      </c>
      <c r="B29">
        <v>0.33</v>
      </c>
      <c r="C29">
        <f t="shared" si="0"/>
        <v>1.0033000000000001</v>
      </c>
      <c r="D29">
        <f t="shared" si="1"/>
        <v>1.2001485762441044</v>
      </c>
    </row>
    <row r="30" spans="1:4" hidden="1">
      <c r="A30" s="4">
        <v>44866</v>
      </c>
      <c r="B30">
        <v>0.94638500140897963</v>
      </c>
      <c r="C30">
        <f t="shared" si="0"/>
        <v>1.0094638500140898</v>
      </c>
      <c r="D30">
        <f t="shared" si="1"/>
        <v>1.211506602364302</v>
      </c>
    </row>
    <row r="31" spans="1:4" hidden="1">
      <c r="A31" s="4">
        <v>44896</v>
      </c>
      <c r="B31">
        <v>1.9531775560993834</v>
      </c>
      <c r="C31">
        <f t="shared" si="0"/>
        <v>1.0195317755609938</v>
      </c>
      <c r="D31">
        <f t="shared" si="1"/>
        <v>1.2351694774123436</v>
      </c>
    </row>
    <row r="32" spans="1:4" hidden="1">
      <c r="A32" s="4">
        <v>44927</v>
      </c>
      <c r="B32">
        <v>0.84570574593993919</v>
      </c>
      <c r="C32">
        <f t="shared" si="0"/>
        <v>1.0084570574593994</v>
      </c>
      <c r="D32">
        <f t="shared" si="1"/>
        <v>1.2456153766549161</v>
      </c>
    </row>
    <row r="33" spans="1:4" hidden="1">
      <c r="A33" s="4">
        <v>44958</v>
      </c>
      <c r="B33">
        <v>0.66448308609566664</v>
      </c>
      <c r="C33">
        <f t="shared" si="0"/>
        <v>1.0066448308609566</v>
      </c>
      <c r="D33">
        <f t="shared" si="1"/>
        <v>1.2538922801505947</v>
      </c>
    </row>
    <row r="34" spans="1:4" hidden="1">
      <c r="A34" s="4">
        <v>44986</v>
      </c>
      <c r="B34">
        <v>1.006792554690404</v>
      </c>
      <c r="C34">
        <f t="shared" si="0"/>
        <v>1.0100679255469041</v>
      </c>
      <c r="D34">
        <f t="shared" si="1"/>
        <v>1.2665163742709886</v>
      </c>
    </row>
    <row r="35" spans="1:4" hidden="1">
      <c r="A35" s="4">
        <v>45017</v>
      </c>
      <c r="B35">
        <v>1.1276076612532524</v>
      </c>
      <c r="C35">
        <f t="shared" si="0"/>
        <v>1.0112760766125326</v>
      </c>
      <c r="D35">
        <f t="shared" si="1"/>
        <v>1.2807977099382952</v>
      </c>
    </row>
    <row r="36" spans="1:4" hidden="1">
      <c r="A36" s="4">
        <v>45047</v>
      </c>
      <c r="B36">
        <v>0.41494999999999999</v>
      </c>
      <c r="C36">
        <f t="shared" si="0"/>
        <v>1.0041495</v>
      </c>
      <c r="D36">
        <f t="shared" si="1"/>
        <v>1.2861123800356842</v>
      </c>
    </row>
    <row r="37" spans="1:4" hidden="1">
      <c r="A37" s="4">
        <v>45078</v>
      </c>
      <c r="B37">
        <v>0.38303300000000001</v>
      </c>
      <c r="C37">
        <f t="shared" si="0"/>
        <v>1.00383033</v>
      </c>
      <c r="D37">
        <f t="shared" si="1"/>
        <v>1.2910386148683062</v>
      </c>
    </row>
    <row r="38" spans="1:4">
      <c r="A38" s="4">
        <v>45108</v>
      </c>
      <c r="B38">
        <v>0.35111999999999999</v>
      </c>
      <c r="C38">
        <f t="shared" si="0"/>
        <v>1.0035111999999999</v>
      </c>
      <c r="D38">
        <f t="shared" si="1"/>
        <v>1.2955717096528316</v>
      </c>
    </row>
    <row r="39" spans="1:4" hidden="1">
      <c r="A39" s="4">
        <v>45139</v>
      </c>
      <c r="B39">
        <v>0.17555687203791467</v>
      </c>
      <c r="C39">
        <f t="shared" si="0"/>
        <v>1.0017555687203792</v>
      </c>
      <c r="D39">
        <f t="shared" si="1"/>
        <v>1.2978461748213064</v>
      </c>
    </row>
    <row r="40" spans="1:4" hidden="1">
      <c r="A40" s="4">
        <v>45170</v>
      </c>
      <c r="B40">
        <v>9.5758293838862543E-2</v>
      </c>
      <c r="C40">
        <f t="shared" si="0"/>
        <v>1.0009575829383885</v>
      </c>
      <c r="D40">
        <f t="shared" si="1"/>
        <v>1.2990889701749682</v>
      </c>
    </row>
    <row r="41" spans="1:4" hidden="1">
      <c r="A41" s="4">
        <v>45200</v>
      </c>
      <c r="B41">
        <v>0.12767772511848341</v>
      </c>
      <c r="C41">
        <f t="shared" si="0"/>
        <v>1.0012767772511848</v>
      </c>
      <c r="D41">
        <f t="shared" si="1"/>
        <v>1.3007476174193526</v>
      </c>
    </row>
    <row r="42" spans="1:4" hidden="1">
      <c r="A42" s="4">
        <v>45231</v>
      </c>
      <c r="B42">
        <v>0.66754478672985762</v>
      </c>
      <c r="C42">
        <f t="shared" si="0"/>
        <v>1.0066754478672986</v>
      </c>
      <c r="D42">
        <f t="shared" si="1"/>
        <v>1.3094306903279482</v>
      </c>
    </row>
    <row r="43" spans="1:4" hidden="1">
      <c r="A43" s="4">
        <v>45261</v>
      </c>
      <c r="B43">
        <v>1.3776988151658764</v>
      </c>
      <c r="C43">
        <f t="shared" si="0"/>
        <v>1.0137769881516587</v>
      </c>
      <c r="D43">
        <f t="shared" si="1"/>
        <v>1.3274707014340148</v>
      </c>
    </row>
    <row r="44" spans="1:4" hidden="1">
      <c r="A44" s="4">
        <v>45292</v>
      </c>
      <c r="B44">
        <v>0.59652938388625576</v>
      </c>
      <c r="C44">
        <f t="shared" si="0"/>
        <v>1.0059652938388626</v>
      </c>
      <c r="D44">
        <f t="shared" si="1"/>
        <v>1.3353894542305498</v>
      </c>
    </row>
    <row r="45" spans="1:4" hidden="1">
      <c r="A45" s="4">
        <v>45323</v>
      </c>
      <c r="B45">
        <v>0.46870165876777242</v>
      </c>
      <c r="C45">
        <f t="shared" si="0"/>
        <v>1.0046870165876778</v>
      </c>
      <c r="D45">
        <f t="shared" si="1"/>
        <v>1.3416484467535383</v>
      </c>
    </row>
    <row r="46" spans="1:4" hidden="1">
      <c r="A46" s="4">
        <v>45352</v>
      </c>
      <c r="B46">
        <v>0.71015402843601882</v>
      </c>
      <c r="C46">
        <f t="shared" si="0"/>
        <v>1.0071015402843602</v>
      </c>
      <c r="D46">
        <f t="shared" si="1"/>
        <v>1.3511762172456079</v>
      </c>
    </row>
    <row r="47" spans="1:4" hidden="1">
      <c r="A47" s="4">
        <v>45383</v>
      </c>
      <c r="B47">
        <v>0.79537251184834112</v>
      </c>
      <c r="C47">
        <f t="shared" si="0"/>
        <v>1.0079537251184834</v>
      </c>
      <c r="D47">
        <f t="shared" si="1"/>
        <v>1.3619231014642117</v>
      </c>
    </row>
    <row r="48" spans="1:4" hidden="1">
      <c r="A48" s="4">
        <v>45413</v>
      </c>
      <c r="B48">
        <v>0.3692800947867298</v>
      </c>
      <c r="C48">
        <f t="shared" si="0"/>
        <v>1.0036928009478674</v>
      </c>
      <c r="D48">
        <f t="shared" si="1"/>
        <v>1.3669524123842212</v>
      </c>
    </row>
    <row r="49" spans="1:4" hidden="1">
      <c r="A49" s="4">
        <v>45444</v>
      </c>
      <c r="B49">
        <v>0.34087393364928903</v>
      </c>
      <c r="C49">
        <f t="shared" si="0"/>
        <v>1.003408739336493</v>
      </c>
      <c r="D49">
        <f t="shared" si="1"/>
        <v>1.3716119968434293</v>
      </c>
    </row>
    <row r="50" spans="1:4">
      <c r="A50" s="4">
        <v>45474</v>
      </c>
      <c r="B50">
        <v>0.31246777251184826</v>
      </c>
      <c r="C50">
        <f t="shared" si="0"/>
        <v>1.0031246777251184</v>
      </c>
      <c r="D50">
        <f t="shared" si="1"/>
        <v>1.375897842297471</v>
      </c>
    </row>
    <row r="51" spans="1:4" hidden="1">
      <c r="A51" s="4">
        <v>45505</v>
      </c>
      <c r="B51">
        <v>0.15623388625592413</v>
      </c>
      <c r="C51">
        <f t="shared" si="0"/>
        <v>1.0015623388625592</v>
      </c>
      <c r="D51">
        <f t="shared" si="1"/>
        <v>1.3780474609674036</v>
      </c>
    </row>
    <row r="52" spans="1:4" hidden="1">
      <c r="A52" s="4">
        <v>45536</v>
      </c>
      <c r="B52">
        <v>8.5218483412322257E-2</v>
      </c>
      <c r="C52">
        <f t="shared" si="0"/>
        <v>1.0008521848341232</v>
      </c>
      <c r="D52">
        <f t="shared" si="1"/>
        <v>1.379221812114342</v>
      </c>
    </row>
    <row r="53" spans="1:4" hidden="1">
      <c r="A53" s="4">
        <v>45566</v>
      </c>
      <c r="B53">
        <v>0.11362464454976301</v>
      </c>
      <c r="C53">
        <f t="shared" si="0"/>
        <v>1.0011362464454976</v>
      </c>
      <c r="D53">
        <f t="shared" si="1"/>
        <v>1.3807889479959097</v>
      </c>
    </row>
    <row r="54" spans="1:4" hidden="1">
      <c r="A54" s="4">
        <v>45597</v>
      </c>
      <c r="B54">
        <v>0.64748625592417042</v>
      </c>
      <c r="C54">
        <f t="shared" si="0"/>
        <v>1.0064748625592417</v>
      </c>
      <c r="D54">
        <f t="shared" si="1"/>
        <v>1.389729366657503</v>
      </c>
    </row>
    <row r="55" spans="1:4" hidden="1">
      <c r="A55" s="4">
        <v>45627</v>
      </c>
      <c r="B55">
        <v>1.3363014218009477</v>
      </c>
      <c r="C55">
        <f t="shared" si="0"/>
        <v>1.0133630142180095</v>
      </c>
      <c r="D55">
        <f t="shared" si="1"/>
        <v>1.4083003399433325</v>
      </c>
    </row>
    <row r="56" spans="1:4" hidden="1">
      <c r="A56" s="4">
        <v>45658</v>
      </c>
      <c r="B56">
        <v>0.57860473933649281</v>
      </c>
      <c r="C56">
        <f t="shared" si="0"/>
        <v>1.0057860473933649</v>
      </c>
      <c r="D56">
        <f t="shared" si="1"/>
        <v>1.4164488324543365</v>
      </c>
    </row>
    <row r="57" spans="1:4" hidden="1">
      <c r="A57" s="4">
        <v>45689</v>
      </c>
      <c r="B57">
        <v>0.45461800947867292</v>
      </c>
      <c r="C57">
        <f t="shared" si="0"/>
        <v>1.0045461800947868</v>
      </c>
      <c r="D57">
        <f t="shared" si="1"/>
        <v>1.4228882639417244</v>
      </c>
    </row>
    <row r="58" spans="1:4" hidden="1">
      <c r="A58" s="4">
        <v>45717</v>
      </c>
      <c r="B58">
        <v>0.68881516587677716</v>
      </c>
      <c r="C58">
        <f t="shared" si="0"/>
        <v>1.0068881516587678</v>
      </c>
      <c r="D58">
        <f t="shared" si="1"/>
        <v>1.4326893340972358</v>
      </c>
    </row>
    <row r="59" spans="1:4" hidden="1">
      <c r="A59" s="4">
        <v>45748</v>
      </c>
      <c r="B59">
        <v>0.77147298578199042</v>
      </c>
      <c r="C59">
        <f t="shared" si="0"/>
        <v>1.00771472985782</v>
      </c>
      <c r="D59">
        <f t="shared" si="1"/>
        <v>1.4437421452799759</v>
      </c>
    </row>
    <row r="60" spans="1:4" hidden="1">
      <c r="A60" s="4">
        <v>45778</v>
      </c>
      <c r="B60">
        <v>0.35818388625592412</v>
      </c>
      <c r="C60">
        <f t="shared" si="0"/>
        <v>1.0035818388625593</v>
      </c>
      <c r="D60">
        <f t="shared" si="1"/>
        <v>1.4489133970034545</v>
      </c>
    </row>
    <row r="61" spans="1:4" hidden="1">
      <c r="A61" s="4">
        <v>45809</v>
      </c>
      <c r="B61">
        <v>0.33063127962085304</v>
      </c>
      <c r="C61">
        <f t="shared" si="0"/>
        <v>1.0033063127962085</v>
      </c>
      <c r="D61">
        <f t="shared" si="1"/>
        <v>1.4537039579085649</v>
      </c>
    </row>
    <row r="62" spans="1:4">
      <c r="A62" s="4">
        <v>45839</v>
      </c>
      <c r="B62">
        <v>0.30307867298578195</v>
      </c>
      <c r="C62">
        <f t="shared" si="0"/>
        <v>1.0030307867298578</v>
      </c>
      <c r="D62">
        <f t="shared" si="1"/>
        <v>1.4581098245733359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46B97-D6DC-463B-BB75-D2273B6F7391}">
  <dimension ref="A1:D301"/>
  <sheetViews>
    <sheetView workbookViewId="0">
      <selection activeCell="B16" sqref="B16:C112"/>
    </sheetView>
  </sheetViews>
  <sheetFormatPr defaultRowHeight="15"/>
  <cols>
    <col min="1" max="1" width="11.140625" customWidth="1"/>
    <col min="2" max="2" width="10.140625" customWidth="1"/>
    <col min="4" max="4" width="13" customWidth="1"/>
  </cols>
  <sheetData>
    <row r="1" spans="1:4">
      <c r="A1" t="s">
        <v>21</v>
      </c>
      <c r="B1" t="s">
        <v>150</v>
      </c>
      <c r="C1" t="s">
        <v>22</v>
      </c>
      <c r="D1" t="s">
        <v>149</v>
      </c>
    </row>
    <row r="2" spans="1:4">
      <c r="A2" s="4">
        <v>43831</v>
      </c>
      <c r="B2" s="5">
        <v>0.21</v>
      </c>
      <c r="C2">
        <f>1+B2/100</f>
        <v>1.0021</v>
      </c>
      <c r="D2">
        <f>1.0021</f>
        <v>1.0021</v>
      </c>
    </row>
    <row r="3" spans="1:4">
      <c r="A3" s="4">
        <v>43862</v>
      </c>
      <c r="B3" s="5">
        <v>0.25</v>
      </c>
      <c r="C3">
        <f t="shared" ref="C3:C66" si="0">1+B3/100</f>
        <v>1.0024999999999999</v>
      </c>
      <c r="D3">
        <f>C3*D2</f>
        <v>1.00460525</v>
      </c>
    </row>
    <row r="4" spans="1:4">
      <c r="A4" s="4">
        <v>43891</v>
      </c>
      <c r="B4" s="5">
        <v>7.0000000000000007E-2</v>
      </c>
      <c r="C4">
        <f t="shared" si="0"/>
        <v>1.0006999999999999</v>
      </c>
      <c r="D4">
        <f t="shared" ref="D4:D67" si="1">C4*D3</f>
        <v>1.005308473675</v>
      </c>
    </row>
    <row r="5" spans="1:4">
      <c r="A5" s="4">
        <v>43922</v>
      </c>
      <c r="B5" s="5">
        <v>-0.31</v>
      </c>
      <c r="C5">
        <f t="shared" si="0"/>
        <v>0.99690000000000001</v>
      </c>
      <c r="D5">
        <f t="shared" si="1"/>
        <v>1.0021920174066075</v>
      </c>
    </row>
    <row r="6" spans="1:4">
      <c r="A6" s="4">
        <v>43952</v>
      </c>
      <c r="B6" s="5">
        <v>-0.38</v>
      </c>
      <c r="C6">
        <f t="shared" si="0"/>
        <v>0.99619999999999997</v>
      </c>
      <c r="D6">
        <f t="shared" si="1"/>
        <v>0.99838368774046238</v>
      </c>
    </row>
    <row r="7" spans="1:4">
      <c r="A7" s="4">
        <v>43983</v>
      </c>
      <c r="B7" s="5">
        <v>0.26</v>
      </c>
      <c r="C7">
        <f t="shared" si="0"/>
        <v>1.0025999999999999</v>
      </c>
      <c r="D7">
        <f t="shared" si="1"/>
        <v>1.0009794853285876</v>
      </c>
    </row>
    <row r="8" spans="1:4">
      <c r="A8" s="4">
        <v>44013</v>
      </c>
      <c r="B8" s="5">
        <v>0.36</v>
      </c>
      <c r="C8">
        <f t="shared" si="0"/>
        <v>1.0036</v>
      </c>
      <c r="D8">
        <f t="shared" si="1"/>
        <v>1.0045830114757706</v>
      </c>
    </row>
    <row r="9" spans="1:4">
      <c r="A9" s="4">
        <v>44044</v>
      </c>
      <c r="B9" s="5">
        <v>0.24</v>
      </c>
      <c r="C9">
        <f t="shared" si="0"/>
        <v>1.0024</v>
      </c>
      <c r="D9">
        <f t="shared" si="1"/>
        <v>1.0069940107033124</v>
      </c>
    </row>
    <row r="10" spans="1:4">
      <c r="A10" s="4">
        <v>44075</v>
      </c>
      <c r="B10" s="5">
        <v>0.64</v>
      </c>
      <c r="C10">
        <f t="shared" si="0"/>
        <v>1.0064</v>
      </c>
      <c r="D10">
        <f t="shared" si="1"/>
        <v>1.0134387723718135</v>
      </c>
    </row>
    <row r="11" spans="1:4">
      <c r="A11" s="4">
        <v>44105</v>
      </c>
      <c r="B11" s="5">
        <v>0.86</v>
      </c>
      <c r="C11">
        <f t="shared" si="0"/>
        <v>1.0085999999999999</v>
      </c>
      <c r="D11">
        <f t="shared" si="1"/>
        <v>1.0221543458142111</v>
      </c>
    </row>
    <row r="12" spans="1:4">
      <c r="A12" s="4">
        <v>44136</v>
      </c>
      <c r="B12" s="5">
        <v>0.89</v>
      </c>
      <c r="C12">
        <f t="shared" si="0"/>
        <v>1.0088999999999999</v>
      </c>
      <c r="D12">
        <f t="shared" si="1"/>
        <v>1.0312515194919574</v>
      </c>
    </row>
    <row r="13" spans="1:4">
      <c r="A13" s="4">
        <v>44166</v>
      </c>
      <c r="B13" s="5">
        <v>1.35</v>
      </c>
      <c r="C13">
        <f t="shared" si="0"/>
        <v>1.0135000000000001</v>
      </c>
      <c r="D13">
        <f t="shared" si="1"/>
        <v>1.0451734150050989</v>
      </c>
    </row>
    <row r="14" spans="1:4">
      <c r="A14" s="4">
        <v>44197</v>
      </c>
      <c r="B14" s="5">
        <v>0.25</v>
      </c>
      <c r="C14">
        <f t="shared" si="0"/>
        <v>1.0024999999999999</v>
      </c>
      <c r="D14">
        <f t="shared" si="1"/>
        <v>1.0477863485426115</v>
      </c>
    </row>
    <row r="15" spans="1:4">
      <c r="A15" s="4">
        <v>44228</v>
      </c>
      <c r="B15" s="5">
        <v>0.86</v>
      </c>
      <c r="C15">
        <f t="shared" si="0"/>
        <v>1.0085999999999999</v>
      </c>
      <c r="D15">
        <f t="shared" si="1"/>
        <v>1.0567973111400779</v>
      </c>
    </row>
    <row r="16" spans="1:4">
      <c r="A16" s="4">
        <v>44256</v>
      </c>
      <c r="B16" s="5">
        <v>0.93</v>
      </c>
      <c r="C16">
        <f t="shared" si="0"/>
        <v>1.0093000000000001</v>
      </c>
      <c r="D16">
        <f t="shared" si="1"/>
        <v>1.0666255261336808</v>
      </c>
    </row>
    <row r="17" spans="1:4">
      <c r="A17" s="4">
        <v>44287</v>
      </c>
      <c r="B17" s="5">
        <v>0.31</v>
      </c>
      <c r="C17">
        <f t="shared" si="0"/>
        <v>1.0031000000000001</v>
      </c>
      <c r="D17">
        <f t="shared" si="1"/>
        <v>1.0699320652646953</v>
      </c>
    </row>
    <row r="18" spans="1:4">
      <c r="A18" s="4">
        <v>44317</v>
      </c>
      <c r="B18" s="5">
        <v>0.83</v>
      </c>
      <c r="C18">
        <f t="shared" si="0"/>
        <v>1.0083</v>
      </c>
      <c r="D18">
        <f t="shared" si="1"/>
        <v>1.0788125014063923</v>
      </c>
    </row>
    <row r="19" spans="1:4">
      <c r="A19" s="4">
        <v>44348</v>
      </c>
      <c r="B19" s="5">
        <v>0.53</v>
      </c>
      <c r="C19">
        <f t="shared" si="0"/>
        <v>1.0053000000000001</v>
      </c>
      <c r="D19">
        <f t="shared" si="1"/>
        <v>1.0845302076638463</v>
      </c>
    </row>
    <row r="20" spans="1:4">
      <c r="A20" s="4">
        <v>44378</v>
      </c>
      <c r="B20" s="5">
        <v>0.96</v>
      </c>
      <c r="C20">
        <f t="shared" si="0"/>
        <v>1.0096000000000001</v>
      </c>
      <c r="D20">
        <f t="shared" si="1"/>
        <v>1.0949416976574193</v>
      </c>
    </row>
    <row r="21" spans="1:4">
      <c r="A21" s="4">
        <v>44409</v>
      </c>
      <c r="B21" s="5">
        <v>0.87</v>
      </c>
      <c r="C21">
        <f t="shared" si="0"/>
        <v>1.0086999999999999</v>
      </c>
      <c r="D21">
        <f t="shared" si="1"/>
        <v>1.1044676904270387</v>
      </c>
    </row>
    <row r="22" spans="1:4">
      <c r="A22" s="4">
        <v>44440</v>
      </c>
      <c r="B22" s="5">
        <v>1.1599999999999999</v>
      </c>
      <c r="C22">
        <f t="shared" si="0"/>
        <v>1.0116000000000001</v>
      </c>
      <c r="D22">
        <f t="shared" si="1"/>
        <v>1.1172795156359925</v>
      </c>
    </row>
    <row r="23" spans="1:4">
      <c r="A23" s="4">
        <v>44470</v>
      </c>
      <c r="B23" s="5">
        <v>1.25</v>
      </c>
      <c r="C23">
        <f t="shared" si="0"/>
        <v>1.0125</v>
      </c>
      <c r="D23">
        <f t="shared" si="1"/>
        <v>1.1312455095814424</v>
      </c>
    </row>
    <row r="24" spans="1:4">
      <c r="A24" s="4">
        <v>44501</v>
      </c>
      <c r="B24" s="5">
        <v>0.95</v>
      </c>
      <c r="C24">
        <f t="shared" si="0"/>
        <v>1.0095000000000001</v>
      </c>
      <c r="D24">
        <f t="shared" si="1"/>
        <v>1.1419923419224662</v>
      </c>
    </row>
    <row r="25" spans="1:4">
      <c r="A25" s="4">
        <v>44531</v>
      </c>
      <c r="B25" s="5">
        <v>0.73</v>
      </c>
      <c r="C25">
        <f t="shared" si="0"/>
        <v>1.0073000000000001</v>
      </c>
      <c r="D25">
        <f t="shared" si="1"/>
        <v>1.1503288860185004</v>
      </c>
    </row>
    <row r="26" spans="1:4">
      <c r="A26" s="4">
        <v>44562</v>
      </c>
      <c r="B26" s="5">
        <v>0.54</v>
      </c>
      <c r="C26">
        <f t="shared" si="0"/>
        <v>1.0054000000000001</v>
      </c>
      <c r="D26">
        <f t="shared" si="1"/>
        <v>1.1565406620030003</v>
      </c>
    </row>
    <row r="27" spans="1:4">
      <c r="A27" s="4">
        <v>44593</v>
      </c>
      <c r="B27" s="5">
        <v>1.01</v>
      </c>
      <c r="C27">
        <f t="shared" si="0"/>
        <v>1.0101</v>
      </c>
      <c r="D27">
        <f t="shared" si="1"/>
        <v>1.1682217226892306</v>
      </c>
    </row>
    <row r="28" spans="1:4">
      <c r="A28" s="4">
        <v>44621</v>
      </c>
      <c r="B28" s="5">
        <v>1.62</v>
      </c>
      <c r="C28">
        <f t="shared" si="0"/>
        <v>1.0162</v>
      </c>
      <c r="D28">
        <f t="shared" si="1"/>
        <v>1.1871469145967961</v>
      </c>
    </row>
    <row r="29" spans="1:4">
      <c r="A29" s="4">
        <v>44652</v>
      </c>
      <c r="B29" s="5">
        <v>1.06</v>
      </c>
      <c r="C29">
        <f t="shared" si="0"/>
        <v>1.0105999999999999</v>
      </c>
      <c r="D29">
        <f t="shared" si="1"/>
        <v>1.1997306718915222</v>
      </c>
    </row>
    <row r="30" spans="1:4">
      <c r="A30" s="4">
        <v>44682</v>
      </c>
      <c r="B30" s="5">
        <v>0.47</v>
      </c>
      <c r="C30">
        <f t="shared" si="0"/>
        <v>1.0046999999999999</v>
      </c>
      <c r="D30">
        <f t="shared" si="1"/>
        <v>1.2053694060494122</v>
      </c>
    </row>
    <row r="31" spans="1:4">
      <c r="A31" s="4">
        <v>44713</v>
      </c>
      <c r="B31" s="5">
        <v>0.67</v>
      </c>
      <c r="C31">
        <f t="shared" si="0"/>
        <v>1.0066999999999999</v>
      </c>
      <c r="D31">
        <f t="shared" si="1"/>
        <v>1.2134453810699433</v>
      </c>
    </row>
    <row r="32" spans="1:4">
      <c r="A32" s="4">
        <v>44743</v>
      </c>
      <c r="B32" s="5">
        <v>-0.68</v>
      </c>
      <c r="C32">
        <f t="shared" si="0"/>
        <v>0.99319999999999997</v>
      </c>
      <c r="D32">
        <f t="shared" si="1"/>
        <v>1.2051939524786677</v>
      </c>
    </row>
    <row r="33" spans="1:4">
      <c r="A33" s="4">
        <v>44774</v>
      </c>
      <c r="B33" s="5">
        <v>-0.36</v>
      </c>
      <c r="C33">
        <f t="shared" si="0"/>
        <v>0.99639999999999995</v>
      </c>
      <c r="D33">
        <f t="shared" si="1"/>
        <v>1.2008552542497444</v>
      </c>
    </row>
    <row r="34" spans="1:4">
      <c r="A34" s="4">
        <v>44805</v>
      </c>
      <c r="B34" s="5">
        <v>-0.28999999999999998</v>
      </c>
      <c r="C34">
        <f t="shared" si="0"/>
        <v>0.99709999999999999</v>
      </c>
      <c r="D34">
        <f t="shared" si="1"/>
        <v>1.19737277401242</v>
      </c>
    </row>
    <row r="35" spans="1:4">
      <c r="A35" s="4">
        <v>44835</v>
      </c>
      <c r="B35">
        <v>0.33</v>
      </c>
      <c r="C35">
        <f t="shared" si="0"/>
        <v>1.0033000000000001</v>
      </c>
      <c r="D35">
        <f t="shared" si="1"/>
        <v>1.2013241041666611</v>
      </c>
    </row>
    <row r="36" spans="1:4">
      <c r="A36" s="4">
        <v>44866</v>
      </c>
      <c r="B36">
        <v>0.94638500140897963</v>
      </c>
      <c r="C36">
        <f t="shared" si="0"/>
        <v>1.0094638500140898</v>
      </c>
      <c r="D36">
        <f t="shared" si="1"/>
        <v>1.2126932553068053</v>
      </c>
    </row>
    <row r="37" spans="1:4">
      <c r="A37" s="4">
        <v>44896</v>
      </c>
      <c r="B37">
        <v>1.9531775560993834</v>
      </c>
      <c r="C37">
        <f t="shared" si="0"/>
        <v>1.0195317755609938</v>
      </c>
      <c r="D37">
        <f t="shared" si="1"/>
        <v>1.2363793077937888</v>
      </c>
    </row>
    <row r="38" spans="1:4">
      <c r="A38" s="4">
        <v>44927</v>
      </c>
      <c r="B38">
        <v>0.84570574593993919</v>
      </c>
      <c r="C38">
        <f t="shared" si="0"/>
        <v>1.0084570574593994</v>
      </c>
      <c r="D38">
        <f t="shared" si="1"/>
        <v>1.2468354386414133</v>
      </c>
    </row>
    <row r="39" spans="1:4">
      <c r="A39" s="4">
        <v>44958</v>
      </c>
      <c r="B39">
        <v>0.66448308609566664</v>
      </c>
      <c r="C39">
        <f t="shared" si="0"/>
        <v>1.0066448308609566</v>
      </c>
      <c r="D39">
        <f t="shared" si="1"/>
        <v>1.2551204492426322</v>
      </c>
    </row>
    <row r="40" spans="1:4">
      <c r="A40" s="4">
        <v>44986</v>
      </c>
      <c r="B40">
        <v>1.006792554690404</v>
      </c>
      <c r="C40">
        <f t="shared" si="0"/>
        <v>1.0100679255469041</v>
      </c>
      <c r="D40">
        <f t="shared" si="1"/>
        <v>1.2677569084780038</v>
      </c>
    </row>
    <row r="41" spans="1:4">
      <c r="A41" s="4">
        <v>45017</v>
      </c>
      <c r="B41">
        <v>1.1276076612532524</v>
      </c>
      <c r="C41">
        <f t="shared" si="0"/>
        <v>1.0112760766125326</v>
      </c>
      <c r="D41">
        <f t="shared" si="1"/>
        <v>1.2820522325040693</v>
      </c>
    </row>
    <row r="42" spans="1:4">
      <c r="A42" s="4">
        <v>45047</v>
      </c>
      <c r="B42">
        <v>0.41494999999999999</v>
      </c>
      <c r="C42">
        <f t="shared" si="0"/>
        <v>1.0041495</v>
      </c>
      <c r="D42">
        <f t="shared" si="1"/>
        <v>1.2873721082428449</v>
      </c>
    </row>
    <row r="43" spans="1:4">
      <c r="A43" s="4">
        <v>45078</v>
      </c>
      <c r="B43">
        <v>0.38303300000000001</v>
      </c>
      <c r="C43">
        <f t="shared" si="0"/>
        <v>1.00383033</v>
      </c>
      <c r="D43">
        <f t="shared" si="1"/>
        <v>1.2923031682502106</v>
      </c>
    </row>
    <row r="44" spans="1:4">
      <c r="A44" s="4">
        <v>45108</v>
      </c>
      <c r="B44">
        <v>0.35111999999999999</v>
      </c>
      <c r="C44">
        <f t="shared" si="0"/>
        <v>1.0035111999999999</v>
      </c>
      <c r="D44">
        <f t="shared" si="1"/>
        <v>1.2968407031345708</v>
      </c>
    </row>
    <row r="45" spans="1:4">
      <c r="A45" s="4">
        <v>45139</v>
      </c>
      <c r="B45">
        <v>0.17555687203791467</v>
      </c>
      <c r="C45">
        <f t="shared" si="0"/>
        <v>1.0017555687203792</v>
      </c>
      <c r="D45">
        <f t="shared" si="1"/>
        <v>1.2991173961083085</v>
      </c>
    </row>
    <row r="46" spans="1:4">
      <c r="A46" s="4">
        <v>45170</v>
      </c>
      <c r="B46">
        <v>9.5758293838862543E-2</v>
      </c>
      <c r="C46">
        <f t="shared" si="0"/>
        <v>1.0009575829383885</v>
      </c>
      <c r="D46">
        <f t="shared" si="1"/>
        <v>1.3003614087617856</v>
      </c>
    </row>
    <row r="47" spans="1:4">
      <c r="A47" s="4">
        <v>45200</v>
      </c>
      <c r="B47">
        <v>0.12767772511848341</v>
      </c>
      <c r="C47">
        <f t="shared" si="0"/>
        <v>1.0012767772511848</v>
      </c>
      <c r="D47">
        <f t="shared" si="1"/>
        <v>1.3020216806268112</v>
      </c>
    </row>
    <row r="48" spans="1:4">
      <c r="A48" s="4">
        <v>45231</v>
      </c>
      <c r="B48">
        <v>0.66754478672985762</v>
      </c>
      <c r="C48">
        <f t="shared" si="0"/>
        <v>1.0066754478672986</v>
      </c>
      <c r="D48">
        <f t="shared" si="1"/>
        <v>1.310713258477928</v>
      </c>
    </row>
    <row r="49" spans="1:4">
      <c r="A49" s="4">
        <v>45261</v>
      </c>
      <c r="B49">
        <v>1.3776988151658764</v>
      </c>
      <c r="C49">
        <f t="shared" si="0"/>
        <v>1.0137769881516587</v>
      </c>
      <c r="D49">
        <f t="shared" si="1"/>
        <v>1.3287709395102003</v>
      </c>
    </row>
    <row r="50" spans="1:4">
      <c r="A50" s="4">
        <v>45292</v>
      </c>
      <c r="B50">
        <v>0.59652938388625576</v>
      </c>
      <c r="C50">
        <f t="shared" si="0"/>
        <v>1.0059652938388626</v>
      </c>
      <c r="D50">
        <f t="shared" si="1"/>
        <v>1.33669744860892</v>
      </c>
    </row>
    <row r="51" spans="1:4">
      <c r="A51" s="4">
        <v>45323</v>
      </c>
      <c r="B51">
        <v>0.46870165876777242</v>
      </c>
      <c r="C51">
        <f t="shared" si="0"/>
        <v>1.0046870165876778</v>
      </c>
      <c r="D51">
        <f t="shared" si="1"/>
        <v>1.3429625717232567</v>
      </c>
    </row>
    <row r="52" spans="1:4">
      <c r="A52" s="4">
        <v>45352</v>
      </c>
      <c r="B52">
        <v>0.71015402843601882</v>
      </c>
      <c r="C52">
        <f t="shared" si="0"/>
        <v>1.0071015402843602</v>
      </c>
      <c r="D52">
        <f t="shared" si="1"/>
        <v>1.3524996745267372</v>
      </c>
    </row>
    <row r="53" spans="1:4">
      <c r="A53" s="4">
        <v>45383</v>
      </c>
      <c r="B53">
        <v>0.79537251184834112</v>
      </c>
      <c r="C53">
        <f t="shared" si="0"/>
        <v>1.0079537251184834</v>
      </c>
      <c r="D53">
        <f t="shared" si="1"/>
        <v>1.3632570851607611</v>
      </c>
    </row>
    <row r="54" spans="1:4">
      <c r="A54" s="4">
        <v>45413</v>
      </c>
      <c r="B54">
        <v>0.3692800947867298</v>
      </c>
      <c r="C54">
        <f t="shared" si="0"/>
        <v>1.0036928009478674</v>
      </c>
      <c r="D54">
        <f t="shared" si="1"/>
        <v>1.3682913222170296</v>
      </c>
    </row>
    <row r="55" spans="1:4">
      <c r="A55" s="4">
        <v>45444</v>
      </c>
      <c r="B55">
        <v>0.34087393364928903</v>
      </c>
      <c r="C55">
        <f t="shared" si="0"/>
        <v>1.003408739336493</v>
      </c>
      <c r="D55">
        <f t="shared" si="1"/>
        <v>1.3729554706708529</v>
      </c>
    </row>
    <row r="56" spans="1:4">
      <c r="A56" s="4">
        <v>45474</v>
      </c>
      <c r="B56">
        <v>0.31246777251184826</v>
      </c>
      <c r="C56">
        <f t="shared" si="0"/>
        <v>1.0031246777251184</v>
      </c>
      <c r="D56">
        <f t="shared" si="1"/>
        <v>1.3772455140476376</v>
      </c>
    </row>
    <row r="57" spans="1:4">
      <c r="A57" s="4">
        <v>45505</v>
      </c>
      <c r="B57">
        <v>0.15623388625592413</v>
      </c>
      <c r="C57">
        <f t="shared" si="0"/>
        <v>1.0015623388625592</v>
      </c>
      <c r="D57">
        <f t="shared" si="1"/>
        <v>1.3793972382375195</v>
      </c>
    </row>
    <row r="58" spans="1:4">
      <c r="A58" s="4">
        <v>45536</v>
      </c>
      <c r="B58">
        <v>8.5218483412322257E-2</v>
      </c>
      <c r="C58">
        <f t="shared" si="0"/>
        <v>1.0008521848341232</v>
      </c>
      <c r="D58">
        <f t="shared" si="1"/>
        <v>1.3805727396441769</v>
      </c>
    </row>
    <row r="59" spans="1:4">
      <c r="A59" s="4">
        <v>45566</v>
      </c>
      <c r="B59">
        <v>0.11362464454976301</v>
      </c>
      <c r="C59">
        <f t="shared" si="0"/>
        <v>1.0011362464454976</v>
      </c>
      <c r="D59">
        <f t="shared" si="1"/>
        <v>1.3821414105123484</v>
      </c>
    </row>
    <row r="60" spans="1:4">
      <c r="A60" s="4">
        <v>45597</v>
      </c>
      <c r="B60">
        <v>0.64748625592417042</v>
      </c>
      <c r="C60">
        <f t="shared" si="0"/>
        <v>1.0064748625592417</v>
      </c>
      <c r="D60">
        <f t="shared" si="1"/>
        <v>1.3910905861828522</v>
      </c>
    </row>
    <row r="61" spans="1:4">
      <c r="A61" s="4">
        <v>45627</v>
      </c>
      <c r="B61">
        <v>1.3363014218009477</v>
      </c>
      <c r="C61">
        <f t="shared" si="0"/>
        <v>1.0133630142180095</v>
      </c>
      <c r="D61">
        <f t="shared" si="1"/>
        <v>1.4096797494645528</v>
      </c>
    </row>
    <row r="62" spans="1:4">
      <c r="A62" s="4">
        <v>45658</v>
      </c>
      <c r="B62">
        <v>0.57860473933649281</v>
      </c>
      <c r="C62">
        <f t="shared" si="0"/>
        <v>1.0057860473933649</v>
      </c>
      <c r="D62">
        <f t="shared" si="1"/>
        <v>1.4178362233044213</v>
      </c>
    </row>
    <row r="63" spans="1:4">
      <c r="A63" s="4">
        <v>45689</v>
      </c>
      <c r="B63">
        <v>0.45461800947867292</v>
      </c>
      <c r="C63">
        <f t="shared" si="0"/>
        <v>1.0045461800947868</v>
      </c>
      <c r="D63">
        <f t="shared" si="1"/>
        <v>1.4242819621204754</v>
      </c>
    </row>
    <row r="64" spans="1:4">
      <c r="A64" s="4">
        <v>45717</v>
      </c>
      <c r="B64">
        <v>0.68881516587677716</v>
      </c>
      <c r="C64">
        <f t="shared" si="0"/>
        <v>1.0068881516587678</v>
      </c>
      <c r="D64">
        <f t="shared" si="1"/>
        <v>1.4340926322804086</v>
      </c>
    </row>
    <row r="65" spans="1:4">
      <c r="A65" s="4">
        <v>45748</v>
      </c>
      <c r="B65">
        <v>0.77147298578199042</v>
      </c>
      <c r="C65">
        <f t="shared" si="0"/>
        <v>1.00771472985782</v>
      </c>
      <c r="D65">
        <f t="shared" si="1"/>
        <v>1.4451562695295419</v>
      </c>
    </row>
    <row r="66" spans="1:4">
      <c r="A66" s="4">
        <v>45778</v>
      </c>
      <c r="B66">
        <v>0.35818388625592412</v>
      </c>
      <c r="C66">
        <f t="shared" si="0"/>
        <v>1.0035818388625593</v>
      </c>
      <c r="D66">
        <f t="shared" si="1"/>
        <v>1.4503325864182139</v>
      </c>
    </row>
    <row r="67" spans="1:4">
      <c r="A67" s="4">
        <v>45809</v>
      </c>
      <c r="B67">
        <v>0.33063127962085304</v>
      </c>
      <c r="C67">
        <f t="shared" ref="C67:C130" si="2">1+B67/100</f>
        <v>1.0033063127962085</v>
      </c>
      <c r="D67">
        <f t="shared" si="1"/>
        <v>1.4551278396074467</v>
      </c>
    </row>
    <row r="68" spans="1:4">
      <c r="A68" s="4">
        <v>45839</v>
      </c>
      <c r="B68">
        <v>0.30307867298578195</v>
      </c>
      <c r="C68">
        <f t="shared" si="2"/>
        <v>1.0030307867298578</v>
      </c>
      <c r="D68">
        <f t="shared" ref="D68:D131" si="3">C68*D67</f>
        <v>1.4595380217539757</v>
      </c>
    </row>
    <row r="69" spans="1:4">
      <c r="A69" s="4">
        <v>45870</v>
      </c>
      <c r="B69">
        <v>0.15153933649289097</v>
      </c>
      <c r="C69">
        <f t="shared" si="2"/>
        <v>1.001515393364929</v>
      </c>
      <c r="D69">
        <f t="shared" si="3"/>
        <v>1.4617497959880033</v>
      </c>
    </row>
    <row r="70" spans="1:4">
      <c r="A70" s="4">
        <v>45901</v>
      </c>
      <c r="B70">
        <v>8.2657819905213259E-2</v>
      </c>
      <c r="C70">
        <f t="shared" si="2"/>
        <v>1.0008265781990522</v>
      </c>
      <c r="D70">
        <f t="shared" si="3"/>
        <v>1.4629580465018359</v>
      </c>
    </row>
    <row r="71" spans="1:4">
      <c r="A71" s="4">
        <v>45931</v>
      </c>
      <c r="B71">
        <v>0.11021042654028435</v>
      </c>
      <c r="C71">
        <f t="shared" si="2"/>
        <v>1.0011021042654029</v>
      </c>
      <c r="D71">
        <f t="shared" si="3"/>
        <v>1.4645703788049911</v>
      </c>
    </row>
    <row r="72" spans="1:4">
      <c r="A72" s="4">
        <v>45962</v>
      </c>
      <c r="B72">
        <v>0.64681800947867285</v>
      </c>
      <c r="C72">
        <f t="shared" si="2"/>
        <v>1.0064681800947868</v>
      </c>
      <c r="D72">
        <f t="shared" si="3"/>
        <v>1.4740434837765919</v>
      </c>
    </row>
    <row r="73" spans="1:4">
      <c r="A73" s="4">
        <v>45992</v>
      </c>
      <c r="B73">
        <v>1.3349222748815164</v>
      </c>
      <c r="C73">
        <f t="shared" si="2"/>
        <v>1.0133492227488152</v>
      </c>
      <c r="D73">
        <f t="shared" si="3"/>
        <v>1.4937208185829651</v>
      </c>
    </row>
    <row r="74" spans="1:4">
      <c r="A74" s="4">
        <v>46023</v>
      </c>
      <c r="B74">
        <v>0.5780075829383885</v>
      </c>
      <c r="C74">
        <f t="shared" si="2"/>
        <v>1.0057800758293838</v>
      </c>
      <c r="D74">
        <f t="shared" si="3"/>
        <v>1.5023546381823039</v>
      </c>
    </row>
    <row r="75" spans="1:4">
      <c r="A75" s="4">
        <v>46054</v>
      </c>
      <c r="B75">
        <v>0.45414881516587668</v>
      </c>
      <c r="C75">
        <f t="shared" si="2"/>
        <v>1.0045414881516588</v>
      </c>
      <c r="D75">
        <f t="shared" si="3"/>
        <v>1.5091775639711984</v>
      </c>
    </row>
    <row r="76" spans="1:4">
      <c r="A76" s="4">
        <v>46082</v>
      </c>
      <c r="B76">
        <v>0.68810426540284353</v>
      </c>
      <c r="C76">
        <f t="shared" si="2"/>
        <v>1.0068810426540284</v>
      </c>
      <c r="D76">
        <f t="shared" si="3"/>
        <v>1.519562279161387</v>
      </c>
    </row>
    <row r="77" spans="1:4">
      <c r="A77" s="4">
        <v>46113</v>
      </c>
      <c r="B77">
        <v>0.77067677725118466</v>
      </c>
      <c r="C77">
        <f t="shared" si="2"/>
        <v>1.0077067677725118</v>
      </c>
      <c r="D77">
        <f t="shared" si="3"/>
        <v>1.5312731927627525</v>
      </c>
    </row>
    <row r="78" spans="1:4">
      <c r="A78" s="4">
        <v>46143</v>
      </c>
      <c r="B78">
        <v>0.3578142180094786</v>
      </c>
      <c r="C78">
        <f t="shared" si="2"/>
        <v>1.0035781421800949</v>
      </c>
      <c r="D78">
        <f t="shared" si="3"/>
        <v>1.5367523059630255</v>
      </c>
    </row>
    <row r="79" spans="1:4">
      <c r="A79" s="4">
        <v>46174</v>
      </c>
      <c r="B79">
        <v>0.33029004739336487</v>
      </c>
      <c r="C79">
        <f t="shared" si="2"/>
        <v>1.0033029004739336</v>
      </c>
      <c r="D79">
        <f t="shared" si="3"/>
        <v>1.5418280458827092</v>
      </c>
    </row>
    <row r="80" spans="1:4">
      <c r="A80" s="4">
        <v>46204</v>
      </c>
      <c r="B80">
        <v>0.30276587677725114</v>
      </c>
      <c r="C80">
        <f t="shared" si="2"/>
        <v>1.0030276587677724</v>
      </c>
      <c r="D80">
        <f t="shared" si="3"/>
        <v>1.5464961750842234</v>
      </c>
    </row>
    <row r="81" spans="1:4">
      <c r="A81" s="4">
        <v>46235</v>
      </c>
      <c r="B81">
        <v>0.15138293838862557</v>
      </c>
      <c r="C81">
        <f t="shared" si="2"/>
        <v>1.0015138293838863</v>
      </c>
      <c r="D81">
        <f t="shared" si="3"/>
        <v>1.5488373064361338</v>
      </c>
    </row>
    <row r="82" spans="1:4">
      <c r="A82" s="4">
        <v>46266</v>
      </c>
      <c r="B82">
        <v>8.2572511848341218E-2</v>
      </c>
      <c r="C82">
        <f t="shared" si="2"/>
        <v>1.0008257251184833</v>
      </c>
      <c r="D82">
        <f t="shared" si="3"/>
        <v>1.5501162203045022</v>
      </c>
    </row>
    <row r="83" spans="1:4">
      <c r="A83" s="4">
        <v>46296</v>
      </c>
      <c r="B83">
        <v>0.11009668246445496</v>
      </c>
      <c r="C83">
        <f t="shared" si="2"/>
        <v>1.0011009668246444</v>
      </c>
      <c r="D83">
        <f t="shared" si="3"/>
        <v>1.5518228468374007</v>
      </c>
    </row>
    <row r="84" spans="1:4">
      <c r="A84" s="4">
        <v>46327</v>
      </c>
      <c r="B84">
        <v>0.65048222748815143</v>
      </c>
      <c r="C84">
        <f t="shared" si="2"/>
        <v>1.0065048222748816</v>
      </c>
      <c r="D84">
        <f t="shared" si="3"/>
        <v>1.5619171786581787</v>
      </c>
    </row>
    <row r="85" spans="1:4">
      <c r="A85" s="4">
        <v>46357</v>
      </c>
      <c r="B85">
        <v>1.3424845971563977</v>
      </c>
      <c r="C85">
        <f t="shared" si="2"/>
        <v>1.013424845971564</v>
      </c>
      <c r="D85">
        <f t="shared" si="3"/>
        <v>1.5828856762020045</v>
      </c>
    </row>
    <row r="86" spans="1:4">
      <c r="A86" s="4">
        <v>46388</v>
      </c>
      <c r="B86">
        <v>0.5812819905213269</v>
      </c>
      <c r="C86">
        <f t="shared" si="2"/>
        <v>1.0058128199052132</v>
      </c>
      <c r="D86">
        <f t="shared" si="3"/>
        <v>1.5920867055683083</v>
      </c>
    </row>
    <row r="87" spans="1:4">
      <c r="A87" s="4">
        <v>46419</v>
      </c>
      <c r="B87">
        <v>0.45672156398104258</v>
      </c>
      <c r="C87">
        <f t="shared" si="2"/>
        <v>1.0045672156398104</v>
      </c>
      <c r="D87">
        <f t="shared" si="3"/>
        <v>1.5993581088699143</v>
      </c>
    </row>
    <row r="88" spans="1:4">
      <c r="A88" s="4">
        <v>46447</v>
      </c>
      <c r="B88">
        <v>0.69200236966824635</v>
      </c>
      <c r="C88">
        <f t="shared" si="2"/>
        <v>1.0069200236966824</v>
      </c>
      <c r="D88">
        <f t="shared" si="3"/>
        <v>1.6104257048827753</v>
      </c>
    </row>
    <row r="89" spans="1:4">
      <c r="A89" s="4">
        <v>46478</v>
      </c>
      <c r="B89">
        <v>0.77504265402843586</v>
      </c>
      <c r="C89">
        <f t="shared" si="2"/>
        <v>1.0077504265402843</v>
      </c>
      <c r="D89">
        <f t="shared" si="3"/>
        <v>1.6229071910070549</v>
      </c>
    </row>
    <row r="90" spans="1:4">
      <c r="A90" s="4">
        <v>46508</v>
      </c>
      <c r="B90">
        <v>0.35984123222748809</v>
      </c>
      <c r="C90">
        <f t="shared" si="2"/>
        <v>1.003598412322275</v>
      </c>
      <c r="D90">
        <f t="shared" si="3"/>
        <v>1.6287470802410835</v>
      </c>
    </row>
    <row r="91" spans="1:4">
      <c r="A91" s="4">
        <v>46539</v>
      </c>
      <c r="B91">
        <v>0.3321611374407582</v>
      </c>
      <c r="C91">
        <f t="shared" si="2"/>
        <v>1.0033216113744077</v>
      </c>
      <c r="D91">
        <f t="shared" si="3"/>
        <v>1.6341571450688455</v>
      </c>
    </row>
    <row r="92" spans="1:4">
      <c r="A92" s="4">
        <v>46569</v>
      </c>
      <c r="B92">
        <v>0.30448104265402837</v>
      </c>
      <c r="C92">
        <f t="shared" si="2"/>
        <v>1.0030448104265404</v>
      </c>
      <c r="D92">
        <f t="shared" si="3"/>
        <v>1.6391328437827566</v>
      </c>
    </row>
    <row r="93" spans="1:4">
      <c r="A93" s="4">
        <v>46600</v>
      </c>
      <c r="B93">
        <v>0.15224052132701418</v>
      </c>
      <c r="C93">
        <f t="shared" si="2"/>
        <v>1.0015224052132701</v>
      </c>
      <c r="D93">
        <f t="shared" si="3"/>
        <v>1.6416282681693737</v>
      </c>
    </row>
    <row r="94" spans="1:4">
      <c r="A94" s="4">
        <v>46631</v>
      </c>
      <c r="B94">
        <v>8.3040284360189551E-2</v>
      </c>
      <c r="C94">
        <f t="shared" si="2"/>
        <v>1.0008304028436019</v>
      </c>
      <c r="D94">
        <f t="shared" si="3"/>
        <v>1.6429914809513988</v>
      </c>
    </row>
    <row r="95" spans="1:4">
      <c r="A95" s="4">
        <v>46661</v>
      </c>
      <c r="B95">
        <v>0.11072037914691941</v>
      </c>
      <c r="C95">
        <f t="shared" si="2"/>
        <v>1.0011072037914692</v>
      </c>
      <c r="D95">
        <f t="shared" si="3"/>
        <v>1.6448106073484599</v>
      </c>
    </row>
    <row r="96" spans="1:4">
      <c r="A96" s="4">
        <v>46692</v>
      </c>
      <c r="B96">
        <v>0.65446943127962065</v>
      </c>
      <c r="C96">
        <f t="shared" si="2"/>
        <v>1.0065446943127963</v>
      </c>
      <c r="D96">
        <f t="shared" si="3"/>
        <v>1.6555753899760002</v>
      </c>
    </row>
    <row r="97" spans="1:4">
      <c r="A97" s="4">
        <v>46722</v>
      </c>
      <c r="B97">
        <v>1.3507135071090044</v>
      </c>
      <c r="C97">
        <f t="shared" si="2"/>
        <v>1.01350713507109</v>
      </c>
      <c r="D97">
        <f t="shared" si="3"/>
        <v>1.6779374703887786</v>
      </c>
    </row>
    <row r="98" spans="1:4">
      <c r="A98" s="4">
        <v>46753</v>
      </c>
      <c r="B98">
        <v>0.58484502369668234</v>
      </c>
      <c r="C98">
        <f t="shared" si="2"/>
        <v>1.0058484502369669</v>
      </c>
      <c r="D98">
        <f t="shared" si="3"/>
        <v>1.6877508041850895</v>
      </c>
    </row>
    <row r="99" spans="1:4">
      <c r="A99" s="4">
        <v>46784</v>
      </c>
      <c r="B99">
        <v>0.45952109004739328</v>
      </c>
      <c r="C99">
        <f t="shared" si="2"/>
        <v>1.0045952109004739</v>
      </c>
      <c r="D99">
        <f t="shared" si="3"/>
        <v>1.6955063750777644</v>
      </c>
    </row>
    <row r="100" spans="1:4">
      <c r="A100" s="4">
        <v>46813</v>
      </c>
      <c r="B100">
        <v>0.69624407582938375</v>
      </c>
      <c r="C100">
        <f t="shared" si="2"/>
        <v>1.0069624407582938</v>
      </c>
      <c r="D100">
        <f t="shared" si="3"/>
        <v>1.7073112377695527</v>
      </c>
    </row>
    <row r="101" spans="1:4">
      <c r="A101" s="4">
        <v>46844</v>
      </c>
      <c r="B101">
        <v>0.77979336492890983</v>
      </c>
      <c r="C101">
        <f t="shared" si="2"/>
        <v>1.007797933649289</v>
      </c>
      <c r="D101">
        <f t="shared" si="3"/>
        <v>1.7206247375203652</v>
      </c>
    </row>
    <row r="102" spans="1:4">
      <c r="A102" s="4">
        <v>46874</v>
      </c>
      <c r="B102">
        <v>0.36204691943127953</v>
      </c>
      <c r="C102">
        <f t="shared" si="2"/>
        <v>1.0036204691943127</v>
      </c>
      <c r="D102">
        <f t="shared" si="3"/>
        <v>1.7268542063775301</v>
      </c>
    </row>
    <row r="103" spans="1:4">
      <c r="A103" s="4">
        <v>46905</v>
      </c>
      <c r="B103">
        <v>0.33419715639810421</v>
      </c>
      <c r="C103">
        <f t="shared" si="2"/>
        <v>1.0033419715639811</v>
      </c>
      <c r="D103">
        <f t="shared" si="3"/>
        <v>1.7326253040303849</v>
      </c>
    </row>
    <row r="104" spans="1:4">
      <c r="A104" s="4">
        <v>46935</v>
      </c>
      <c r="B104">
        <v>0.30634739336492883</v>
      </c>
      <c r="C104">
        <f t="shared" si="2"/>
        <v>1.0030634739336493</v>
      </c>
      <c r="D104">
        <f t="shared" si="3"/>
        <v>1.7379331564860632</v>
      </c>
    </row>
    <row r="105" spans="1:4">
      <c r="A105" s="4">
        <v>46966</v>
      </c>
      <c r="B105">
        <v>0.15317369668246442</v>
      </c>
      <c r="C105">
        <f t="shared" si="2"/>
        <v>1.0015317369668246</v>
      </c>
      <c r="D105">
        <f t="shared" si="3"/>
        <v>1.7405952129477231</v>
      </c>
    </row>
    <row r="106" spans="1:4">
      <c r="A106" s="4">
        <v>46997</v>
      </c>
      <c r="B106">
        <v>8.3549289099526053E-2</v>
      </c>
      <c r="C106">
        <f t="shared" si="2"/>
        <v>1.0008354928909953</v>
      </c>
      <c r="D106">
        <f t="shared" si="3"/>
        <v>1.7420494678742413</v>
      </c>
    </row>
    <row r="107" spans="1:4">
      <c r="A107" s="4">
        <v>47027</v>
      </c>
      <c r="B107">
        <v>0.1113990521327014</v>
      </c>
      <c r="C107">
        <f t="shared" si="2"/>
        <v>1.0011139905213271</v>
      </c>
      <c r="D107">
        <f t="shared" si="3"/>
        <v>1.7439900944691362</v>
      </c>
    </row>
    <row r="108" spans="1:4">
      <c r="A108" s="4">
        <v>47058</v>
      </c>
      <c r="B108">
        <v>0.65791090047393341</v>
      </c>
      <c r="C108">
        <f t="shared" si="2"/>
        <v>1.0065791090047393</v>
      </c>
      <c r="D108">
        <f t="shared" si="3"/>
        <v>1.7554639954038342</v>
      </c>
    </row>
    <row r="109" spans="1:4">
      <c r="A109" s="4">
        <v>47088</v>
      </c>
      <c r="B109">
        <v>1.3578161137440754</v>
      </c>
      <c r="C109">
        <f t="shared" si="2"/>
        <v>1.0135781611374408</v>
      </c>
      <c r="D109">
        <f t="shared" si="3"/>
        <v>1.7792999684044031</v>
      </c>
    </row>
    <row r="110" spans="1:4">
      <c r="A110" s="4">
        <v>47119</v>
      </c>
      <c r="B110">
        <v>0.5879203791469193</v>
      </c>
      <c r="C110">
        <f t="shared" si="2"/>
        <v>1.0058792037914692</v>
      </c>
      <c r="D110">
        <f t="shared" si="3"/>
        <v>1.7897608355248074</v>
      </c>
    </row>
    <row r="111" spans="1:4">
      <c r="A111" s="4">
        <v>47150</v>
      </c>
      <c r="B111">
        <v>0.46193744075829374</v>
      </c>
      <c r="C111">
        <f t="shared" si="2"/>
        <v>1.0046193744075829</v>
      </c>
      <c r="D111">
        <f t="shared" si="3"/>
        <v>1.7980284109241247</v>
      </c>
    </row>
    <row r="112" spans="1:4">
      <c r="A112" s="4">
        <v>47178</v>
      </c>
      <c r="B112">
        <v>0.6999052132701421</v>
      </c>
      <c r="C112">
        <f t="shared" si="2"/>
        <v>1.0069990521327015</v>
      </c>
      <c r="D112">
        <f t="shared" si="3"/>
        <v>1.8106129055082609</v>
      </c>
    </row>
    <row r="113" spans="1:4">
      <c r="A113" s="4">
        <v>47209</v>
      </c>
      <c r="B113">
        <v>0.78389383886255903</v>
      </c>
      <c r="C113">
        <f t="shared" si="2"/>
        <v>1.0078389383886255</v>
      </c>
      <c r="D113">
        <f t="shared" si="3"/>
        <v>1.8248061885201903</v>
      </c>
    </row>
    <row r="114" spans="1:4">
      <c r="A114" s="4">
        <v>47239</v>
      </c>
      <c r="B114">
        <v>0.36395071090047387</v>
      </c>
      <c r="C114">
        <f t="shared" si="2"/>
        <v>1.0036395071090047</v>
      </c>
      <c r="D114">
        <f t="shared" si="3"/>
        <v>1.8314475836158652</v>
      </c>
    </row>
    <row r="115" spans="1:4">
      <c r="A115" s="4">
        <v>47270</v>
      </c>
      <c r="B115">
        <v>0.33595450236966817</v>
      </c>
      <c r="C115">
        <f t="shared" si="2"/>
        <v>1.0033595450236967</v>
      </c>
      <c r="D115">
        <f t="shared" si="3"/>
        <v>1.8376004142315634</v>
      </c>
    </row>
    <row r="116" spans="1:4">
      <c r="A116" s="4">
        <v>47300</v>
      </c>
      <c r="B116">
        <v>0.30795829383886247</v>
      </c>
      <c r="C116">
        <f t="shared" si="2"/>
        <v>1.0030795829383887</v>
      </c>
      <c r="D116">
        <f t="shared" si="3"/>
        <v>1.8432594571148069</v>
      </c>
    </row>
    <row r="117" spans="1:4">
      <c r="A117" s="4">
        <v>47331</v>
      </c>
      <c r="B117">
        <v>0.15397914691943124</v>
      </c>
      <c r="C117">
        <f t="shared" si="2"/>
        <v>1.0015397914691944</v>
      </c>
      <c r="D117">
        <f t="shared" si="3"/>
        <v>1.8460976923023842</v>
      </c>
    </row>
    <row r="118" spans="1:4">
      <c r="A118" s="4">
        <v>47362</v>
      </c>
      <c r="B118">
        <v>8.3988625592417043E-2</v>
      </c>
      <c r="C118">
        <f t="shared" si="2"/>
        <v>1.0008398862559242</v>
      </c>
      <c r="D118">
        <f t="shared" si="3"/>
        <v>1.8476482043812423</v>
      </c>
    </row>
    <row r="119" spans="1:4">
      <c r="A119" s="4">
        <v>47392</v>
      </c>
      <c r="B119">
        <v>0.11198483412322273</v>
      </c>
      <c r="C119">
        <f t="shared" si="2"/>
        <v>1.0011198483412322</v>
      </c>
      <c r="D119">
        <f t="shared" si="3"/>
        <v>1.8497172901580994</v>
      </c>
    </row>
    <row r="120" spans="1:4">
      <c r="A120" s="4">
        <v>47423</v>
      </c>
      <c r="B120">
        <v>0.66068412322274861</v>
      </c>
      <c r="C120">
        <f t="shared" si="2"/>
        <v>1.0066068412322275</v>
      </c>
      <c r="D120">
        <f t="shared" si="3"/>
        <v>1.8619380786186801</v>
      </c>
    </row>
    <row r="121" spans="1:4">
      <c r="A121" s="4">
        <v>47453</v>
      </c>
      <c r="B121">
        <v>1.3635395734597153</v>
      </c>
      <c r="C121">
        <f t="shared" si="2"/>
        <v>1.0136353957345972</v>
      </c>
      <c r="D121">
        <f t="shared" si="3"/>
        <v>1.8873263411539614</v>
      </c>
    </row>
    <row r="122" spans="1:4">
      <c r="A122" s="4">
        <v>47484</v>
      </c>
      <c r="B122">
        <v>0.59039857819905206</v>
      </c>
      <c r="C122">
        <f t="shared" si="2"/>
        <v>1.0059039857819905</v>
      </c>
      <c r="D122">
        <f t="shared" si="3"/>
        <v>1.8984690890381104</v>
      </c>
    </row>
    <row r="123" spans="1:4">
      <c r="A123" s="4">
        <v>47515</v>
      </c>
      <c r="B123">
        <v>0.46388459715639807</v>
      </c>
      <c r="C123">
        <f t="shared" si="2"/>
        <v>1.0046388459715641</v>
      </c>
      <c r="D123">
        <f t="shared" si="3"/>
        <v>1.9072757947239338</v>
      </c>
    </row>
    <row r="124" spans="1:4">
      <c r="A124" s="4">
        <v>47543</v>
      </c>
      <c r="B124">
        <v>0.70285545023696683</v>
      </c>
      <c r="C124">
        <f t="shared" si="2"/>
        <v>1.0070285545023696</v>
      </c>
      <c r="D124">
        <f t="shared" si="3"/>
        <v>1.9206811865982014</v>
      </c>
    </row>
    <row r="125" spans="1:4">
      <c r="A125" s="4">
        <v>47574</v>
      </c>
      <c r="B125">
        <v>0.78719810426540271</v>
      </c>
      <c r="C125">
        <f t="shared" si="2"/>
        <v>1.007871981042654</v>
      </c>
      <c r="D125">
        <f t="shared" si="3"/>
        <v>1.9358007524880845</v>
      </c>
    </row>
    <row r="126" spans="1:4">
      <c r="A126" s="4">
        <v>47604</v>
      </c>
      <c r="B126">
        <v>0.36548483412322269</v>
      </c>
      <c r="C126">
        <f t="shared" si="2"/>
        <v>1.0036548483412322</v>
      </c>
      <c r="D126">
        <f t="shared" si="3"/>
        <v>1.9428758106572717</v>
      </c>
    </row>
    <row r="127" spans="1:4">
      <c r="A127" s="4">
        <v>47635</v>
      </c>
      <c r="B127">
        <v>0.33737061611374403</v>
      </c>
      <c r="C127">
        <f t="shared" si="2"/>
        <v>1.0033737061611374</v>
      </c>
      <c r="D127">
        <f t="shared" si="3"/>
        <v>1.949430502750011</v>
      </c>
    </row>
    <row r="128" spans="1:4">
      <c r="A128" s="4">
        <v>47665</v>
      </c>
      <c r="B128">
        <v>0.30925639810426536</v>
      </c>
      <c r="C128">
        <f t="shared" si="2"/>
        <v>1.0030925639810426</v>
      </c>
      <c r="D128">
        <f t="shared" si="3"/>
        <v>1.9554592413063614</v>
      </c>
    </row>
    <row r="129" spans="1:4">
      <c r="A129" s="4">
        <v>47696</v>
      </c>
      <c r="B129">
        <v>0.15462819905213268</v>
      </c>
      <c r="C129">
        <f t="shared" si="2"/>
        <v>1.0015462819905214</v>
      </c>
      <c r="D129">
        <f t="shared" si="3"/>
        <v>1.9584829327143922</v>
      </c>
    </row>
    <row r="130" spans="1:4">
      <c r="A130" s="4">
        <v>47727</v>
      </c>
      <c r="B130">
        <v>8.4342654028436007E-2</v>
      </c>
      <c r="C130">
        <f t="shared" si="2"/>
        <v>1.0008434265402844</v>
      </c>
      <c r="D130">
        <f t="shared" si="3"/>
        <v>1.9601347691985376</v>
      </c>
    </row>
    <row r="131" spans="1:4">
      <c r="A131" s="4">
        <v>47757</v>
      </c>
      <c r="B131">
        <v>0.11245687203791468</v>
      </c>
      <c r="C131">
        <f t="shared" ref="C131:C194" si="4">1+B131/100</f>
        <v>1.0011245687203791</v>
      </c>
      <c r="D131">
        <f t="shared" si="3"/>
        <v>1.9623390754477059</v>
      </c>
    </row>
    <row r="132" spans="1:4">
      <c r="A132" s="4">
        <v>47788</v>
      </c>
      <c r="B132">
        <v>0.66295616113744049</v>
      </c>
      <c r="C132">
        <f t="shared" si="4"/>
        <v>1.0066295616113745</v>
      </c>
      <c r="D132">
        <f t="shared" ref="D132:D195" si="5">C132*D131</f>
        <v>1.9753485232507941</v>
      </c>
    </row>
    <row r="133" spans="1:4">
      <c r="A133" s="4">
        <v>47818</v>
      </c>
      <c r="B133">
        <v>1.3682286729857818</v>
      </c>
      <c r="C133">
        <f t="shared" si="4"/>
        <v>1.0136822867298578</v>
      </c>
      <c r="D133">
        <f t="shared" si="5"/>
        <v>2.0023758081373129</v>
      </c>
    </row>
    <row r="134" spans="1:4">
      <c r="A134" s="4">
        <v>47849</v>
      </c>
      <c r="B134">
        <v>0.59242890995260655</v>
      </c>
      <c r="C134">
        <f t="shared" si="4"/>
        <v>1.0059242890995261</v>
      </c>
      <c r="D134">
        <f t="shared" si="5"/>
        <v>2.0142384613106157</v>
      </c>
    </row>
    <row r="135" spans="1:4">
      <c r="A135" s="4">
        <v>47880</v>
      </c>
      <c r="B135">
        <v>0.46547985781990514</v>
      </c>
      <c r="C135">
        <f t="shared" si="4"/>
        <v>1.0046547985781991</v>
      </c>
      <c r="D135">
        <f t="shared" si="5"/>
        <v>2.0236143356364784</v>
      </c>
    </row>
    <row r="136" spans="1:4">
      <c r="A136" s="4">
        <v>47908</v>
      </c>
      <c r="B136">
        <v>0.70527251184834117</v>
      </c>
      <c r="C136">
        <f t="shared" si="4"/>
        <v>1.0070527251184833</v>
      </c>
      <c r="D136">
        <f t="shared" si="5"/>
        <v>2.0378863312915447</v>
      </c>
    </row>
    <row r="137" spans="1:4">
      <c r="A137" s="4">
        <v>47939</v>
      </c>
      <c r="B137">
        <v>0.78990521327014207</v>
      </c>
      <c r="C137">
        <f t="shared" si="4"/>
        <v>1.0078990521327014</v>
      </c>
      <c r="D137">
        <f t="shared" si="5"/>
        <v>2.0539837016629363</v>
      </c>
    </row>
    <row r="138" spans="1:4">
      <c r="A138" s="4">
        <v>47969</v>
      </c>
      <c r="B138">
        <v>0.36674170616113738</v>
      </c>
      <c r="C138">
        <f t="shared" si="4"/>
        <v>1.0036674170616113</v>
      </c>
      <c r="D138">
        <f t="shared" si="5"/>
        <v>2.0615165165346867</v>
      </c>
    </row>
    <row r="139" spans="1:4">
      <c r="A139" s="4">
        <v>48000</v>
      </c>
      <c r="B139">
        <v>0.33853080568720373</v>
      </c>
      <c r="C139">
        <f t="shared" si="4"/>
        <v>1.003385308056872</v>
      </c>
      <c r="D139">
        <f t="shared" si="5"/>
        <v>2.0684953850074863</v>
      </c>
    </row>
    <row r="140" spans="1:4">
      <c r="A140" s="4">
        <v>48030</v>
      </c>
      <c r="B140">
        <v>0.31031990521327008</v>
      </c>
      <c r="C140">
        <f t="shared" si="4"/>
        <v>1.0031031990521326</v>
      </c>
      <c r="D140">
        <f t="shared" si="5"/>
        <v>2.0749143379255823</v>
      </c>
    </row>
    <row r="141" spans="1:4">
      <c r="A141" s="4">
        <v>48061</v>
      </c>
      <c r="B141">
        <v>0.15515995260663504</v>
      </c>
      <c r="C141">
        <f t="shared" si="4"/>
        <v>1.0015515995260664</v>
      </c>
      <c r="D141">
        <f t="shared" si="5"/>
        <v>2.0781337740289363</v>
      </c>
    </row>
    <row r="142" spans="1:4">
      <c r="A142" s="4">
        <v>48092</v>
      </c>
      <c r="B142">
        <v>8.4632701421800932E-2</v>
      </c>
      <c r="C142">
        <f t="shared" si="4"/>
        <v>1.0008463270142181</v>
      </c>
      <c r="D142">
        <f t="shared" si="5"/>
        <v>2.0798925547810558</v>
      </c>
    </row>
    <row r="143" spans="1:4">
      <c r="A143" s="4">
        <v>48122</v>
      </c>
      <c r="B143">
        <v>0.11315639810426539</v>
      </c>
      <c r="C143">
        <f t="shared" si="4"/>
        <v>1.0011315639810427</v>
      </c>
      <c r="D143">
        <f t="shared" si="5"/>
        <v>2.082246086280485</v>
      </c>
    </row>
    <row r="144" spans="1:4">
      <c r="A144" s="4">
        <v>48153</v>
      </c>
      <c r="B144">
        <v>0.66479383886255905</v>
      </c>
      <c r="C144">
        <f t="shared" si="4"/>
        <v>1.0066479383886255</v>
      </c>
      <c r="D144">
        <f t="shared" si="5"/>
        <v>2.0960887299720343</v>
      </c>
    </row>
    <row r="145" spans="1:4">
      <c r="A145" s="4">
        <v>48183</v>
      </c>
      <c r="B145">
        <v>1.3720213270142179</v>
      </c>
      <c r="C145">
        <f t="shared" si="4"/>
        <v>1.0137202132701422</v>
      </c>
      <c r="D145">
        <f t="shared" si="5"/>
        <v>2.124847514380392</v>
      </c>
    </row>
    <row r="146" spans="1:4">
      <c r="A146" s="4">
        <v>48214</v>
      </c>
      <c r="B146">
        <v>0.59407109004739334</v>
      </c>
      <c r="C146">
        <f t="shared" si="4"/>
        <v>1.0059407109004739</v>
      </c>
      <c r="D146">
        <f t="shared" si="5"/>
        <v>2.1374706191709163</v>
      </c>
    </row>
    <row r="147" spans="1:4">
      <c r="A147" s="4">
        <v>48245</v>
      </c>
      <c r="B147">
        <v>0.46677014218009472</v>
      </c>
      <c r="C147">
        <f t="shared" si="4"/>
        <v>1.0046677014218008</v>
      </c>
      <c r="D147">
        <f t="shared" si="5"/>
        <v>2.1474476938190779</v>
      </c>
    </row>
    <row r="148" spans="1:4">
      <c r="A148" s="4">
        <v>48274</v>
      </c>
      <c r="B148">
        <v>0.7072274881516587</v>
      </c>
      <c r="C148">
        <f t="shared" si="4"/>
        <v>1.0070722748815166</v>
      </c>
      <c r="D148">
        <f t="shared" si="5"/>
        <v>2.1626350342034453</v>
      </c>
    </row>
    <row r="149" spans="1:4">
      <c r="A149" s="4">
        <v>48305</v>
      </c>
      <c r="B149">
        <v>0.79209478672985778</v>
      </c>
      <c r="C149">
        <f t="shared" si="4"/>
        <v>1.0079209478672986</v>
      </c>
      <c r="D149">
        <f t="shared" si="5"/>
        <v>2.1797651535653642</v>
      </c>
    </row>
    <row r="150" spans="1:4">
      <c r="A150" s="4">
        <v>48335</v>
      </c>
      <c r="B150">
        <v>0.36775829383886255</v>
      </c>
      <c r="C150">
        <f t="shared" si="4"/>
        <v>1.0036775829383886</v>
      </c>
      <c r="D150">
        <f t="shared" si="5"/>
        <v>2.1877814207038102</v>
      </c>
    </row>
    <row r="151" spans="1:4">
      <c r="A151" s="4">
        <v>48366</v>
      </c>
      <c r="B151">
        <v>0.33946919431279615</v>
      </c>
      <c r="C151">
        <f t="shared" si="4"/>
        <v>1.003394691943128</v>
      </c>
      <c r="D151">
        <f t="shared" si="5"/>
        <v>2.1952082646659985</v>
      </c>
    </row>
    <row r="152" spans="1:4">
      <c r="A152" s="4">
        <v>48396</v>
      </c>
      <c r="B152">
        <v>0.31118009478672981</v>
      </c>
      <c r="C152">
        <f t="shared" si="4"/>
        <v>1.0031118009478672</v>
      </c>
      <c r="D152">
        <f t="shared" si="5"/>
        <v>2.2020393158247522</v>
      </c>
    </row>
    <row r="153" spans="1:4">
      <c r="A153" s="4">
        <v>48427</v>
      </c>
      <c r="B153">
        <v>0.15559004739336491</v>
      </c>
      <c r="C153">
        <f t="shared" si="4"/>
        <v>1.0015559004739336</v>
      </c>
      <c r="D153">
        <f t="shared" si="5"/>
        <v>2.2054654698398646</v>
      </c>
    </row>
    <row r="154" spans="1:4">
      <c r="A154" s="4">
        <v>48458</v>
      </c>
      <c r="B154">
        <v>8.4867298578199038E-2</v>
      </c>
      <c r="C154">
        <f t="shared" si="4"/>
        <v>1.000848672985782</v>
      </c>
      <c r="D154">
        <f t="shared" si="5"/>
        <v>2.2073371888051927</v>
      </c>
    </row>
    <row r="155" spans="1:4">
      <c r="A155" s="4">
        <v>48488</v>
      </c>
      <c r="B155">
        <v>0.11341207582938387</v>
      </c>
      <c r="C155">
        <f t="shared" si="4"/>
        <v>1.0011341207582938</v>
      </c>
      <c r="D155">
        <f t="shared" si="5"/>
        <v>2.2098405757315707</v>
      </c>
    </row>
    <row r="156" spans="1:4">
      <c r="A156" s="4">
        <v>48519</v>
      </c>
      <c r="B156">
        <v>0.66629594549763016</v>
      </c>
      <c r="C156">
        <f t="shared" si="4"/>
        <v>1.0066629594549763</v>
      </c>
      <c r="D156">
        <f t="shared" si="5"/>
        <v>2.2245646538896318</v>
      </c>
    </row>
    <row r="157" spans="1:4">
      <c r="A157" s="4">
        <v>48549</v>
      </c>
      <c r="B157">
        <v>1.3751214194312793</v>
      </c>
      <c r="C157">
        <f t="shared" si="4"/>
        <v>1.0137512141943128</v>
      </c>
      <c r="D157">
        <f t="shared" si="5"/>
        <v>2.2551551189343653</v>
      </c>
    </row>
    <row r="158" spans="1:4">
      <c r="A158" s="4">
        <v>48580</v>
      </c>
      <c r="B158">
        <v>0.5954133981042653</v>
      </c>
      <c r="C158">
        <f t="shared" si="4"/>
        <v>1.0059541339810427</v>
      </c>
      <c r="D158">
        <f t="shared" si="5"/>
        <v>2.2685826146605348</v>
      </c>
    </row>
    <row r="159" spans="1:4">
      <c r="A159" s="4">
        <v>48611</v>
      </c>
      <c r="B159">
        <v>0.46782481279620847</v>
      </c>
      <c r="C159">
        <f t="shared" si="4"/>
        <v>1.0046782481279621</v>
      </c>
      <c r="D159">
        <f t="shared" si="5"/>
        <v>2.2791956070306978</v>
      </c>
    </row>
    <row r="160" spans="1:4">
      <c r="A160" s="4">
        <v>48639</v>
      </c>
      <c r="B160">
        <v>0.70882547393364925</v>
      </c>
      <c r="C160">
        <f t="shared" si="4"/>
        <v>1.0070882547393365</v>
      </c>
      <c r="D160">
        <f t="shared" si="5"/>
        <v>2.2953511260941082</v>
      </c>
    </row>
    <row r="161" spans="1:4">
      <c r="A161" s="4">
        <v>48670</v>
      </c>
      <c r="B161">
        <v>0.79388453080568711</v>
      </c>
      <c r="C161">
        <f t="shared" si="4"/>
        <v>1.0079388453080569</v>
      </c>
      <c r="D161">
        <f t="shared" si="5"/>
        <v>2.3135735636118433</v>
      </c>
    </row>
    <row r="162" spans="1:4">
      <c r="A162" s="4">
        <v>48700</v>
      </c>
      <c r="B162">
        <v>0.36858924644549756</v>
      </c>
      <c r="C162">
        <f t="shared" si="4"/>
        <v>1.0036858924644549</v>
      </c>
      <c r="D162">
        <f t="shared" si="5"/>
        <v>2.3221011469759225</v>
      </c>
    </row>
    <row r="163" spans="1:4">
      <c r="A163" s="4">
        <v>48731</v>
      </c>
      <c r="B163">
        <v>0.34023622748815158</v>
      </c>
      <c r="C163">
        <f t="shared" si="4"/>
        <v>1.0034023622748816</v>
      </c>
      <c r="D163">
        <f t="shared" si="5"/>
        <v>2.3300017763168528</v>
      </c>
    </row>
    <row r="164" spans="1:4">
      <c r="A164" s="4">
        <v>48761</v>
      </c>
      <c r="B164">
        <v>0.31188320853080564</v>
      </c>
      <c r="C164">
        <f t="shared" si="4"/>
        <v>1.0031188320853082</v>
      </c>
      <c r="D164">
        <f t="shared" si="5"/>
        <v>2.337268660615655</v>
      </c>
    </row>
    <row r="165" spans="1:4">
      <c r="A165" s="4">
        <v>48792</v>
      </c>
      <c r="B165">
        <v>0.15594160426540282</v>
      </c>
      <c r="C165">
        <f t="shared" si="4"/>
        <v>1.001559416042654</v>
      </c>
      <c r="D165">
        <f t="shared" si="5"/>
        <v>2.3409134348610112</v>
      </c>
    </row>
    <row r="166" spans="1:4">
      <c r="A166" s="4">
        <v>48823</v>
      </c>
      <c r="B166">
        <v>8.5059056872037894E-2</v>
      </c>
      <c r="C166">
        <f t="shared" si="4"/>
        <v>1.0008505905687204</v>
      </c>
      <c r="D166">
        <f t="shared" si="5"/>
        <v>2.342904593750895</v>
      </c>
    </row>
    <row r="167" spans="1:4">
      <c r="A167" s="4">
        <v>48853</v>
      </c>
      <c r="B167">
        <v>0.11362790521327013</v>
      </c>
      <c r="C167">
        <f t="shared" si="4"/>
        <v>1.0011362790521328</v>
      </c>
      <c r="D167">
        <f t="shared" si="5"/>
        <v>2.3455667871619199</v>
      </c>
    </row>
    <row r="168" spans="1:4">
      <c r="A168" s="4">
        <v>48884</v>
      </c>
      <c r="B168">
        <v>0.66756394312796186</v>
      </c>
      <c r="C168">
        <f t="shared" si="4"/>
        <v>1.0066756394312797</v>
      </c>
      <c r="D168">
        <f t="shared" si="5"/>
        <v>2.3612249452949978</v>
      </c>
    </row>
    <row r="169" spans="1:4">
      <c r="A169" s="4">
        <v>48914</v>
      </c>
      <c r="B169">
        <v>1.3777383507109002</v>
      </c>
      <c r="C169">
        <f t="shared" si="4"/>
        <v>1.0137773835071091</v>
      </c>
      <c r="D169">
        <f t="shared" si="5"/>
        <v>2.3937564469128798</v>
      </c>
    </row>
    <row r="170" spans="1:4">
      <c r="A170" s="4">
        <v>48945</v>
      </c>
      <c r="B170">
        <v>0.59654650236966811</v>
      </c>
      <c r="C170">
        <f t="shared" si="4"/>
        <v>1.0059654650236967</v>
      </c>
      <c r="D170">
        <f t="shared" si="5"/>
        <v>2.4080363172721868</v>
      </c>
    </row>
    <row r="171" spans="1:4">
      <c r="A171" s="4">
        <v>48976</v>
      </c>
      <c r="B171">
        <v>0.46871510900473923</v>
      </c>
      <c r="C171">
        <f t="shared" si="4"/>
        <v>1.0046871510900475</v>
      </c>
      <c r="D171">
        <f t="shared" si="5"/>
        <v>2.4193231473215628</v>
      </c>
    </row>
    <row r="172" spans="1:4">
      <c r="A172" s="4">
        <v>49004</v>
      </c>
      <c r="B172">
        <v>0.71017440758293826</v>
      </c>
      <c r="C172">
        <f t="shared" si="4"/>
        <v>1.0071017440758294</v>
      </c>
      <c r="D172">
        <f t="shared" si="5"/>
        <v>2.4365045611505707</v>
      </c>
    </row>
    <row r="173" spans="1:4">
      <c r="A173" s="4">
        <v>49035</v>
      </c>
      <c r="B173">
        <v>0.79539533649289085</v>
      </c>
      <c r="C173">
        <f t="shared" si="4"/>
        <v>1.0079539533649289</v>
      </c>
      <c r="D173">
        <f t="shared" si="5"/>
        <v>2.455884404803399</v>
      </c>
    </row>
    <row r="174" spans="1:4">
      <c r="A174" s="4">
        <v>49065</v>
      </c>
      <c r="B174">
        <v>0.36929069194312786</v>
      </c>
      <c r="C174">
        <f t="shared" si="4"/>
        <v>1.0036929069194314</v>
      </c>
      <c r="D174">
        <f t="shared" si="5"/>
        <v>2.4649537573152212</v>
      </c>
    </row>
    <row r="175" spans="1:4">
      <c r="A175" s="4">
        <v>49096</v>
      </c>
      <c r="B175">
        <v>0.34088371563981035</v>
      </c>
      <c r="C175">
        <f t="shared" si="4"/>
        <v>1.0034088371563981</v>
      </c>
      <c r="D175">
        <f t="shared" si="5"/>
        <v>2.4733563832719603</v>
      </c>
    </row>
    <row r="176" spans="1:4">
      <c r="A176" s="4">
        <v>49126</v>
      </c>
      <c r="B176">
        <v>0.31247673933649284</v>
      </c>
      <c r="C176">
        <f t="shared" si="4"/>
        <v>1.003124767393365</v>
      </c>
      <c r="D176">
        <f t="shared" si="5"/>
        <v>2.4810850466505796</v>
      </c>
    </row>
    <row r="177" spans="1:4">
      <c r="A177" s="4">
        <v>49157</v>
      </c>
      <c r="B177">
        <v>0.15623836966824642</v>
      </c>
      <c r="C177">
        <f t="shared" si="4"/>
        <v>1.0015623836966825</v>
      </c>
      <c r="D177">
        <f t="shared" si="5"/>
        <v>2.484961453477549</v>
      </c>
    </row>
    <row r="178" spans="1:4">
      <c r="A178" s="4">
        <v>49188</v>
      </c>
      <c r="B178">
        <v>8.5220928909952587E-2</v>
      </c>
      <c r="C178">
        <f t="shared" si="4"/>
        <v>1.0008522092890995</v>
      </c>
      <c r="D178">
        <f t="shared" si="5"/>
        <v>2.4870791607112568</v>
      </c>
    </row>
    <row r="179" spans="1:4">
      <c r="A179" s="4">
        <v>49218</v>
      </c>
      <c r="B179">
        <v>0.11381074881516587</v>
      </c>
      <c r="C179">
        <f t="shared" si="4"/>
        <v>1.0011381074881516</v>
      </c>
      <c r="D179">
        <f t="shared" si="5"/>
        <v>2.489909724127688</v>
      </c>
    </row>
    <row r="180" spans="1:4">
      <c r="A180" s="4">
        <v>49249</v>
      </c>
      <c r="B180">
        <v>0.66863814928909937</v>
      </c>
      <c r="C180">
        <f t="shared" si="4"/>
        <v>1.006686381492891</v>
      </c>
      <c r="D180">
        <f t="shared" si="5"/>
        <v>2.5065582104260646</v>
      </c>
    </row>
    <row r="181" spans="1:4">
      <c r="A181" s="4">
        <v>49279</v>
      </c>
      <c r="B181">
        <v>1.3799553293838862</v>
      </c>
      <c r="C181">
        <f t="shared" si="4"/>
        <v>1.0137995532938389</v>
      </c>
      <c r="D181">
        <f t="shared" si="5"/>
        <v>2.5411475940349484</v>
      </c>
    </row>
    <row r="182" spans="1:4">
      <c r="A182" s="4">
        <v>49310</v>
      </c>
      <c r="B182">
        <v>0.59750643127962078</v>
      </c>
      <c r="C182">
        <f t="shared" si="4"/>
        <v>1.0059750643127963</v>
      </c>
      <c r="D182">
        <f t="shared" si="5"/>
        <v>2.5563311143376146</v>
      </c>
    </row>
    <row r="183" spans="1:4">
      <c r="A183" s="4">
        <v>49341</v>
      </c>
      <c r="B183">
        <v>0.4694693388625592</v>
      </c>
      <c r="C183">
        <f t="shared" si="4"/>
        <v>1.0046946933886256</v>
      </c>
      <c r="D183">
        <f t="shared" si="5"/>
        <v>2.5683323051192333</v>
      </c>
    </row>
    <row r="184" spans="1:4">
      <c r="A184" s="4">
        <v>49369</v>
      </c>
      <c r="B184">
        <v>0.71131718009478673</v>
      </c>
      <c r="C184">
        <f t="shared" si="4"/>
        <v>1.0071131718009478</v>
      </c>
      <c r="D184">
        <f t="shared" si="5"/>
        <v>2.5866012940474707</v>
      </c>
    </row>
    <row r="185" spans="1:4">
      <c r="A185" s="4">
        <v>49400</v>
      </c>
      <c r="B185">
        <v>0.79667524170616111</v>
      </c>
      <c r="C185">
        <f t="shared" si="4"/>
        <v>1.0079667524170617</v>
      </c>
      <c r="D185">
        <f t="shared" si="5"/>
        <v>2.6072081061587982</v>
      </c>
    </row>
    <row r="186" spans="1:4">
      <c r="A186" s="4">
        <v>49430</v>
      </c>
      <c r="B186">
        <v>0.36988493364928909</v>
      </c>
      <c r="C186">
        <f t="shared" si="4"/>
        <v>1.0036988493364929</v>
      </c>
      <c r="D186">
        <f t="shared" si="5"/>
        <v>2.6168517761323624</v>
      </c>
    </row>
    <row r="187" spans="1:4">
      <c r="A187" s="4">
        <v>49461</v>
      </c>
      <c r="B187">
        <v>0.34143224644549758</v>
      </c>
      <c r="C187">
        <f t="shared" si="4"/>
        <v>1.0034143224644549</v>
      </c>
      <c r="D187">
        <f t="shared" si="5"/>
        <v>2.6257865519377601</v>
      </c>
    </row>
    <row r="188" spans="1:4">
      <c r="A188" s="4">
        <v>49491</v>
      </c>
      <c r="B188">
        <v>0.31297955924170612</v>
      </c>
      <c r="C188">
        <f t="shared" si="4"/>
        <v>1.003129795592417</v>
      </c>
      <c r="D188">
        <f t="shared" si="5"/>
        <v>2.6340047271146427</v>
      </c>
    </row>
    <row r="189" spans="1:4">
      <c r="A189" s="4">
        <v>49522</v>
      </c>
      <c r="B189">
        <v>0.15648977962085306</v>
      </c>
      <c r="C189">
        <f t="shared" si="4"/>
        <v>1.0015648977962086</v>
      </c>
      <c r="D189">
        <f t="shared" si="5"/>
        <v>2.6381266753073076</v>
      </c>
    </row>
    <row r="190" spans="1:4">
      <c r="A190" s="4">
        <v>49553</v>
      </c>
      <c r="B190">
        <v>8.5358061611374395E-2</v>
      </c>
      <c r="C190">
        <f t="shared" si="4"/>
        <v>1.0008535806161138</v>
      </c>
      <c r="D190">
        <f t="shared" si="5"/>
        <v>2.6403785291002029</v>
      </c>
    </row>
    <row r="191" spans="1:4">
      <c r="A191" s="4">
        <v>49583</v>
      </c>
      <c r="B191">
        <v>0.11396756398104264</v>
      </c>
      <c r="C191">
        <f t="shared" si="4"/>
        <v>1.0011396756398103</v>
      </c>
      <c r="D191">
        <f t="shared" si="5"/>
        <v>2.6433877041896965</v>
      </c>
    </row>
    <row r="192" spans="1:4">
      <c r="A192" s="4">
        <v>49614</v>
      </c>
      <c r="B192">
        <v>0.66955943838862542</v>
      </c>
      <c r="C192">
        <f t="shared" si="4"/>
        <v>1.0066955943838862</v>
      </c>
      <c r="D192">
        <f t="shared" si="5"/>
        <v>2.661086756056303</v>
      </c>
    </row>
    <row r="193" spans="1:4">
      <c r="A193" s="4">
        <v>49644</v>
      </c>
      <c r="B193">
        <v>1.381856713270142</v>
      </c>
      <c r="C193">
        <f t="shared" si="4"/>
        <v>1.0138185671327014</v>
      </c>
      <c r="D193">
        <f t="shared" si="5"/>
        <v>2.6978591620408094</v>
      </c>
    </row>
    <row r="194" spans="1:4">
      <c r="A194" s="4">
        <v>49675</v>
      </c>
      <c r="B194">
        <v>0.59832971090047393</v>
      </c>
      <c r="C194">
        <f t="shared" si="4"/>
        <v>1.0059832971090048</v>
      </c>
      <c r="D194">
        <f t="shared" si="5"/>
        <v>2.7140012549655506</v>
      </c>
    </row>
    <row r="195" spans="1:4">
      <c r="A195" s="4">
        <v>49706</v>
      </c>
      <c r="B195">
        <v>0.47011620142180088</v>
      </c>
      <c r="C195">
        <f t="shared" ref="C195:C258" si="6">1+B195/100</f>
        <v>1.0047011620142181</v>
      </c>
      <c r="D195">
        <f t="shared" si="5"/>
        <v>2.726760214571935</v>
      </c>
    </row>
    <row r="196" spans="1:4">
      <c r="A196" s="4">
        <v>49735</v>
      </c>
      <c r="B196">
        <v>0.71229727488151651</v>
      </c>
      <c r="C196">
        <f t="shared" si="6"/>
        <v>1.0071229727488151</v>
      </c>
      <c r="D196">
        <f t="shared" ref="D196:D259" si="7">C196*D195</f>
        <v>2.746182853272884</v>
      </c>
    </row>
    <row r="197" spans="1:4">
      <c r="A197" s="4">
        <v>49766</v>
      </c>
      <c r="B197">
        <v>0.79777294786729847</v>
      </c>
      <c r="C197">
        <f t="shared" si="6"/>
        <v>1.0079777294786729</v>
      </c>
      <c r="D197">
        <f t="shared" si="7"/>
        <v>2.7680911571752653</v>
      </c>
    </row>
    <row r="198" spans="1:4">
      <c r="A198" s="4">
        <v>49796</v>
      </c>
      <c r="B198">
        <v>0.37039458293838856</v>
      </c>
      <c r="C198">
        <f t="shared" si="6"/>
        <v>1.0037039458293839</v>
      </c>
      <c r="D198">
        <f t="shared" si="7"/>
        <v>2.7783440168722393</v>
      </c>
    </row>
    <row r="199" spans="1:4">
      <c r="A199" s="4">
        <v>49827</v>
      </c>
      <c r="B199">
        <v>0.34190269194312795</v>
      </c>
      <c r="C199">
        <f t="shared" si="6"/>
        <v>1.0034190269194312</v>
      </c>
      <c r="D199">
        <f t="shared" si="7"/>
        <v>2.787843249857366</v>
      </c>
    </row>
    <row r="200" spans="1:4">
      <c r="A200" s="4">
        <v>49857</v>
      </c>
      <c r="B200">
        <v>0.31341080094786727</v>
      </c>
      <c r="C200">
        <f t="shared" si="6"/>
        <v>1.0031341080094787</v>
      </c>
      <c r="D200">
        <f t="shared" si="7"/>
        <v>2.7965806517159151</v>
      </c>
    </row>
    <row r="201" spans="1:4">
      <c r="A201" s="4">
        <v>49888</v>
      </c>
      <c r="B201">
        <v>0.15670540047393364</v>
      </c>
      <c r="C201">
        <f t="shared" si="6"/>
        <v>1.0015670540047394</v>
      </c>
      <c r="D201">
        <f t="shared" si="7"/>
        <v>2.8009630446257634</v>
      </c>
    </row>
    <row r="202" spans="1:4">
      <c r="A202" s="4">
        <v>49919</v>
      </c>
      <c r="B202">
        <v>8.5475672985781986E-2</v>
      </c>
      <c r="C202">
        <f t="shared" si="6"/>
        <v>1.0008547567298578</v>
      </c>
      <c r="D202">
        <f t="shared" si="7"/>
        <v>2.8033571866382401</v>
      </c>
    </row>
    <row r="203" spans="1:4">
      <c r="A203" s="4">
        <v>49949</v>
      </c>
      <c r="B203">
        <v>0.11410348815165874</v>
      </c>
      <c r="C203">
        <f t="shared" si="6"/>
        <v>1.0011410348815166</v>
      </c>
      <c r="D203">
        <f t="shared" si="7"/>
        <v>2.8065559149735444</v>
      </c>
    </row>
    <row r="204" spans="1:4">
      <c r="A204" s="4">
        <v>49980</v>
      </c>
      <c r="B204">
        <v>0.67035799289099507</v>
      </c>
      <c r="C204">
        <f t="shared" si="6"/>
        <v>1.0067035799289099</v>
      </c>
      <c r="D204">
        <f t="shared" si="7"/>
        <v>2.8253698868745243</v>
      </c>
    </row>
    <row r="205" spans="1:4">
      <c r="A205" s="4">
        <v>50010</v>
      </c>
      <c r="B205">
        <v>1.3835047938388623</v>
      </c>
      <c r="C205">
        <f t="shared" si="6"/>
        <v>1.0138350479383886</v>
      </c>
      <c r="D205">
        <f t="shared" si="7"/>
        <v>2.864459014703113</v>
      </c>
    </row>
    <row r="206" spans="1:4">
      <c r="A206" s="4">
        <v>50041</v>
      </c>
      <c r="B206">
        <v>0.59904331279620837</v>
      </c>
      <c r="C206">
        <f t="shared" si="6"/>
        <v>1.0059904331279621</v>
      </c>
      <c r="D206">
        <f t="shared" si="7"/>
        <v>2.8816183648784803</v>
      </c>
    </row>
    <row r="207" spans="1:4">
      <c r="A207" s="4">
        <v>50072</v>
      </c>
      <c r="B207">
        <v>0.47067688862559232</v>
      </c>
      <c r="C207">
        <f t="shared" si="6"/>
        <v>1.0047067688862559</v>
      </c>
      <c r="D207">
        <f t="shared" si="7"/>
        <v>2.8951814765403538</v>
      </c>
    </row>
    <row r="208" spans="1:4">
      <c r="A208" s="4">
        <v>50100</v>
      </c>
      <c r="B208">
        <v>0.7131468009478672</v>
      </c>
      <c r="C208">
        <f t="shared" si="6"/>
        <v>1.0071314680094787</v>
      </c>
      <c r="D208">
        <f t="shared" si="7"/>
        <v>2.9158283706219366</v>
      </c>
    </row>
    <row r="209" spans="1:4">
      <c r="A209" s="4">
        <v>50131</v>
      </c>
      <c r="B209">
        <v>0.79872441706161124</v>
      </c>
      <c r="C209">
        <f t="shared" si="6"/>
        <v>1.0079872441706161</v>
      </c>
      <c r="D209">
        <f t="shared" si="7"/>
        <v>2.9391178037777039</v>
      </c>
    </row>
    <row r="210" spans="1:4">
      <c r="A210" s="4">
        <v>50161</v>
      </c>
      <c r="B210">
        <v>0.37083633649289094</v>
      </c>
      <c r="C210">
        <f t="shared" si="6"/>
        <v>1.0037083633649289</v>
      </c>
      <c r="D210">
        <f t="shared" si="7"/>
        <v>2.9500171205664434</v>
      </c>
    </row>
    <row r="211" spans="1:4">
      <c r="A211" s="4">
        <v>50192</v>
      </c>
      <c r="B211">
        <v>0.3423104644549762</v>
      </c>
      <c r="C211">
        <f t="shared" si="6"/>
        <v>1.0034231046445499</v>
      </c>
      <c r="D211">
        <f t="shared" si="7"/>
        <v>2.960115337873356</v>
      </c>
    </row>
    <row r="212" spans="1:4">
      <c r="A212" s="4">
        <v>50222</v>
      </c>
      <c r="B212">
        <v>0.31378459241706153</v>
      </c>
      <c r="C212">
        <f t="shared" si="6"/>
        <v>1.0031378459241707</v>
      </c>
      <c r="D212">
        <f t="shared" si="7"/>
        <v>2.9694037237213768</v>
      </c>
    </row>
    <row r="213" spans="1:4">
      <c r="A213" s="4">
        <v>50253</v>
      </c>
      <c r="B213">
        <v>0.15689229620853076</v>
      </c>
      <c r="C213">
        <f t="shared" si="6"/>
        <v>1.0015689229620852</v>
      </c>
      <c r="D213">
        <f t="shared" si="7"/>
        <v>2.9740624894072245</v>
      </c>
    </row>
    <row r="214" spans="1:4">
      <c r="A214" s="4">
        <v>50284</v>
      </c>
      <c r="B214">
        <v>8.5577616113744051E-2</v>
      </c>
      <c r="C214">
        <f t="shared" si="6"/>
        <v>1.0008557761611374</v>
      </c>
      <c r="D214">
        <f t="shared" si="7"/>
        <v>2.9766076211873922</v>
      </c>
    </row>
    <row r="215" spans="1:4">
      <c r="A215" s="4">
        <v>50314</v>
      </c>
      <c r="B215">
        <v>0.11422240758293838</v>
      </c>
      <c r="C215">
        <f t="shared" si="6"/>
        <v>1.0011422240758294</v>
      </c>
      <c r="D215">
        <f t="shared" si="7"/>
        <v>2.9800075740766099</v>
      </c>
    </row>
    <row r="216" spans="1:4">
      <c r="A216" s="4">
        <v>50345</v>
      </c>
      <c r="B216">
        <v>0.67105664454976288</v>
      </c>
      <c r="C216">
        <f t="shared" si="6"/>
        <v>1.0067105664454976</v>
      </c>
      <c r="D216">
        <f t="shared" si="7"/>
        <v>3.0000051129105372</v>
      </c>
    </row>
    <row r="217" spans="1:4">
      <c r="A217" s="4">
        <v>50375</v>
      </c>
      <c r="B217">
        <v>1.3849466919431277</v>
      </c>
      <c r="C217">
        <f t="shared" si="6"/>
        <v>1.0138494669194313</v>
      </c>
      <c r="D217">
        <f t="shared" si="7"/>
        <v>3.0415535844799164</v>
      </c>
    </row>
    <row r="218" spans="1:4">
      <c r="A218" s="4">
        <v>50406</v>
      </c>
      <c r="B218">
        <v>0.59966763981042648</v>
      </c>
      <c r="C218">
        <f t="shared" si="6"/>
        <v>1.0059966763981043</v>
      </c>
      <c r="D218">
        <f t="shared" si="7"/>
        <v>3.0597927970735368</v>
      </c>
    </row>
    <row r="219" spans="1:4">
      <c r="A219" s="4">
        <v>50437</v>
      </c>
      <c r="B219">
        <v>0.4711674312796208</v>
      </c>
      <c r="C219">
        <f t="shared" si="6"/>
        <v>1.0047116743127962</v>
      </c>
      <c r="D219">
        <f t="shared" si="7"/>
        <v>3.0742095441979869</v>
      </c>
    </row>
    <row r="220" spans="1:4">
      <c r="A220" s="4">
        <v>50465</v>
      </c>
      <c r="B220">
        <v>0.71389004739336481</v>
      </c>
      <c r="C220">
        <f t="shared" si="6"/>
        <v>1.0071389004739337</v>
      </c>
      <c r="D220">
        <f t="shared" si="7"/>
        <v>3.0961560201700333</v>
      </c>
    </row>
    <row r="221" spans="1:4">
      <c r="A221" s="4">
        <v>50496</v>
      </c>
      <c r="B221">
        <v>0.79955685308056856</v>
      </c>
      <c r="C221">
        <f t="shared" si="6"/>
        <v>1.0079955685308057</v>
      </c>
      <c r="D221">
        <f t="shared" si="7"/>
        <v>3.1209115478113696</v>
      </c>
    </row>
    <row r="222" spans="1:4">
      <c r="A222" s="4">
        <v>50526</v>
      </c>
      <c r="B222">
        <v>0.3712228246445497</v>
      </c>
      <c r="C222">
        <f t="shared" si="6"/>
        <v>1.0037122282464455</v>
      </c>
      <c r="D222">
        <f t="shared" si="7"/>
        <v>3.1324970838138126</v>
      </c>
    </row>
    <row r="223" spans="1:4">
      <c r="A223" s="4">
        <v>50557</v>
      </c>
      <c r="B223">
        <v>0.34266722274881511</v>
      </c>
      <c r="C223">
        <f t="shared" si="6"/>
        <v>1.003426672227488</v>
      </c>
      <c r="D223">
        <f t="shared" si="7"/>
        <v>3.1432311245736049</v>
      </c>
    </row>
    <row r="224" spans="1:4">
      <c r="A224" s="4">
        <v>50587</v>
      </c>
      <c r="B224">
        <v>0.31411162085308053</v>
      </c>
      <c r="C224">
        <f t="shared" si="6"/>
        <v>1.0031411162085309</v>
      </c>
      <c r="D224">
        <f t="shared" si="7"/>
        <v>3.1531043788061619</v>
      </c>
    </row>
    <row r="225" spans="1:4">
      <c r="A225" s="4">
        <v>50618</v>
      </c>
      <c r="B225">
        <v>0.15705581042654027</v>
      </c>
      <c r="C225">
        <f t="shared" si="6"/>
        <v>1.0015705581042653</v>
      </c>
      <c r="D225">
        <f t="shared" si="7"/>
        <v>3.1580565124418905</v>
      </c>
    </row>
    <row r="226" spans="1:4">
      <c r="A226" s="4">
        <v>50649</v>
      </c>
      <c r="B226">
        <v>8.5666805687203779E-2</v>
      </c>
      <c r="C226">
        <f t="shared" si="6"/>
        <v>1.000856668056872</v>
      </c>
      <c r="D226">
        <f t="shared" si="7"/>
        <v>3.1607619185778959</v>
      </c>
    </row>
    <row r="227" spans="1:4">
      <c r="A227" s="4">
        <v>50679</v>
      </c>
      <c r="B227">
        <v>0.11432733649289098</v>
      </c>
      <c r="C227">
        <f t="shared" si="6"/>
        <v>1.0011432733649288</v>
      </c>
      <c r="D227">
        <f t="shared" si="7"/>
        <v>3.1643755334922874</v>
      </c>
    </row>
    <row r="228" spans="1:4">
      <c r="A228" s="4">
        <v>50710</v>
      </c>
      <c r="B228">
        <v>0.67167310189573437</v>
      </c>
      <c r="C228">
        <f t="shared" si="6"/>
        <v>1.0067167310189573</v>
      </c>
      <c r="D228">
        <f t="shared" si="7"/>
        <v>3.1856297927937245</v>
      </c>
    </row>
    <row r="229" spans="1:4">
      <c r="A229" s="4">
        <v>50740</v>
      </c>
      <c r="B229">
        <v>1.3862189549763031</v>
      </c>
      <c r="C229">
        <f t="shared" si="6"/>
        <v>1.013862189549763</v>
      </c>
      <c r="D229">
        <f t="shared" si="7"/>
        <v>3.2297895968168033</v>
      </c>
    </row>
    <row r="230" spans="1:4">
      <c r="A230" s="4">
        <v>50771</v>
      </c>
      <c r="B230">
        <v>0.60021851658767766</v>
      </c>
      <c r="C230">
        <f t="shared" si="6"/>
        <v>1.0060021851658767</v>
      </c>
      <c r="D230">
        <f t="shared" si="7"/>
        <v>3.2491753920237199</v>
      </c>
    </row>
    <row r="231" spans="1:4">
      <c r="A231" s="4">
        <v>50802</v>
      </c>
      <c r="B231">
        <v>0.47160026303317526</v>
      </c>
      <c r="C231">
        <f t="shared" si="6"/>
        <v>1.0047160026303317</v>
      </c>
      <c r="D231">
        <f t="shared" si="7"/>
        <v>3.2644985117189127</v>
      </c>
    </row>
    <row r="232" spans="1:4">
      <c r="A232" s="4">
        <v>50830</v>
      </c>
      <c r="B232">
        <v>0.71454585308056862</v>
      </c>
      <c r="C232">
        <f t="shared" si="6"/>
        <v>1.0071454585308057</v>
      </c>
      <c r="D232">
        <f t="shared" si="7"/>
        <v>3.2878248504582772</v>
      </c>
    </row>
    <row r="233" spans="1:4">
      <c r="A233" s="4">
        <v>50861</v>
      </c>
      <c r="B233">
        <v>0.80029135545023689</v>
      </c>
      <c r="C233">
        <f t="shared" si="6"/>
        <v>1.0080029135545023</v>
      </c>
      <c r="D233">
        <f t="shared" si="7"/>
        <v>3.3141370285188394</v>
      </c>
    </row>
    <row r="234" spans="1:4">
      <c r="A234" s="4">
        <v>50891</v>
      </c>
      <c r="B234">
        <v>0.3715638436018957</v>
      </c>
      <c r="C234">
        <f t="shared" si="6"/>
        <v>1.0037156384360189</v>
      </c>
      <c r="D234">
        <f t="shared" si="7"/>
        <v>3.3264511634442373</v>
      </c>
    </row>
    <row r="235" spans="1:4">
      <c r="A235" s="4">
        <v>50922</v>
      </c>
      <c r="B235">
        <v>0.34298200947867291</v>
      </c>
      <c r="C235">
        <f t="shared" si="6"/>
        <v>1.0034298200947867</v>
      </c>
      <c r="D235">
        <f t="shared" si="7"/>
        <v>3.3378602924889447</v>
      </c>
    </row>
    <row r="236" spans="1:4">
      <c r="A236" s="4">
        <v>50952</v>
      </c>
      <c r="B236">
        <v>0.31440017535545017</v>
      </c>
      <c r="C236">
        <f t="shared" si="6"/>
        <v>1.0031440017535544</v>
      </c>
      <c r="D236">
        <f t="shared" si="7"/>
        <v>3.3483545311016498</v>
      </c>
    </row>
    <row r="237" spans="1:4">
      <c r="A237" s="4">
        <v>50983</v>
      </c>
      <c r="B237">
        <v>0.15720008767772509</v>
      </c>
      <c r="C237">
        <f t="shared" si="6"/>
        <v>1.0015720008767772</v>
      </c>
      <c r="D237">
        <f t="shared" si="7"/>
        <v>3.3536181473603026</v>
      </c>
    </row>
    <row r="238" spans="1:4">
      <c r="A238" s="4">
        <v>51014</v>
      </c>
      <c r="B238">
        <v>8.5745502369668228E-2</v>
      </c>
      <c r="C238">
        <f t="shared" si="6"/>
        <v>1.0008574550236966</v>
      </c>
      <c r="D238">
        <f t="shared" si="7"/>
        <v>3.3564937240883168</v>
      </c>
    </row>
    <row r="239" spans="1:4">
      <c r="A239" s="4">
        <v>51044</v>
      </c>
      <c r="B239">
        <v>0.11442060663507109</v>
      </c>
      <c r="C239">
        <f t="shared" si="6"/>
        <v>1.0011442060663507</v>
      </c>
      <c r="D239">
        <f t="shared" si="7"/>
        <v>3.3603342445690867</v>
      </c>
    </row>
    <row r="240" spans="1:4">
      <c r="A240" s="4">
        <v>51075</v>
      </c>
      <c r="B240">
        <v>0.67222106398104253</v>
      </c>
      <c r="C240">
        <f t="shared" si="6"/>
        <v>1.0067222106398104</v>
      </c>
      <c r="D240">
        <f t="shared" si="7"/>
        <v>3.3829231191812483</v>
      </c>
    </row>
    <row r="241" spans="1:4">
      <c r="A241" s="4">
        <v>51105</v>
      </c>
      <c r="B241">
        <v>1.3873498554502368</v>
      </c>
      <c r="C241">
        <f t="shared" si="6"/>
        <v>1.0138734985545024</v>
      </c>
      <c r="D241">
        <f t="shared" si="7"/>
        <v>3.4298560981852022</v>
      </c>
    </row>
    <row r="242" spans="1:4">
      <c r="A242" s="4">
        <v>51136</v>
      </c>
      <c r="B242">
        <v>0.60070818483412314</v>
      </c>
      <c r="C242">
        <f t="shared" si="6"/>
        <v>1.0060070818483413</v>
      </c>
      <c r="D242">
        <f t="shared" si="7"/>
        <v>3.4504595244950331</v>
      </c>
    </row>
    <row r="243" spans="1:4">
      <c r="A243" s="4">
        <v>51167</v>
      </c>
      <c r="B243">
        <v>0.47198500236966817</v>
      </c>
      <c r="C243">
        <f t="shared" si="6"/>
        <v>1.0047198500236967</v>
      </c>
      <c r="D243">
        <f t="shared" si="7"/>
        <v>3.4667451759634855</v>
      </c>
    </row>
    <row r="244" spans="1:4">
      <c r="A244" s="4">
        <v>51196</v>
      </c>
      <c r="B244">
        <v>0.71512879146919428</v>
      </c>
      <c r="C244">
        <f t="shared" si="6"/>
        <v>1.007151287914692</v>
      </c>
      <c r="D244">
        <f t="shared" si="7"/>
        <v>3.4915368688436699</v>
      </c>
    </row>
    <row r="245" spans="1:4">
      <c r="A245" s="4">
        <v>51227</v>
      </c>
      <c r="B245">
        <v>0.80094424644549755</v>
      </c>
      <c r="C245">
        <f t="shared" si="6"/>
        <v>1.008009442464455</v>
      </c>
      <c r="D245">
        <f t="shared" si="7"/>
        <v>3.5195021325071965</v>
      </c>
    </row>
    <row r="246" spans="1:4">
      <c r="A246" s="4">
        <v>51257</v>
      </c>
      <c r="B246">
        <v>0.37186697156398102</v>
      </c>
      <c r="C246">
        <f t="shared" si="6"/>
        <v>1.0037186697156397</v>
      </c>
      <c r="D246">
        <f t="shared" si="7"/>
        <v>3.5325899985014804</v>
      </c>
    </row>
    <row r="247" spans="1:4">
      <c r="A247" s="4">
        <v>51288</v>
      </c>
      <c r="B247">
        <v>0.34326181990521321</v>
      </c>
      <c r="C247">
        <f t="shared" si="6"/>
        <v>1.0034326181990521</v>
      </c>
      <c r="D247">
        <f t="shared" si="7"/>
        <v>3.5447160312201258</v>
      </c>
    </row>
    <row r="248" spans="1:4">
      <c r="A248" s="4">
        <v>51318</v>
      </c>
      <c r="B248">
        <v>0.31465666824644545</v>
      </c>
      <c r="C248">
        <f t="shared" si="6"/>
        <v>1.0031465666824644</v>
      </c>
      <c r="D248">
        <f t="shared" si="7"/>
        <v>3.5558697165827606</v>
      </c>
    </row>
    <row r="249" spans="1:4">
      <c r="A249" s="4">
        <v>51349</v>
      </c>
      <c r="B249">
        <v>0.15732833412322272</v>
      </c>
      <c r="C249">
        <f t="shared" si="6"/>
        <v>1.0015732833412323</v>
      </c>
      <c r="D249">
        <f t="shared" si="7"/>
        <v>3.5614641071714526</v>
      </c>
    </row>
    <row r="250" spans="1:4">
      <c r="A250" s="4">
        <v>51380</v>
      </c>
      <c r="B250">
        <v>8.5815454976303301E-2</v>
      </c>
      <c r="C250">
        <f t="shared" si="6"/>
        <v>1.000858154549763</v>
      </c>
      <c r="D250">
        <f t="shared" si="7"/>
        <v>3.5645203937988392</v>
      </c>
    </row>
    <row r="251" spans="1:4">
      <c r="A251" s="4">
        <v>51410</v>
      </c>
      <c r="B251">
        <v>0.11450403791469192</v>
      </c>
      <c r="C251">
        <f t="shared" si="6"/>
        <v>1.0011450403791469</v>
      </c>
      <c r="D251">
        <f t="shared" si="7"/>
        <v>3.5686019135820315</v>
      </c>
    </row>
    <row r="252" spans="1:4">
      <c r="A252" s="4">
        <v>51441</v>
      </c>
      <c r="B252">
        <v>0.67271122274881501</v>
      </c>
      <c r="C252">
        <f t="shared" si="6"/>
        <v>1.0067271122274881</v>
      </c>
      <c r="D252">
        <f t="shared" si="7"/>
        <v>3.5926082991499269</v>
      </c>
    </row>
    <row r="253" spans="1:4">
      <c r="A253" s="4">
        <v>51471</v>
      </c>
      <c r="B253">
        <v>1.3883614597156395</v>
      </c>
      <c r="C253">
        <f t="shared" si="6"/>
        <v>1.0138836145971564</v>
      </c>
      <c r="D253">
        <f t="shared" si="7"/>
        <v>3.6424866881738698</v>
      </c>
    </row>
    <row r="254" spans="1:4">
      <c r="A254" s="4">
        <v>51502</v>
      </c>
      <c r="B254">
        <v>0.60114619905213262</v>
      </c>
      <c r="C254">
        <f t="shared" si="6"/>
        <v>1.0060114619905214</v>
      </c>
      <c r="D254">
        <f t="shared" si="7"/>
        <v>3.6643833584508072</v>
      </c>
    </row>
    <row r="255" spans="1:4">
      <c r="A255" s="4">
        <v>51533</v>
      </c>
      <c r="B255">
        <v>0.47232915639810419</v>
      </c>
      <c r="C255">
        <f t="shared" si="6"/>
        <v>1.004723291563981</v>
      </c>
      <c r="D255">
        <f t="shared" si="7"/>
        <v>3.6816913094549704</v>
      </c>
    </row>
    <row r="256" spans="1:4">
      <c r="A256" s="4">
        <v>51561</v>
      </c>
      <c r="B256">
        <v>0.71565023696682462</v>
      </c>
      <c r="C256">
        <f t="shared" si="6"/>
        <v>1.0071565023696682</v>
      </c>
      <c r="D256">
        <f t="shared" si="7"/>
        <v>3.7080393420354718</v>
      </c>
    </row>
    <row r="257" spans="1:4">
      <c r="A257" s="4">
        <v>51592</v>
      </c>
      <c r="B257">
        <v>0.8015282654028435</v>
      </c>
      <c r="C257">
        <f t="shared" si="6"/>
        <v>1.0080152826540285</v>
      </c>
      <c r="D257">
        <f t="shared" si="7"/>
        <v>3.7377603254541438</v>
      </c>
    </row>
    <row r="258" spans="1:4">
      <c r="A258" s="4">
        <v>51622</v>
      </c>
      <c r="B258">
        <v>0.37213812322274875</v>
      </c>
      <c r="C258">
        <f t="shared" si="6"/>
        <v>1.0037213812322274</v>
      </c>
      <c r="D258">
        <f t="shared" si="7"/>
        <v>3.7516699565798532</v>
      </c>
    </row>
    <row r="259" spans="1:4">
      <c r="A259" s="4">
        <v>51653</v>
      </c>
      <c r="B259">
        <v>0.34351211374407575</v>
      </c>
      <c r="C259">
        <f t="shared" ref="C259:C301" si="8">1+B259/100</f>
        <v>1.0034351211374408</v>
      </c>
      <c r="D259">
        <f t="shared" si="7"/>
        <v>3.7645573973484026</v>
      </c>
    </row>
    <row r="260" spans="1:4">
      <c r="A260" s="4">
        <v>51683</v>
      </c>
      <c r="B260">
        <v>0.31488610426540276</v>
      </c>
      <c r="C260">
        <f t="shared" si="8"/>
        <v>1.003148861042654</v>
      </c>
      <c r="D260">
        <f t="shared" ref="D260:D301" si="9">C260*D259</f>
        <v>3.776411465479748</v>
      </c>
    </row>
    <row r="261" spans="1:4">
      <c r="A261" s="4">
        <v>51714</v>
      </c>
      <c r="B261">
        <v>0.15744305213270138</v>
      </c>
      <c r="C261">
        <f t="shared" si="8"/>
        <v>1.001574430521327</v>
      </c>
      <c r="D261">
        <f t="shared" si="9"/>
        <v>3.7823571629520885</v>
      </c>
    </row>
    <row r="262" spans="1:4">
      <c r="A262" s="4">
        <v>51745</v>
      </c>
      <c r="B262">
        <v>8.5878028436018938E-2</v>
      </c>
      <c r="C262">
        <f t="shared" si="8"/>
        <v>1.0008587802843603</v>
      </c>
      <c r="D262">
        <f t="shared" si="9"/>
        <v>3.7856053767120406</v>
      </c>
    </row>
    <row r="263" spans="1:4">
      <c r="A263" s="4">
        <v>51775</v>
      </c>
      <c r="B263">
        <v>0.1145791279620853</v>
      </c>
      <c r="C263">
        <f t="shared" si="8"/>
        <v>1.0011457912796209</v>
      </c>
      <c r="D263">
        <f t="shared" si="9"/>
        <v>3.7899428903407633</v>
      </c>
    </row>
    <row r="264" spans="1:4">
      <c r="A264" s="4">
        <v>51806</v>
      </c>
      <c r="B264">
        <v>0.67315237677725104</v>
      </c>
      <c r="C264">
        <f t="shared" si="8"/>
        <v>1.0067315237677725</v>
      </c>
      <c r="D264">
        <f t="shared" si="9"/>
        <v>3.8154549809855927</v>
      </c>
    </row>
    <row r="265" spans="1:4">
      <c r="A265" s="4">
        <v>51836</v>
      </c>
      <c r="B265">
        <v>1.3892719265402842</v>
      </c>
      <c r="C265">
        <f t="shared" si="8"/>
        <v>1.0138927192654028</v>
      </c>
      <c r="D265">
        <f t="shared" si="9"/>
        <v>3.8684620259062084</v>
      </c>
    </row>
    <row r="266" spans="1:4">
      <c r="A266" s="4">
        <v>51867</v>
      </c>
      <c r="B266">
        <v>0.6015404218009478</v>
      </c>
      <c r="C266">
        <f t="shared" si="8"/>
        <v>1.0060154042180094</v>
      </c>
      <c r="D266">
        <f t="shared" si="9"/>
        <v>3.8917323886940536</v>
      </c>
    </row>
    <row r="267" spans="1:4">
      <c r="A267" s="4">
        <v>51898</v>
      </c>
      <c r="B267">
        <v>0.47263890284360183</v>
      </c>
      <c r="C267">
        <f t="shared" si="8"/>
        <v>1.0047263890284359</v>
      </c>
      <c r="D267">
        <f t="shared" si="9"/>
        <v>3.9101262299575859</v>
      </c>
    </row>
    <row r="268" spans="1:4">
      <c r="A268" s="4">
        <v>51926</v>
      </c>
      <c r="B268">
        <v>0.71611954976303316</v>
      </c>
      <c r="C268">
        <f t="shared" si="8"/>
        <v>1.0071611954976303</v>
      </c>
      <c r="D268">
        <f t="shared" si="9"/>
        <v>3.9381274083107241</v>
      </c>
    </row>
    <row r="269" spans="1:4">
      <c r="A269" s="4">
        <v>51957</v>
      </c>
      <c r="B269">
        <v>0.80205389573459707</v>
      </c>
      <c r="C269">
        <f t="shared" si="8"/>
        <v>1.008020538957346</v>
      </c>
      <c r="D269">
        <f t="shared" si="9"/>
        <v>3.9697133126080724</v>
      </c>
    </row>
    <row r="270" spans="1:4">
      <c r="A270" s="4">
        <v>51987</v>
      </c>
      <c r="B270">
        <v>0.37238216587677719</v>
      </c>
      <c r="C270">
        <f t="shared" si="8"/>
        <v>1.0037238216587678</v>
      </c>
      <c r="D270">
        <f t="shared" si="9"/>
        <v>3.9844958170206612</v>
      </c>
    </row>
    <row r="271" spans="1:4">
      <c r="A271" s="4">
        <v>52018</v>
      </c>
      <c r="B271">
        <v>0.34373738388625585</v>
      </c>
      <c r="C271">
        <f t="shared" si="8"/>
        <v>1.0034373738388627</v>
      </c>
      <c r="D271">
        <f t="shared" si="9"/>
        <v>3.9981920187031457</v>
      </c>
    </row>
    <row r="272" spans="1:4">
      <c r="A272" s="4">
        <v>52048</v>
      </c>
      <c r="B272">
        <v>0.31509260189573457</v>
      </c>
      <c r="C272">
        <f t="shared" si="8"/>
        <v>1.0031509260189573</v>
      </c>
      <c r="D272">
        <f t="shared" si="9"/>
        <v>4.0107900259636651</v>
      </c>
    </row>
    <row r="273" spans="1:4">
      <c r="A273" s="4">
        <v>52079</v>
      </c>
      <c r="B273">
        <v>0.15754630094786728</v>
      </c>
      <c r="C273">
        <f t="shared" si="8"/>
        <v>1.0015754630094786</v>
      </c>
      <c r="D273">
        <f t="shared" si="9"/>
        <v>4.017108877288357</v>
      </c>
    </row>
    <row r="274" spans="1:4">
      <c r="A274" s="4">
        <v>52110</v>
      </c>
      <c r="B274">
        <v>8.5934345971563963E-2</v>
      </c>
      <c r="C274">
        <f t="shared" si="8"/>
        <v>1.0008593434597157</v>
      </c>
      <c r="D274">
        <f t="shared" si="9"/>
        <v>4.0205609535290208</v>
      </c>
    </row>
    <row r="275" spans="1:4">
      <c r="A275" s="4">
        <v>52140</v>
      </c>
      <c r="B275">
        <v>0.11464707109004739</v>
      </c>
      <c r="C275">
        <f t="shared" si="8"/>
        <v>1.0011464707109006</v>
      </c>
      <c r="D275">
        <f t="shared" si="9"/>
        <v>4.025170408903632</v>
      </c>
    </row>
    <row r="276" spans="1:4">
      <c r="A276" s="4">
        <v>52171</v>
      </c>
      <c r="B276">
        <v>0.67355154265402828</v>
      </c>
      <c r="C276">
        <f t="shared" si="8"/>
        <v>1.0067355154265403</v>
      </c>
      <c r="D276">
        <f t="shared" si="9"/>
        <v>4.052282006287256</v>
      </c>
    </row>
    <row r="277" spans="1:4">
      <c r="A277" s="4">
        <v>52201</v>
      </c>
      <c r="B277">
        <v>1.3900957369668245</v>
      </c>
      <c r="C277">
        <f t="shared" si="8"/>
        <v>1.0139009573696682</v>
      </c>
      <c r="D277">
        <f t="shared" si="9"/>
        <v>4.1086126057065284</v>
      </c>
    </row>
    <row r="278" spans="1:4">
      <c r="A278" s="4">
        <v>52232</v>
      </c>
      <c r="B278">
        <v>0.6018971232227488</v>
      </c>
      <c r="C278">
        <f t="shared" si="8"/>
        <v>1.0060189712322274</v>
      </c>
      <c r="D278">
        <f t="shared" si="9"/>
        <v>4.1333422267846425</v>
      </c>
    </row>
    <row r="279" spans="1:4">
      <c r="A279" s="4">
        <v>52263</v>
      </c>
      <c r="B279">
        <v>0.47291916824644548</v>
      </c>
      <c r="C279">
        <f t="shared" si="8"/>
        <v>1.0047291916824646</v>
      </c>
      <c r="D279">
        <f t="shared" si="9"/>
        <v>4.152889594464332</v>
      </c>
    </row>
    <row r="280" spans="1:4">
      <c r="A280" s="4">
        <v>52291</v>
      </c>
      <c r="B280">
        <v>0.71654419431279615</v>
      </c>
      <c r="C280">
        <f t="shared" si="8"/>
        <v>1.007165441943128</v>
      </c>
      <c r="D280">
        <f t="shared" si="9"/>
        <v>4.1826468837496869</v>
      </c>
    </row>
    <row r="281" spans="1:4">
      <c r="A281" s="4">
        <v>52322</v>
      </c>
      <c r="B281">
        <v>0.80252949763033166</v>
      </c>
      <c r="C281">
        <f t="shared" si="8"/>
        <v>1.0080252949763033</v>
      </c>
      <c r="D281">
        <f t="shared" si="9"/>
        <v>4.2162138587734939</v>
      </c>
    </row>
    <row r="282" spans="1:4">
      <c r="A282" s="4">
        <v>52352</v>
      </c>
      <c r="B282">
        <v>0.37260298104265399</v>
      </c>
      <c r="C282">
        <f t="shared" si="8"/>
        <v>1.0037260298104265</v>
      </c>
      <c r="D282">
        <f t="shared" si="9"/>
        <v>4.2319235972984171</v>
      </c>
    </row>
    <row r="283" spans="1:4">
      <c r="A283" s="4">
        <v>52383</v>
      </c>
      <c r="B283">
        <v>0.34394121327014215</v>
      </c>
      <c r="C283">
        <f t="shared" si="8"/>
        <v>1.0034394121327015</v>
      </c>
      <c r="D283">
        <f t="shared" si="9"/>
        <v>4.2464789266636309</v>
      </c>
    </row>
    <row r="284" spans="1:4">
      <c r="A284" s="4">
        <v>52413</v>
      </c>
      <c r="B284">
        <v>0.31527944549763026</v>
      </c>
      <c r="C284">
        <f t="shared" si="8"/>
        <v>1.0031527944549763</v>
      </c>
      <c r="D284">
        <f t="shared" si="9"/>
        <v>4.2598672018767898</v>
      </c>
    </row>
    <row r="285" spans="1:4">
      <c r="A285" s="4">
        <v>52444</v>
      </c>
      <c r="B285">
        <v>0.15763972274881513</v>
      </c>
      <c r="C285">
        <f t="shared" si="8"/>
        <v>1.0015763972274883</v>
      </c>
      <c r="D285">
        <f t="shared" si="9"/>
        <v>4.266582444723297</v>
      </c>
    </row>
    <row r="286" spans="1:4">
      <c r="A286" s="4">
        <v>52475</v>
      </c>
      <c r="B286">
        <v>8.5985303317535539E-2</v>
      </c>
      <c r="C286">
        <f t="shared" si="8"/>
        <v>1.0008598530331754</v>
      </c>
      <c r="D286">
        <f t="shared" si="9"/>
        <v>4.270251078579685</v>
      </c>
    </row>
    <row r="287" spans="1:4">
      <c r="A287" s="4">
        <v>52505</v>
      </c>
      <c r="B287">
        <v>0.11470881516587676</v>
      </c>
      <c r="C287">
        <f t="shared" si="8"/>
        <v>1.0011470881516589</v>
      </c>
      <c r="D287">
        <f t="shared" si="9"/>
        <v>4.2751494329965318</v>
      </c>
    </row>
    <row r="288" spans="1:4">
      <c r="A288" s="4">
        <v>52536</v>
      </c>
      <c r="B288">
        <v>0.67391428909952589</v>
      </c>
      <c r="C288">
        <f t="shared" si="8"/>
        <v>1.0067391428909953</v>
      </c>
      <c r="D288">
        <f t="shared" si="9"/>
        <v>4.3039602759058528</v>
      </c>
    </row>
    <row r="289" spans="1:4">
      <c r="A289" s="4">
        <v>52566</v>
      </c>
      <c r="B289">
        <v>1.3908443838862556</v>
      </c>
      <c r="C289">
        <f t="shared" si="8"/>
        <v>1.0139084438388626</v>
      </c>
      <c r="D289">
        <f t="shared" si="9"/>
        <v>4.3638216656879845</v>
      </c>
    </row>
    <row r="290" spans="1:4">
      <c r="A290" s="4">
        <v>52597</v>
      </c>
      <c r="B290">
        <v>0.60222127962085303</v>
      </c>
      <c r="C290">
        <f t="shared" si="8"/>
        <v>1.0060222127962086</v>
      </c>
      <c r="D290">
        <f t="shared" si="9"/>
        <v>4.3901015283634628</v>
      </c>
    </row>
    <row r="291" spans="1:4">
      <c r="A291" s="4">
        <v>52628</v>
      </c>
      <c r="B291">
        <v>0.47317386255924165</v>
      </c>
      <c r="C291">
        <f t="shared" si="8"/>
        <v>1.0047317386255925</v>
      </c>
      <c r="D291">
        <f t="shared" si="9"/>
        <v>4.4108743413354929</v>
      </c>
    </row>
    <row r="292" spans="1:4">
      <c r="A292" s="4">
        <v>52657</v>
      </c>
      <c r="B292">
        <v>0.71693009478672975</v>
      </c>
      <c r="C292">
        <f t="shared" si="8"/>
        <v>1.0071693009478673</v>
      </c>
      <c r="D292">
        <f t="shared" si="9"/>
        <v>4.4424972269317529</v>
      </c>
    </row>
    <row r="293" spans="1:4">
      <c r="A293" s="4">
        <v>52688</v>
      </c>
      <c r="B293">
        <v>0.80296170616113727</v>
      </c>
      <c r="C293">
        <f t="shared" si="8"/>
        <v>1.0080296170616114</v>
      </c>
      <c r="D293">
        <f t="shared" si="9"/>
        <v>4.4781687784612858</v>
      </c>
    </row>
    <row r="294" spans="1:4">
      <c r="A294" s="4">
        <v>52718</v>
      </c>
      <c r="B294">
        <v>0.37280364928909948</v>
      </c>
      <c r="C294">
        <f t="shared" si="8"/>
        <v>1.0037280364928909</v>
      </c>
      <c r="D294">
        <f t="shared" si="9"/>
        <v>4.4948635550887142</v>
      </c>
    </row>
    <row r="295" spans="1:4">
      <c r="A295" s="4">
        <v>52749</v>
      </c>
      <c r="B295">
        <v>0.34412644549763027</v>
      </c>
      <c r="C295">
        <f t="shared" si="8"/>
        <v>1.0034412644549764</v>
      </c>
      <c r="D295">
        <f t="shared" si="9"/>
        <v>4.5103315692708099</v>
      </c>
    </row>
    <row r="296" spans="1:4">
      <c r="A296" s="4">
        <v>52779</v>
      </c>
      <c r="B296">
        <v>0.31544924170616107</v>
      </c>
      <c r="C296">
        <f t="shared" si="8"/>
        <v>1.0031544924170617</v>
      </c>
      <c r="D296">
        <f t="shared" si="9"/>
        <v>4.5245593760045084</v>
      </c>
    </row>
    <row r="297" spans="1:4">
      <c r="A297" s="4">
        <v>52810</v>
      </c>
      <c r="B297">
        <v>0.15772462085308053</v>
      </c>
      <c r="C297">
        <f t="shared" si="8"/>
        <v>1.0015772462085308</v>
      </c>
      <c r="D297">
        <f t="shared" si="9"/>
        <v>4.5316957201255841</v>
      </c>
    </row>
    <row r="298" spans="1:4">
      <c r="A298" s="4">
        <v>52841</v>
      </c>
      <c r="B298">
        <v>8.6031611374407568E-2</v>
      </c>
      <c r="C298">
        <f t="shared" si="8"/>
        <v>1.0008603161137442</v>
      </c>
      <c r="D298">
        <f t="shared" si="9"/>
        <v>4.5355944109761932</v>
      </c>
    </row>
    <row r="299" spans="1:4">
      <c r="A299" s="4">
        <v>52871</v>
      </c>
      <c r="B299">
        <v>0.11476519431279619</v>
      </c>
      <c r="C299">
        <f t="shared" si="8"/>
        <v>1.0011476519431279</v>
      </c>
      <c r="D299">
        <f t="shared" si="9"/>
        <v>4.5407996947151901</v>
      </c>
    </row>
    <row r="300" spans="1:4">
      <c r="A300" s="4">
        <v>52902</v>
      </c>
      <c r="B300">
        <v>0.67424551658767751</v>
      </c>
      <c r="C300">
        <f t="shared" si="8"/>
        <v>1.0067424551658768</v>
      </c>
      <c r="D300">
        <f t="shared" si="9"/>
        <v>4.5714158330740347</v>
      </c>
    </row>
    <row r="301" spans="1:4">
      <c r="A301" s="4">
        <v>52932</v>
      </c>
      <c r="B301">
        <v>1.3915279810426537</v>
      </c>
      <c r="C301">
        <f t="shared" si="8"/>
        <v>1.0139152798104265</v>
      </c>
      <c r="D301">
        <f t="shared" si="9"/>
        <v>4.6350283635210738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B56BA-BDCD-4836-B26D-07259924DB9D}">
  <dimension ref="A1:D123"/>
  <sheetViews>
    <sheetView workbookViewId="0">
      <selection activeCell="D121" sqref="D13:D121"/>
    </sheetView>
  </sheetViews>
  <sheetFormatPr defaultRowHeight="15"/>
  <cols>
    <col min="1" max="1" width="11.140625" customWidth="1"/>
    <col min="2" max="2" width="10.140625" customWidth="1"/>
    <col min="4" max="4" width="13" customWidth="1"/>
  </cols>
  <sheetData>
    <row r="1" spans="1:4">
      <c r="A1" t="s">
        <v>21</v>
      </c>
      <c r="B1" t="s">
        <v>150</v>
      </c>
      <c r="C1" t="s">
        <v>22</v>
      </c>
      <c r="D1" t="s">
        <v>149</v>
      </c>
    </row>
    <row r="2" spans="1:4" hidden="1">
      <c r="A2" s="4">
        <v>43770</v>
      </c>
      <c r="B2" s="5">
        <v>0.51</v>
      </c>
      <c r="C2">
        <f>1+B2/100</f>
        <v>1.0051000000000001</v>
      </c>
      <c r="D2">
        <v>1.0051000000000001</v>
      </c>
    </row>
    <row r="3" spans="1:4" hidden="1">
      <c r="A3" s="4">
        <v>43800</v>
      </c>
      <c r="B3">
        <v>1.1499999999999999</v>
      </c>
      <c r="C3">
        <f>1+B3/100</f>
        <v>1.0115000000000001</v>
      </c>
      <c r="D3">
        <f>C3*D2</f>
        <v>1.0166586500000001</v>
      </c>
    </row>
    <row r="4" spans="1:4" hidden="1">
      <c r="A4" s="4">
        <v>43831</v>
      </c>
      <c r="B4">
        <v>0.21</v>
      </c>
      <c r="C4">
        <f t="shared" ref="C4:C67" si="0">1+B4/100</f>
        <v>1.0021</v>
      </c>
      <c r="D4">
        <f>C4*D3</f>
        <v>1.018793633165</v>
      </c>
    </row>
    <row r="5" spans="1:4" hidden="1">
      <c r="A5" s="4">
        <v>43862</v>
      </c>
      <c r="B5">
        <v>0.25</v>
      </c>
      <c r="C5">
        <f t="shared" si="0"/>
        <v>1.0024999999999999</v>
      </c>
      <c r="D5">
        <f t="shared" ref="D5:D68" si="1">C5*D4</f>
        <v>1.0213406172479125</v>
      </c>
    </row>
    <row r="6" spans="1:4" hidden="1">
      <c r="A6" s="4">
        <v>43891</v>
      </c>
      <c r="B6">
        <v>7.0000000000000007E-2</v>
      </c>
      <c r="C6">
        <f t="shared" si="0"/>
        <v>1.0006999999999999</v>
      </c>
      <c r="D6">
        <f t="shared" si="1"/>
        <v>1.022055555679986</v>
      </c>
    </row>
    <row r="7" spans="1:4" hidden="1">
      <c r="A7" s="4">
        <v>43922</v>
      </c>
      <c r="B7">
        <v>-0.31</v>
      </c>
      <c r="C7">
        <f t="shared" si="0"/>
        <v>0.99690000000000001</v>
      </c>
      <c r="D7">
        <f t="shared" si="1"/>
        <v>1.0188871834573781</v>
      </c>
    </row>
    <row r="8" spans="1:4" hidden="1">
      <c r="A8" s="4">
        <v>43952</v>
      </c>
      <c r="B8">
        <v>-0.38</v>
      </c>
      <c r="C8">
        <f t="shared" si="0"/>
        <v>0.99619999999999997</v>
      </c>
      <c r="D8">
        <f t="shared" si="1"/>
        <v>1.0150154121602399</v>
      </c>
    </row>
    <row r="9" spans="1:4" hidden="1">
      <c r="A9" s="4">
        <v>43983</v>
      </c>
      <c r="B9">
        <v>0.26</v>
      </c>
      <c r="C9">
        <f t="shared" si="0"/>
        <v>1.0025999999999999</v>
      </c>
      <c r="D9">
        <f t="shared" si="1"/>
        <v>1.0176544522318565</v>
      </c>
    </row>
    <row r="10" spans="1:4" hidden="1">
      <c r="A10" s="4">
        <v>44013</v>
      </c>
      <c r="B10">
        <v>0.36</v>
      </c>
      <c r="C10">
        <f t="shared" si="0"/>
        <v>1.0036</v>
      </c>
      <c r="D10">
        <f t="shared" si="1"/>
        <v>1.0213180082598912</v>
      </c>
    </row>
    <row r="11" spans="1:4" hidden="1">
      <c r="A11" s="4">
        <v>44044</v>
      </c>
      <c r="B11">
        <v>0.24</v>
      </c>
      <c r="C11">
        <f t="shared" si="0"/>
        <v>1.0024</v>
      </c>
      <c r="D11">
        <f t="shared" si="1"/>
        <v>1.0237691714797148</v>
      </c>
    </row>
    <row r="12" spans="1:4" hidden="1">
      <c r="A12" s="4">
        <v>44075</v>
      </c>
      <c r="B12">
        <v>0.64</v>
      </c>
      <c r="C12">
        <f t="shared" si="0"/>
        <v>1.0064</v>
      </c>
      <c r="D12">
        <f t="shared" si="1"/>
        <v>1.0303212941771849</v>
      </c>
    </row>
    <row r="13" spans="1:4">
      <c r="A13" s="4">
        <v>44105</v>
      </c>
      <c r="B13">
        <v>0.86</v>
      </c>
      <c r="C13">
        <f t="shared" si="0"/>
        <v>1.0085999999999999</v>
      </c>
      <c r="D13">
        <f t="shared" si="1"/>
        <v>1.0391820573071087</v>
      </c>
    </row>
    <row r="14" spans="1:4" hidden="1">
      <c r="A14" s="4">
        <v>44136</v>
      </c>
      <c r="B14">
        <v>0.89</v>
      </c>
      <c r="C14">
        <f t="shared" si="0"/>
        <v>1.0088999999999999</v>
      </c>
      <c r="D14">
        <f t="shared" si="1"/>
        <v>1.0484307776171418</v>
      </c>
    </row>
    <row r="15" spans="1:4" hidden="1">
      <c r="A15" s="4">
        <v>44166</v>
      </c>
      <c r="B15">
        <v>1.35</v>
      </c>
      <c r="C15">
        <f t="shared" si="0"/>
        <v>1.0135000000000001</v>
      </c>
      <c r="D15">
        <f t="shared" si="1"/>
        <v>1.0625845931149733</v>
      </c>
    </row>
    <row r="16" spans="1:4" hidden="1">
      <c r="A16" s="4">
        <v>44197</v>
      </c>
      <c r="B16">
        <v>0.25</v>
      </c>
      <c r="C16">
        <f t="shared" si="0"/>
        <v>1.0024999999999999</v>
      </c>
      <c r="D16">
        <f t="shared" si="1"/>
        <v>1.0652410545977606</v>
      </c>
    </row>
    <row r="17" spans="1:4" hidden="1">
      <c r="A17" s="4">
        <v>44228</v>
      </c>
      <c r="B17">
        <v>0.86</v>
      </c>
      <c r="C17">
        <f t="shared" si="0"/>
        <v>1.0085999999999999</v>
      </c>
      <c r="D17">
        <f t="shared" si="1"/>
        <v>1.0744021276673013</v>
      </c>
    </row>
    <row r="18" spans="1:4" hidden="1">
      <c r="A18" s="4">
        <v>44256</v>
      </c>
      <c r="B18">
        <v>0.93</v>
      </c>
      <c r="C18">
        <f t="shared" si="0"/>
        <v>1.0093000000000001</v>
      </c>
      <c r="D18">
        <f t="shared" si="1"/>
        <v>1.0843940674546073</v>
      </c>
    </row>
    <row r="19" spans="1:4" hidden="1">
      <c r="A19" s="4">
        <v>44287</v>
      </c>
      <c r="B19">
        <v>0.31</v>
      </c>
      <c r="C19">
        <f t="shared" si="0"/>
        <v>1.0031000000000001</v>
      </c>
      <c r="D19">
        <f t="shared" si="1"/>
        <v>1.0877556890637168</v>
      </c>
    </row>
    <row r="20" spans="1:4" hidden="1">
      <c r="A20" s="4">
        <v>44317</v>
      </c>
      <c r="B20">
        <v>0.83</v>
      </c>
      <c r="C20">
        <f t="shared" si="0"/>
        <v>1.0083</v>
      </c>
      <c r="D20">
        <f t="shared" si="1"/>
        <v>1.0967840612829456</v>
      </c>
    </row>
    <row r="21" spans="1:4" hidden="1">
      <c r="A21" s="4">
        <v>44348</v>
      </c>
      <c r="B21">
        <v>0.53</v>
      </c>
      <c r="C21">
        <f t="shared" si="0"/>
        <v>1.0053000000000001</v>
      </c>
      <c r="D21">
        <f t="shared" si="1"/>
        <v>1.1025970168077452</v>
      </c>
    </row>
    <row r="22" spans="1:4" hidden="1">
      <c r="A22" s="4">
        <v>44378</v>
      </c>
      <c r="B22">
        <v>0.96</v>
      </c>
      <c r="C22">
        <f t="shared" si="0"/>
        <v>1.0096000000000001</v>
      </c>
      <c r="D22">
        <f t="shared" si="1"/>
        <v>1.1131819481690997</v>
      </c>
    </row>
    <row r="23" spans="1:4" hidden="1">
      <c r="A23" s="4">
        <v>44409</v>
      </c>
      <c r="B23">
        <v>0.87</v>
      </c>
      <c r="C23">
        <f t="shared" si="0"/>
        <v>1.0086999999999999</v>
      </c>
      <c r="D23">
        <f t="shared" si="1"/>
        <v>1.1228666311181708</v>
      </c>
    </row>
    <row r="24" spans="1:4" hidden="1">
      <c r="A24" s="4">
        <v>44440</v>
      </c>
      <c r="B24">
        <v>1.1599999999999999</v>
      </c>
      <c r="C24">
        <f t="shared" si="0"/>
        <v>1.0116000000000001</v>
      </c>
      <c r="D24">
        <f t="shared" si="1"/>
        <v>1.1358918840391417</v>
      </c>
    </row>
    <row r="25" spans="1:4">
      <c r="A25" s="4">
        <v>44470</v>
      </c>
      <c r="B25">
        <v>1.25</v>
      </c>
      <c r="C25">
        <f t="shared" si="0"/>
        <v>1.0125</v>
      </c>
      <c r="D25">
        <f t="shared" si="1"/>
        <v>1.1500905325896309</v>
      </c>
    </row>
    <row r="26" spans="1:4" hidden="1">
      <c r="A26" s="4">
        <v>44501</v>
      </c>
      <c r="B26">
        <v>0.95</v>
      </c>
      <c r="C26">
        <f t="shared" si="0"/>
        <v>1.0095000000000001</v>
      </c>
      <c r="D26">
        <f t="shared" si="1"/>
        <v>1.1610163926492325</v>
      </c>
    </row>
    <row r="27" spans="1:4" hidden="1">
      <c r="A27" s="4">
        <v>44531</v>
      </c>
      <c r="B27">
        <v>0.73</v>
      </c>
      <c r="C27">
        <f t="shared" si="0"/>
        <v>1.0073000000000001</v>
      </c>
      <c r="D27">
        <f t="shared" si="1"/>
        <v>1.169491812315572</v>
      </c>
    </row>
    <row r="28" spans="1:4" hidden="1">
      <c r="A28" s="4">
        <v>44562</v>
      </c>
      <c r="B28">
        <v>0.54</v>
      </c>
      <c r="C28">
        <f t="shared" si="0"/>
        <v>1.0054000000000001</v>
      </c>
      <c r="D28">
        <f t="shared" si="1"/>
        <v>1.1758070681020762</v>
      </c>
    </row>
    <row r="29" spans="1:4" hidden="1">
      <c r="A29" s="4">
        <v>44593</v>
      </c>
      <c r="B29">
        <v>1.01</v>
      </c>
      <c r="C29">
        <f t="shared" si="0"/>
        <v>1.0101</v>
      </c>
      <c r="D29">
        <f t="shared" si="1"/>
        <v>1.1876827194899071</v>
      </c>
    </row>
    <row r="30" spans="1:4" hidden="1">
      <c r="A30" s="4">
        <v>44621</v>
      </c>
      <c r="B30">
        <v>1.62</v>
      </c>
      <c r="C30">
        <f t="shared" si="0"/>
        <v>1.0162</v>
      </c>
      <c r="D30">
        <f t="shared" si="1"/>
        <v>1.2069231795456437</v>
      </c>
    </row>
    <row r="31" spans="1:4" hidden="1">
      <c r="A31" s="4">
        <v>44652</v>
      </c>
      <c r="B31">
        <v>1.06</v>
      </c>
      <c r="C31">
        <f t="shared" si="0"/>
        <v>1.0105999999999999</v>
      </c>
      <c r="D31">
        <f t="shared" si="1"/>
        <v>1.2197165652488273</v>
      </c>
    </row>
    <row r="32" spans="1:4" hidden="1">
      <c r="A32" s="4">
        <v>44682</v>
      </c>
      <c r="B32">
        <v>0.47</v>
      </c>
      <c r="C32">
        <f t="shared" si="0"/>
        <v>1.0046999999999999</v>
      </c>
      <c r="D32">
        <f t="shared" si="1"/>
        <v>1.2254492331054967</v>
      </c>
    </row>
    <row r="33" spans="1:4" hidden="1">
      <c r="A33" s="4">
        <v>44713</v>
      </c>
      <c r="B33">
        <v>0.67</v>
      </c>
      <c r="C33">
        <f t="shared" si="0"/>
        <v>1.0066999999999999</v>
      </c>
      <c r="D33">
        <f t="shared" si="1"/>
        <v>1.2336597429673035</v>
      </c>
    </row>
    <row r="34" spans="1:4" hidden="1">
      <c r="A34" s="4">
        <v>44743</v>
      </c>
      <c r="B34">
        <v>-0.68</v>
      </c>
      <c r="C34">
        <f t="shared" si="0"/>
        <v>0.99319999999999997</v>
      </c>
      <c r="D34">
        <f t="shared" si="1"/>
        <v>1.2252708567151258</v>
      </c>
    </row>
    <row r="35" spans="1:4" hidden="1">
      <c r="A35" s="4">
        <v>44774</v>
      </c>
      <c r="B35">
        <v>-0.36</v>
      </c>
      <c r="C35">
        <f t="shared" si="0"/>
        <v>0.99639999999999995</v>
      </c>
      <c r="D35">
        <f t="shared" si="1"/>
        <v>1.2208598816309513</v>
      </c>
    </row>
    <row r="36" spans="1:4" hidden="1">
      <c r="A36" s="4">
        <v>44805</v>
      </c>
      <c r="B36">
        <v>-0.28999999999999998</v>
      </c>
      <c r="C36">
        <f t="shared" si="0"/>
        <v>0.99709999999999999</v>
      </c>
      <c r="D36">
        <f t="shared" si="1"/>
        <v>1.2173193879742215</v>
      </c>
    </row>
    <row r="37" spans="1:4">
      <c r="A37" s="4">
        <v>44835</v>
      </c>
      <c r="B37">
        <v>0.33</v>
      </c>
      <c r="C37">
        <f t="shared" si="0"/>
        <v>1.0033000000000001</v>
      </c>
      <c r="D37">
        <f t="shared" si="1"/>
        <v>1.2213365419545366</v>
      </c>
    </row>
    <row r="38" spans="1:4" hidden="1">
      <c r="A38" s="4">
        <v>44866</v>
      </c>
      <c r="B38">
        <v>0.94638500140897963</v>
      </c>
      <c r="C38">
        <f t="shared" si="0"/>
        <v>1.0094638500140898</v>
      </c>
      <c r="D38">
        <f t="shared" si="1"/>
        <v>1.2328950878043214</v>
      </c>
    </row>
    <row r="39" spans="1:4" hidden="1">
      <c r="A39" s="4">
        <v>44896</v>
      </c>
      <c r="B39">
        <v>1.9531775560993834</v>
      </c>
      <c r="C39">
        <f t="shared" si="0"/>
        <v>1.0195317755609938</v>
      </c>
      <c r="D39">
        <f t="shared" si="1"/>
        <v>1.2569757179495673</v>
      </c>
    </row>
    <row r="40" spans="1:4" hidden="1">
      <c r="A40" s="4">
        <v>44927</v>
      </c>
      <c r="B40">
        <v>0.84570574593993919</v>
      </c>
      <c r="C40">
        <f t="shared" si="0"/>
        <v>1.0084570574593994</v>
      </c>
      <c r="D40">
        <f t="shared" si="1"/>
        <v>1.2676060338213366</v>
      </c>
    </row>
    <row r="41" spans="1:4" hidden="1">
      <c r="A41" s="4">
        <v>44958</v>
      </c>
      <c r="B41">
        <v>0.66448308609566664</v>
      </c>
      <c r="C41">
        <f t="shared" si="0"/>
        <v>1.0066448308609566</v>
      </c>
      <c r="D41">
        <f t="shared" si="1"/>
        <v>1.2760290615144074</v>
      </c>
    </row>
    <row r="42" spans="1:4" hidden="1">
      <c r="A42" s="4">
        <v>44986</v>
      </c>
      <c r="B42">
        <v>1.006792554690404</v>
      </c>
      <c r="C42">
        <f t="shared" si="0"/>
        <v>1.0100679255469041</v>
      </c>
      <c r="D42">
        <f t="shared" si="1"/>
        <v>1.2888760271014204</v>
      </c>
    </row>
    <row r="43" spans="1:4" hidden="1">
      <c r="A43" s="4">
        <v>45017</v>
      </c>
      <c r="B43">
        <v>1.1276076612532524</v>
      </c>
      <c r="C43">
        <f t="shared" si="0"/>
        <v>1.0112760766125326</v>
      </c>
      <c r="D43">
        <f t="shared" si="1"/>
        <v>1.3034094919270727</v>
      </c>
    </row>
    <row r="44" spans="1:4" hidden="1">
      <c r="A44" s="4">
        <v>45047</v>
      </c>
      <c r="B44">
        <v>0.41494999999999999</v>
      </c>
      <c r="C44">
        <f t="shared" si="0"/>
        <v>1.0041495</v>
      </c>
      <c r="D44">
        <f t="shared" si="1"/>
        <v>1.3088179896138241</v>
      </c>
    </row>
    <row r="45" spans="1:4" hidden="1">
      <c r="A45" s="4">
        <v>45078</v>
      </c>
      <c r="B45">
        <v>0.38303300000000001</v>
      </c>
      <c r="C45">
        <f t="shared" si="0"/>
        <v>1.00383033</v>
      </c>
      <c r="D45">
        <f t="shared" si="1"/>
        <v>1.3138311944239816</v>
      </c>
    </row>
    <row r="46" spans="1:4" hidden="1">
      <c r="A46" s="4">
        <v>45108</v>
      </c>
      <c r="B46">
        <v>0.35111999999999999</v>
      </c>
      <c r="C46">
        <f t="shared" si="0"/>
        <v>1.0035111999999999</v>
      </c>
      <c r="D46">
        <f t="shared" si="1"/>
        <v>1.318444318513843</v>
      </c>
    </row>
    <row r="47" spans="1:4" hidden="1">
      <c r="A47" s="4">
        <v>45139</v>
      </c>
      <c r="B47">
        <v>0.17555687203791467</v>
      </c>
      <c r="C47">
        <f t="shared" si="0"/>
        <v>1.0017555687203792</v>
      </c>
      <c r="D47">
        <f t="shared" si="1"/>
        <v>1.3207589381189875</v>
      </c>
    </row>
    <row r="48" spans="1:4" hidden="1">
      <c r="A48" s="4">
        <v>45170</v>
      </c>
      <c r="B48">
        <v>9.5758293838862543E-2</v>
      </c>
      <c r="C48">
        <f t="shared" si="0"/>
        <v>1.0009575829383885</v>
      </c>
      <c r="D48">
        <f t="shared" si="1"/>
        <v>1.3220236743438545</v>
      </c>
    </row>
    <row r="49" spans="1:4">
      <c r="A49" s="4">
        <v>45200</v>
      </c>
      <c r="B49">
        <v>0.12767772511848341</v>
      </c>
      <c r="C49">
        <f t="shared" si="0"/>
        <v>1.0012767772511848</v>
      </c>
      <c r="D49">
        <f t="shared" si="1"/>
        <v>1.3237116040967845</v>
      </c>
    </row>
    <row r="50" spans="1:4" hidden="1">
      <c r="A50" s="4">
        <v>45231</v>
      </c>
      <c r="B50">
        <v>0.66754478672985762</v>
      </c>
      <c r="C50">
        <f t="shared" si="0"/>
        <v>1.0066754478672986</v>
      </c>
      <c r="D50">
        <f t="shared" si="1"/>
        <v>1.3325479719012707</v>
      </c>
    </row>
    <row r="51" spans="1:4" hidden="1">
      <c r="A51" s="4">
        <v>45261</v>
      </c>
      <c r="B51">
        <v>1.3776988151658764</v>
      </c>
      <c r="C51">
        <f t="shared" si="0"/>
        <v>1.0137769881516587</v>
      </c>
      <c r="D51">
        <f t="shared" si="1"/>
        <v>1.3509064695216715</v>
      </c>
    </row>
    <row r="52" spans="1:4" hidden="1">
      <c r="A52" s="4">
        <v>45292</v>
      </c>
      <c r="B52">
        <v>0.59652938388625576</v>
      </c>
      <c r="C52">
        <f t="shared" si="0"/>
        <v>1.0059652938388626</v>
      </c>
      <c r="D52">
        <f t="shared" si="1"/>
        <v>1.3589650235611888</v>
      </c>
    </row>
    <row r="53" spans="1:4" hidden="1">
      <c r="A53" s="4">
        <v>45323</v>
      </c>
      <c r="B53">
        <v>0.46870165876777242</v>
      </c>
      <c r="C53">
        <f t="shared" si="0"/>
        <v>1.0046870165876778</v>
      </c>
      <c r="D53">
        <f t="shared" si="1"/>
        <v>1.365334515168694</v>
      </c>
    </row>
    <row r="54" spans="1:4" hidden="1">
      <c r="A54" s="4">
        <v>45352</v>
      </c>
      <c r="B54">
        <v>0.71015402843601882</v>
      </c>
      <c r="C54">
        <f t="shared" si="0"/>
        <v>1.0071015402843602</v>
      </c>
      <c r="D54">
        <f t="shared" si="1"/>
        <v>1.3750304932297919</v>
      </c>
    </row>
    <row r="55" spans="1:4" hidden="1">
      <c r="A55" s="4">
        <v>45383</v>
      </c>
      <c r="B55">
        <v>0.79537251184834112</v>
      </c>
      <c r="C55">
        <f t="shared" si="0"/>
        <v>1.0079537251184834</v>
      </c>
      <c r="D55">
        <f t="shared" si="1"/>
        <v>1.3859671078024742</v>
      </c>
    </row>
    <row r="56" spans="1:4" hidden="1">
      <c r="A56" s="4">
        <v>45413</v>
      </c>
      <c r="B56">
        <v>0.3692800947867298</v>
      </c>
      <c r="C56">
        <f t="shared" si="0"/>
        <v>1.0036928009478674</v>
      </c>
      <c r="D56">
        <f t="shared" si="1"/>
        <v>1.3910852084518803</v>
      </c>
    </row>
    <row r="57" spans="1:4" hidden="1">
      <c r="A57" s="4">
        <v>45444</v>
      </c>
      <c r="B57">
        <v>0.34087393364928903</v>
      </c>
      <c r="C57">
        <f t="shared" si="0"/>
        <v>1.003408739336493</v>
      </c>
      <c r="D57">
        <f t="shared" si="1"/>
        <v>1.3958270553223437</v>
      </c>
    </row>
    <row r="58" spans="1:4" hidden="1">
      <c r="A58" s="4">
        <v>45474</v>
      </c>
      <c r="B58">
        <v>0.31246777251184826</v>
      </c>
      <c r="C58">
        <f t="shared" si="0"/>
        <v>1.0031246777251184</v>
      </c>
      <c r="D58">
        <f t="shared" si="1"/>
        <v>1.400188565030227</v>
      </c>
    </row>
    <row r="59" spans="1:4" hidden="1">
      <c r="A59" s="4">
        <v>45505</v>
      </c>
      <c r="B59">
        <v>0.15623388625592413</v>
      </c>
      <c r="C59">
        <f t="shared" si="0"/>
        <v>1.0015623388625592</v>
      </c>
      <c r="D59">
        <f t="shared" si="1"/>
        <v>1.4023761340402847</v>
      </c>
    </row>
    <row r="60" spans="1:4" hidden="1">
      <c r="A60" s="4">
        <v>45536</v>
      </c>
      <c r="B60">
        <v>8.5218483412322257E-2</v>
      </c>
      <c r="C60">
        <f t="shared" si="0"/>
        <v>1.0008521848341232</v>
      </c>
      <c r="D60">
        <f t="shared" si="1"/>
        <v>1.4035712177134501</v>
      </c>
    </row>
    <row r="61" spans="1:4">
      <c r="A61" s="4">
        <v>45566</v>
      </c>
      <c r="B61">
        <v>0.11362464454976301</v>
      </c>
      <c r="C61">
        <f t="shared" si="0"/>
        <v>1.0011362464454976</v>
      </c>
      <c r="D61">
        <f t="shared" si="1"/>
        <v>1.4051660205205796</v>
      </c>
    </row>
    <row r="62" spans="1:4" hidden="1">
      <c r="A62" s="4">
        <v>45597</v>
      </c>
      <c r="B62">
        <v>0.64748625592417042</v>
      </c>
      <c r="C62">
        <f t="shared" si="0"/>
        <v>1.0064748625592417</v>
      </c>
      <c r="D62">
        <f t="shared" si="1"/>
        <v>1.414264277376367</v>
      </c>
    </row>
    <row r="63" spans="1:4" hidden="1">
      <c r="A63" s="4">
        <v>45627</v>
      </c>
      <c r="B63">
        <v>1.3363014218009477</v>
      </c>
      <c r="C63">
        <f t="shared" si="0"/>
        <v>1.0133630142180095</v>
      </c>
      <c r="D63">
        <f t="shared" si="1"/>
        <v>1.4331631110229701</v>
      </c>
    </row>
    <row r="64" spans="1:4" hidden="1">
      <c r="A64" s="4">
        <v>45658</v>
      </c>
      <c r="B64">
        <v>0.57860473933649281</v>
      </c>
      <c r="C64">
        <f t="shared" si="0"/>
        <v>1.0057860473933649</v>
      </c>
      <c r="D64">
        <f t="shared" si="1"/>
        <v>1.4414554607057712</v>
      </c>
    </row>
    <row r="65" spans="1:4" hidden="1">
      <c r="A65" s="4">
        <v>45689</v>
      </c>
      <c r="B65">
        <v>0.45461800947867292</v>
      </c>
      <c r="C65">
        <f t="shared" si="0"/>
        <v>1.0045461800947868</v>
      </c>
      <c r="D65">
        <f t="shared" si="1"/>
        <v>1.4480085768287536</v>
      </c>
    </row>
    <row r="66" spans="1:4" hidden="1">
      <c r="A66" s="4">
        <v>45717</v>
      </c>
      <c r="B66">
        <v>0.68881516587677716</v>
      </c>
      <c r="C66">
        <f t="shared" si="0"/>
        <v>1.0068881516587678</v>
      </c>
      <c r="D66">
        <f t="shared" si="1"/>
        <v>1.4579826795091466</v>
      </c>
    </row>
    <row r="67" spans="1:4" hidden="1">
      <c r="A67" s="4">
        <v>45748</v>
      </c>
      <c r="B67">
        <v>0.77147298578199042</v>
      </c>
      <c r="C67">
        <f t="shared" si="0"/>
        <v>1.00771472985782</v>
      </c>
      <c r="D67">
        <f t="shared" si="1"/>
        <v>1.4692306220189402</v>
      </c>
    </row>
    <row r="68" spans="1:4" hidden="1">
      <c r="A68" s="4">
        <v>45778</v>
      </c>
      <c r="B68">
        <v>0.35818388625592412</v>
      </c>
      <c r="C68">
        <f t="shared" ref="C68:C123" si="2">1+B68/100</f>
        <v>1.0035818388625593</v>
      </c>
      <c r="D68">
        <f t="shared" si="1"/>
        <v>1.4744931693589498</v>
      </c>
    </row>
    <row r="69" spans="1:4" hidden="1">
      <c r="A69" s="4">
        <v>45809</v>
      </c>
      <c r="B69">
        <v>0.33063127962085304</v>
      </c>
      <c r="C69">
        <f t="shared" si="2"/>
        <v>1.0033063127962085</v>
      </c>
      <c r="D69">
        <f t="shared" ref="D69:D123" si="3">C69*D68</f>
        <v>1.4793683049927233</v>
      </c>
    </row>
    <row r="70" spans="1:4" hidden="1">
      <c r="A70" s="4">
        <v>45839</v>
      </c>
      <c r="B70">
        <v>0.30307867298578195</v>
      </c>
      <c r="C70">
        <f t="shared" si="2"/>
        <v>1.0030307867298578</v>
      </c>
      <c r="D70">
        <f t="shared" si="3"/>
        <v>1.4838519548200675</v>
      </c>
    </row>
    <row r="71" spans="1:4" hidden="1">
      <c r="A71" s="4">
        <v>45870</v>
      </c>
      <c r="B71">
        <v>0.15153933649289097</v>
      </c>
      <c r="C71">
        <f t="shared" si="2"/>
        <v>1.001515393364929</v>
      </c>
      <c r="D71">
        <f t="shared" si="3"/>
        <v>1.4861005742269389</v>
      </c>
    </row>
    <row r="72" spans="1:4" hidden="1">
      <c r="A72" s="4">
        <v>45901</v>
      </c>
      <c r="B72">
        <v>8.2657819905213259E-2</v>
      </c>
      <c r="C72">
        <f t="shared" si="2"/>
        <v>1.0008265781990522</v>
      </c>
      <c r="D72">
        <f t="shared" si="3"/>
        <v>1.4873289525631939</v>
      </c>
    </row>
    <row r="73" spans="1:4">
      <c r="A73" s="4">
        <v>45931</v>
      </c>
      <c r="B73">
        <v>0.11021042654028435</v>
      </c>
      <c r="C73">
        <f t="shared" si="2"/>
        <v>1.0011021042654029</v>
      </c>
      <c r="D73">
        <f t="shared" si="3"/>
        <v>1.4889681441458711</v>
      </c>
    </row>
    <row r="74" spans="1:4" hidden="1">
      <c r="A74" s="4">
        <v>45962</v>
      </c>
      <c r="B74">
        <v>0.64681800947867285</v>
      </c>
      <c r="C74">
        <f t="shared" si="2"/>
        <v>1.0064681800947868</v>
      </c>
      <c r="D74">
        <f t="shared" si="3"/>
        <v>1.498599058257607</v>
      </c>
    </row>
    <row r="75" spans="1:4" hidden="1">
      <c r="A75" s="4">
        <v>45992</v>
      </c>
      <c r="B75">
        <v>1.3349222748815164</v>
      </c>
      <c r="C75">
        <f t="shared" si="2"/>
        <v>1.0133492227488152</v>
      </c>
      <c r="D75">
        <f t="shared" si="3"/>
        <v>1.5186041908974526</v>
      </c>
    </row>
    <row r="76" spans="1:4" hidden="1">
      <c r="A76" s="4">
        <v>46023</v>
      </c>
      <c r="B76">
        <v>0.5780075829383885</v>
      </c>
      <c r="C76">
        <f t="shared" si="2"/>
        <v>1.0057800758293838</v>
      </c>
      <c r="D76">
        <f t="shared" si="3"/>
        <v>1.5273818382756599</v>
      </c>
    </row>
    <row r="77" spans="1:4" hidden="1">
      <c r="A77" s="4">
        <v>46054</v>
      </c>
      <c r="B77">
        <v>0.45414881516587668</v>
      </c>
      <c r="C77">
        <f t="shared" si="2"/>
        <v>1.0045414881516588</v>
      </c>
      <c r="D77">
        <f t="shared" si="3"/>
        <v>1.5343184247972477</v>
      </c>
    </row>
    <row r="78" spans="1:4" hidden="1">
      <c r="A78" s="4">
        <v>46082</v>
      </c>
      <c r="B78">
        <v>0.68810426540284353</v>
      </c>
      <c r="C78">
        <f t="shared" si="2"/>
        <v>1.0068810426540284</v>
      </c>
      <c r="D78">
        <f t="shared" si="3"/>
        <v>1.5448761353231393</v>
      </c>
    </row>
    <row r="79" spans="1:4" hidden="1">
      <c r="A79" s="4">
        <v>46113</v>
      </c>
      <c r="B79">
        <v>0.77067677725118466</v>
      </c>
      <c r="C79">
        <f t="shared" si="2"/>
        <v>1.0077067677725118</v>
      </c>
      <c r="D79">
        <f t="shared" si="3"/>
        <v>1.5567821369353703</v>
      </c>
    </row>
    <row r="80" spans="1:4" hidden="1">
      <c r="A80" s="4">
        <v>46143</v>
      </c>
      <c r="B80">
        <v>0.3578142180094786</v>
      </c>
      <c r="C80">
        <f t="shared" si="2"/>
        <v>1.0035781421800949</v>
      </c>
      <c r="D80">
        <f t="shared" si="3"/>
        <v>1.5623525247647569</v>
      </c>
    </row>
    <row r="81" spans="1:4" hidden="1">
      <c r="A81" s="4">
        <v>46174</v>
      </c>
      <c r="B81">
        <v>0.33029004739336487</v>
      </c>
      <c r="C81">
        <f t="shared" si="2"/>
        <v>1.0033029004739336</v>
      </c>
      <c r="D81">
        <f t="shared" si="3"/>
        <v>1.5675128196592538</v>
      </c>
    </row>
    <row r="82" spans="1:4" hidden="1">
      <c r="A82" s="4">
        <v>46204</v>
      </c>
      <c r="B82">
        <v>0.30276587677725114</v>
      </c>
      <c r="C82">
        <f t="shared" si="2"/>
        <v>1.0030276587677724</v>
      </c>
      <c r="D82">
        <f t="shared" si="3"/>
        <v>1.5722587135912909</v>
      </c>
    </row>
    <row r="83" spans="1:4" hidden="1">
      <c r="A83" s="4">
        <v>46235</v>
      </c>
      <c r="B83">
        <v>0.15138293838862557</v>
      </c>
      <c r="C83">
        <f t="shared" si="2"/>
        <v>1.0015138293838863</v>
      </c>
      <c r="D83">
        <f t="shared" si="3"/>
        <v>1.5746388450309967</v>
      </c>
    </row>
    <row r="84" spans="1:4" hidden="1">
      <c r="A84" s="4">
        <v>46266</v>
      </c>
      <c r="B84">
        <v>8.2572511848341218E-2</v>
      </c>
      <c r="C84">
        <f t="shared" si="2"/>
        <v>1.0008257251184833</v>
      </c>
      <c r="D84">
        <f t="shared" si="3"/>
        <v>1.5759390638778783</v>
      </c>
    </row>
    <row r="85" spans="1:4">
      <c r="A85" s="4">
        <v>46296</v>
      </c>
      <c r="B85">
        <v>0.11009668246445496</v>
      </c>
      <c r="C85">
        <f t="shared" si="2"/>
        <v>1.0011009668246444</v>
      </c>
      <c r="D85">
        <f t="shared" si="3"/>
        <v>1.577674120504869</v>
      </c>
    </row>
    <row r="86" spans="1:4" hidden="1">
      <c r="A86" s="4">
        <v>46327</v>
      </c>
      <c r="B86">
        <v>0.65048222748815143</v>
      </c>
      <c r="C86">
        <f t="shared" si="2"/>
        <v>1.0065048222748816</v>
      </c>
      <c r="D86">
        <f t="shared" si="3"/>
        <v>1.5879366102664332</v>
      </c>
    </row>
    <row r="87" spans="1:4" hidden="1">
      <c r="A87" s="4">
        <v>46357</v>
      </c>
      <c r="B87">
        <v>1.3424845971563977</v>
      </c>
      <c r="C87">
        <f t="shared" si="2"/>
        <v>1.013424845971564</v>
      </c>
      <c r="D87">
        <f t="shared" si="3"/>
        <v>1.6092544146718675</v>
      </c>
    </row>
    <row r="88" spans="1:4" hidden="1">
      <c r="A88" s="4">
        <v>46388</v>
      </c>
      <c r="B88">
        <v>0.5812819905213269</v>
      </c>
      <c r="C88">
        <f t="shared" si="2"/>
        <v>1.0058128199052132</v>
      </c>
      <c r="D88">
        <f t="shared" si="3"/>
        <v>1.6186087207660242</v>
      </c>
    </row>
    <row r="89" spans="1:4" hidden="1">
      <c r="A89" s="4">
        <v>46419</v>
      </c>
      <c r="B89">
        <v>0.45672156398104258</v>
      </c>
      <c r="C89">
        <f t="shared" si="2"/>
        <v>1.0045672156398104</v>
      </c>
      <c r="D89">
        <f t="shared" si="3"/>
        <v>1.6260012558302404</v>
      </c>
    </row>
    <row r="90" spans="1:4" hidden="1">
      <c r="A90" s="4">
        <v>46447</v>
      </c>
      <c r="B90">
        <v>0.69200236966824635</v>
      </c>
      <c r="C90">
        <f t="shared" si="2"/>
        <v>1.0069200236966824</v>
      </c>
      <c r="D90">
        <f t="shared" si="3"/>
        <v>1.637253223051421</v>
      </c>
    </row>
    <row r="91" spans="1:4" hidden="1">
      <c r="A91" s="4">
        <v>46478</v>
      </c>
      <c r="B91">
        <v>0.77504265402843586</v>
      </c>
      <c r="C91">
        <f t="shared" si="2"/>
        <v>1.0077504265402843</v>
      </c>
      <c r="D91">
        <f t="shared" si="3"/>
        <v>1.6499426338845249</v>
      </c>
    </row>
    <row r="92" spans="1:4" hidden="1">
      <c r="A92" s="4">
        <v>46508</v>
      </c>
      <c r="B92">
        <v>0.35984123222748809</v>
      </c>
      <c r="C92">
        <f t="shared" si="2"/>
        <v>1.003598412322275</v>
      </c>
      <c r="D92">
        <f t="shared" si="3"/>
        <v>1.6558798077893417</v>
      </c>
    </row>
    <row r="93" spans="1:4" hidden="1">
      <c r="A93" s="4">
        <v>46539</v>
      </c>
      <c r="B93">
        <v>0.3321611374407582</v>
      </c>
      <c r="C93">
        <f t="shared" si="2"/>
        <v>1.0033216113744077</v>
      </c>
      <c r="D93">
        <f t="shared" si="3"/>
        <v>1.6613799969935468</v>
      </c>
    </row>
    <row r="94" spans="1:4" hidden="1">
      <c r="A94" s="4">
        <v>46569</v>
      </c>
      <c r="B94">
        <v>0.30448104265402837</v>
      </c>
      <c r="C94">
        <f t="shared" si="2"/>
        <v>1.0030448104265404</v>
      </c>
      <c r="D94">
        <f t="shared" si="3"/>
        <v>1.6664385841308382</v>
      </c>
    </row>
    <row r="95" spans="1:4" hidden="1">
      <c r="A95" s="4">
        <v>46600</v>
      </c>
      <c r="B95">
        <v>0.15224052132701418</v>
      </c>
      <c r="C95">
        <f t="shared" si="2"/>
        <v>1.0015224052132701</v>
      </c>
      <c r="D95">
        <f t="shared" si="3"/>
        <v>1.6689755789189133</v>
      </c>
    </row>
    <row r="96" spans="1:4" hidden="1">
      <c r="A96" s="4">
        <v>46631</v>
      </c>
      <c r="B96">
        <v>8.3040284360189551E-2</v>
      </c>
      <c r="C96">
        <f t="shared" si="2"/>
        <v>1.0008304028436019</v>
      </c>
      <c r="D96">
        <f t="shared" si="3"/>
        <v>1.6703615009855497</v>
      </c>
    </row>
    <row r="97" spans="1:4">
      <c r="A97" s="4">
        <v>46661</v>
      </c>
      <c r="B97">
        <v>0.11072037914691941</v>
      </c>
      <c r="C97">
        <f t="shared" si="2"/>
        <v>1.0011072037914692</v>
      </c>
      <c r="D97">
        <f t="shared" si="3"/>
        <v>1.6722109315725651</v>
      </c>
    </row>
    <row r="98" spans="1:4" hidden="1">
      <c r="A98" s="4">
        <v>46692</v>
      </c>
      <c r="B98">
        <v>0.65446943127962065</v>
      </c>
      <c r="C98">
        <f t="shared" si="2"/>
        <v>1.0065446943127963</v>
      </c>
      <c r="D98">
        <f t="shared" si="3"/>
        <v>1.6831550409462237</v>
      </c>
    </row>
    <row r="99" spans="1:4" hidden="1">
      <c r="A99" s="4">
        <v>46722</v>
      </c>
      <c r="B99">
        <v>1.3507135071090044</v>
      </c>
      <c r="C99">
        <f t="shared" si="2"/>
        <v>1.01350713507109</v>
      </c>
      <c r="D99">
        <f t="shared" si="3"/>
        <v>1.7058896434298705</v>
      </c>
    </row>
    <row r="100" spans="1:4" hidden="1">
      <c r="A100" s="4">
        <v>46753</v>
      </c>
      <c r="B100">
        <v>0.58484502369668234</v>
      </c>
      <c r="C100">
        <f t="shared" si="2"/>
        <v>1.0058484502369669</v>
      </c>
      <c r="D100">
        <f t="shared" si="3"/>
        <v>1.7158664541192272</v>
      </c>
    </row>
    <row r="101" spans="1:4" hidden="1">
      <c r="A101" s="4">
        <v>46784</v>
      </c>
      <c r="B101">
        <v>0.45952109004739328</v>
      </c>
      <c r="C101">
        <f t="shared" si="2"/>
        <v>1.0045952109004739</v>
      </c>
      <c r="D101">
        <f t="shared" si="3"/>
        <v>1.7237512223529534</v>
      </c>
    </row>
    <row r="102" spans="1:4" hidden="1">
      <c r="A102" s="4">
        <v>46813</v>
      </c>
      <c r="B102">
        <v>0.69624407582938375</v>
      </c>
      <c r="C102">
        <f t="shared" si="2"/>
        <v>1.0069624407582938</v>
      </c>
      <c r="D102">
        <f t="shared" si="3"/>
        <v>1.7357527381206224</v>
      </c>
    </row>
    <row r="103" spans="1:4" hidden="1">
      <c r="A103" s="4">
        <v>46844</v>
      </c>
      <c r="B103">
        <v>0.77979336492890983</v>
      </c>
      <c r="C103">
        <f t="shared" si="2"/>
        <v>1.007797933649289</v>
      </c>
      <c r="D103">
        <f t="shared" si="3"/>
        <v>1.7492880228040588</v>
      </c>
    </row>
    <row r="104" spans="1:4" hidden="1">
      <c r="A104" s="4">
        <v>46874</v>
      </c>
      <c r="B104">
        <v>0.36204691943127953</v>
      </c>
      <c r="C104">
        <f t="shared" si="2"/>
        <v>1.0036204691943127</v>
      </c>
      <c r="D104">
        <f t="shared" si="3"/>
        <v>1.7556212662026012</v>
      </c>
    </row>
    <row r="105" spans="1:4" hidden="1">
      <c r="A105" s="4">
        <v>46905</v>
      </c>
      <c r="B105">
        <v>0.33419715639810421</v>
      </c>
      <c r="C105">
        <f t="shared" si="2"/>
        <v>1.0033419715639811</v>
      </c>
      <c r="D105">
        <f t="shared" si="3"/>
        <v>1.7614885025513707</v>
      </c>
    </row>
    <row r="106" spans="1:4" hidden="1">
      <c r="A106" s="4">
        <v>46935</v>
      </c>
      <c r="B106">
        <v>0.30634739336492883</v>
      </c>
      <c r="C106">
        <f t="shared" si="2"/>
        <v>1.0030634739336493</v>
      </c>
      <c r="D106">
        <f t="shared" si="3"/>
        <v>1.7668847766633597</v>
      </c>
    </row>
    <row r="107" spans="1:4" hidden="1">
      <c r="A107" s="4">
        <v>46966</v>
      </c>
      <c r="B107">
        <v>0.15317369668246442</v>
      </c>
      <c r="C107">
        <f t="shared" si="2"/>
        <v>1.0015317369668246</v>
      </c>
      <c r="D107">
        <f t="shared" si="3"/>
        <v>1.7695911793918946</v>
      </c>
    </row>
    <row r="108" spans="1:4" hidden="1">
      <c r="A108" s="4">
        <v>46997</v>
      </c>
      <c r="B108">
        <v>8.3549289099526053E-2</v>
      </c>
      <c r="C108">
        <f t="shared" si="2"/>
        <v>1.0008354928909953</v>
      </c>
      <c r="D108">
        <f t="shared" si="3"/>
        <v>1.7710696602422444</v>
      </c>
    </row>
    <row r="109" spans="1:4">
      <c r="A109" s="4">
        <v>47027</v>
      </c>
      <c r="B109">
        <v>0.1113990521327014</v>
      </c>
      <c r="C109">
        <f t="shared" si="2"/>
        <v>1.0011139905213271</v>
      </c>
      <c r="D109">
        <f t="shared" si="3"/>
        <v>1.7730426150563643</v>
      </c>
    </row>
    <row r="110" spans="1:4" hidden="1">
      <c r="A110" s="4">
        <v>47058</v>
      </c>
      <c r="B110">
        <v>0.65791090047393341</v>
      </c>
      <c r="C110">
        <f t="shared" si="2"/>
        <v>1.0065791090047393</v>
      </c>
      <c r="D110">
        <f t="shared" si="3"/>
        <v>1.7847076556908683</v>
      </c>
    </row>
    <row r="111" spans="1:4" hidden="1">
      <c r="A111" s="4">
        <v>47088</v>
      </c>
      <c r="B111">
        <v>1.3578161137440754</v>
      </c>
      <c r="C111">
        <f t="shared" si="2"/>
        <v>1.0135781611374408</v>
      </c>
      <c r="D111">
        <f t="shared" si="3"/>
        <v>1.8089407038230632</v>
      </c>
    </row>
    <row r="112" spans="1:4" hidden="1">
      <c r="A112" s="4">
        <v>47119</v>
      </c>
      <c r="B112">
        <v>0.5879203791469193</v>
      </c>
      <c r="C112">
        <f t="shared" si="2"/>
        <v>1.0058792037914692</v>
      </c>
      <c r="D112">
        <f t="shared" si="3"/>
        <v>1.8195758348675226</v>
      </c>
    </row>
    <row r="113" spans="1:4" hidden="1">
      <c r="A113" s="4">
        <v>47150</v>
      </c>
      <c r="B113">
        <v>0.46193744075829374</v>
      </c>
      <c r="C113">
        <f t="shared" si="2"/>
        <v>1.0046193744075829</v>
      </c>
      <c r="D113">
        <f t="shared" si="3"/>
        <v>1.8279811369117658</v>
      </c>
    </row>
    <row r="114" spans="1:4" hidden="1">
      <c r="A114" s="4">
        <v>47178</v>
      </c>
      <c r="B114">
        <v>0.6999052132701421</v>
      </c>
      <c r="C114">
        <f t="shared" si="2"/>
        <v>1.0069990521327015</v>
      </c>
      <c r="D114">
        <f t="shared" si="3"/>
        <v>1.8407752721866062</v>
      </c>
    </row>
    <row r="115" spans="1:4" hidden="1">
      <c r="A115" s="4">
        <v>47209</v>
      </c>
      <c r="B115">
        <v>0.78389383886255903</v>
      </c>
      <c r="C115">
        <f t="shared" si="2"/>
        <v>1.0078389383886255</v>
      </c>
      <c r="D115">
        <f t="shared" si="3"/>
        <v>1.8552049961325823</v>
      </c>
    </row>
    <row r="116" spans="1:4" hidden="1">
      <c r="A116" s="4">
        <v>47239</v>
      </c>
      <c r="B116">
        <v>0.36395071090047387</v>
      </c>
      <c r="C116">
        <f t="shared" si="2"/>
        <v>1.0036395071090047</v>
      </c>
      <c r="D116">
        <f t="shared" si="3"/>
        <v>1.861957027904668</v>
      </c>
    </row>
    <row r="117" spans="1:4" hidden="1">
      <c r="A117" s="4">
        <v>47270</v>
      </c>
      <c r="B117">
        <v>0.33595450236966817</v>
      </c>
      <c r="C117">
        <f t="shared" si="2"/>
        <v>1.0033595450236967</v>
      </c>
      <c r="D117">
        <f t="shared" si="3"/>
        <v>1.8682123563721023</v>
      </c>
    </row>
    <row r="118" spans="1:4" hidden="1">
      <c r="A118" s="4">
        <v>47300</v>
      </c>
      <c r="B118">
        <v>0.30795829383886247</v>
      </c>
      <c r="C118">
        <f t="shared" si="2"/>
        <v>1.0030795829383887</v>
      </c>
      <c r="D118">
        <f t="shared" si="3"/>
        <v>1.8739656712700727</v>
      </c>
    </row>
    <row r="119" spans="1:4" hidden="1">
      <c r="A119" s="4">
        <v>47331</v>
      </c>
      <c r="B119">
        <v>0.15397914691943124</v>
      </c>
      <c r="C119">
        <f t="shared" si="2"/>
        <v>1.0015397914691944</v>
      </c>
      <c r="D119">
        <f t="shared" si="3"/>
        <v>1.8768511876242575</v>
      </c>
    </row>
    <row r="120" spans="1:4" hidden="1">
      <c r="A120" s="4">
        <v>47362</v>
      </c>
      <c r="B120">
        <v>8.3988625592417043E-2</v>
      </c>
      <c r="C120">
        <f t="shared" si="2"/>
        <v>1.0008398862559242</v>
      </c>
      <c r="D120">
        <f t="shared" si="3"/>
        <v>1.8784275291411583</v>
      </c>
    </row>
    <row r="121" spans="1:4">
      <c r="A121" s="4">
        <v>47392</v>
      </c>
      <c r="B121">
        <v>0.11198483412322273</v>
      </c>
      <c r="C121">
        <f t="shared" si="2"/>
        <v>1.0011198483412322</v>
      </c>
      <c r="D121">
        <f t="shared" si="3"/>
        <v>1.880531083093792</v>
      </c>
    </row>
    <row r="122" spans="1:4" hidden="1">
      <c r="A122" s="4">
        <v>47423</v>
      </c>
      <c r="B122">
        <v>0.66068412322274861</v>
      </c>
      <c r="C122">
        <f t="shared" si="2"/>
        <v>1.0066068412322275</v>
      </c>
      <c r="D122">
        <f t="shared" si="3"/>
        <v>1.8929554533920616</v>
      </c>
    </row>
    <row r="123" spans="1:4" hidden="1">
      <c r="A123" s="4">
        <v>47453</v>
      </c>
      <c r="B123">
        <v>1.3635395734597153</v>
      </c>
      <c r="C123">
        <f t="shared" si="2"/>
        <v>1.0136353957345972</v>
      </c>
      <c r="D123">
        <f t="shared" si="3"/>
        <v>1.9187666501070262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3A652-9CDF-4587-A4C8-BB02CAD8FBA3}">
  <dimension ref="A1:D154"/>
  <sheetViews>
    <sheetView workbookViewId="0">
      <selection activeCell="B130" sqref="B10:B130"/>
    </sheetView>
  </sheetViews>
  <sheetFormatPr defaultRowHeight="15"/>
  <cols>
    <col min="1" max="1" width="11.140625" customWidth="1"/>
    <col min="2" max="2" width="10.140625" customWidth="1"/>
    <col min="4" max="4" width="13" customWidth="1"/>
  </cols>
  <sheetData>
    <row r="1" spans="1:4">
      <c r="A1" t="s">
        <v>21</v>
      </c>
      <c r="B1" t="s">
        <v>150</v>
      </c>
      <c r="C1" t="s">
        <v>22</v>
      </c>
      <c r="D1" t="s">
        <v>149</v>
      </c>
    </row>
    <row r="2" spans="1:4">
      <c r="A2" s="4">
        <v>43556</v>
      </c>
      <c r="B2">
        <v>0.56999999999999995</v>
      </c>
      <c r="C2">
        <f>1+B2/100</f>
        <v>1.0057</v>
      </c>
      <c r="D2">
        <v>1.0057</v>
      </c>
    </row>
    <row r="3" spans="1:4">
      <c r="A3" s="4">
        <v>43586</v>
      </c>
      <c r="B3">
        <v>0.13</v>
      </c>
      <c r="C3">
        <f t="shared" ref="C3:C66" si="0">1+B3/100</f>
        <v>1.0013000000000001</v>
      </c>
      <c r="D3">
        <f>C3*D2</f>
        <v>1.0070074100000002</v>
      </c>
    </row>
    <row r="4" spans="1:4">
      <c r="A4" s="4">
        <v>43617</v>
      </c>
      <c r="B4">
        <v>0.01</v>
      </c>
      <c r="C4">
        <f t="shared" si="0"/>
        <v>1.0001</v>
      </c>
      <c r="D4">
        <f t="shared" ref="D4:D67" si="1">C4*D3</f>
        <v>1.007108110741</v>
      </c>
    </row>
    <row r="5" spans="1:4">
      <c r="A5" s="4">
        <v>43647</v>
      </c>
      <c r="B5">
        <v>0.19</v>
      </c>
      <c r="C5">
        <f t="shared" si="0"/>
        <v>1.0019</v>
      </c>
      <c r="D5">
        <f t="shared" si="1"/>
        <v>1.0090216161514081</v>
      </c>
    </row>
    <row r="6" spans="1:4">
      <c r="A6" s="4">
        <v>43678</v>
      </c>
      <c r="B6">
        <v>0.11</v>
      </c>
      <c r="C6">
        <f t="shared" si="0"/>
        <v>1.0011000000000001</v>
      </c>
      <c r="D6">
        <f t="shared" si="1"/>
        <v>1.0101315399291748</v>
      </c>
    </row>
    <row r="7" spans="1:4">
      <c r="A7" s="4">
        <v>43709</v>
      </c>
      <c r="B7">
        <v>-0.04</v>
      </c>
      <c r="C7">
        <f t="shared" si="0"/>
        <v>0.99960000000000004</v>
      </c>
      <c r="D7">
        <f t="shared" si="1"/>
        <v>1.0097274873132032</v>
      </c>
    </row>
    <row r="8" spans="1:4">
      <c r="A8" s="4">
        <v>43739</v>
      </c>
      <c r="B8">
        <v>0.1</v>
      </c>
      <c r="C8">
        <f t="shared" si="0"/>
        <v>1.0009999999999999</v>
      </c>
      <c r="D8">
        <f t="shared" si="1"/>
        <v>1.0107372148005163</v>
      </c>
    </row>
    <row r="9" spans="1:4">
      <c r="A9" s="4">
        <v>43770</v>
      </c>
      <c r="B9">
        <v>0.51</v>
      </c>
      <c r="C9">
        <f t="shared" si="0"/>
        <v>1.0051000000000001</v>
      </c>
      <c r="D9">
        <f t="shared" si="1"/>
        <v>1.0158919745959989</v>
      </c>
    </row>
    <row r="10" spans="1:4">
      <c r="A10" s="4">
        <v>43800</v>
      </c>
      <c r="B10">
        <v>1.1499999999999999</v>
      </c>
      <c r="C10">
        <f t="shared" si="0"/>
        <v>1.0115000000000001</v>
      </c>
      <c r="D10">
        <f t="shared" si="1"/>
        <v>1.0275747323038529</v>
      </c>
    </row>
    <row r="11" spans="1:4">
      <c r="A11" s="4">
        <v>43831</v>
      </c>
      <c r="B11">
        <v>0.21</v>
      </c>
      <c r="C11">
        <f t="shared" si="0"/>
        <v>1.0021</v>
      </c>
      <c r="D11">
        <f t="shared" si="1"/>
        <v>1.029732639241691</v>
      </c>
    </row>
    <row r="12" spans="1:4">
      <c r="A12" s="4">
        <v>43862</v>
      </c>
      <c r="B12">
        <v>0.25</v>
      </c>
      <c r="C12">
        <f t="shared" si="0"/>
        <v>1.0024999999999999</v>
      </c>
      <c r="D12">
        <f t="shared" si="1"/>
        <v>1.0323069708397952</v>
      </c>
    </row>
    <row r="13" spans="1:4">
      <c r="A13" s="4">
        <v>43891</v>
      </c>
      <c r="B13">
        <v>7.0000000000000007E-2</v>
      </c>
      <c r="C13">
        <f t="shared" si="0"/>
        <v>1.0006999999999999</v>
      </c>
      <c r="D13">
        <f t="shared" si="1"/>
        <v>1.033029585719383</v>
      </c>
    </row>
    <row r="14" spans="1:4">
      <c r="A14" s="4">
        <v>43922</v>
      </c>
      <c r="B14">
        <v>-0.31</v>
      </c>
      <c r="C14">
        <f t="shared" si="0"/>
        <v>0.99690000000000001</v>
      </c>
      <c r="D14">
        <f t="shared" si="1"/>
        <v>1.029827194003653</v>
      </c>
    </row>
    <row r="15" spans="1:4">
      <c r="A15" s="4">
        <v>43952</v>
      </c>
      <c r="B15">
        <v>-0.38</v>
      </c>
      <c r="C15">
        <f t="shared" si="0"/>
        <v>0.99619999999999997</v>
      </c>
      <c r="D15">
        <f t="shared" si="1"/>
        <v>1.0259138506664391</v>
      </c>
    </row>
    <row r="16" spans="1:4">
      <c r="A16" s="4">
        <v>43983</v>
      </c>
      <c r="B16">
        <v>0.26</v>
      </c>
      <c r="C16">
        <f t="shared" si="0"/>
        <v>1.0025999999999999</v>
      </c>
      <c r="D16">
        <f t="shared" si="1"/>
        <v>1.0285812266781718</v>
      </c>
    </row>
    <row r="17" spans="1:4">
      <c r="A17" s="4">
        <v>44013</v>
      </c>
      <c r="B17">
        <v>0.36</v>
      </c>
      <c r="C17">
        <f t="shared" si="0"/>
        <v>1.0036</v>
      </c>
      <c r="D17">
        <f t="shared" si="1"/>
        <v>1.0322841190942131</v>
      </c>
    </row>
    <row r="18" spans="1:4">
      <c r="A18" s="4">
        <v>44044</v>
      </c>
      <c r="B18">
        <v>0.24</v>
      </c>
      <c r="C18">
        <f t="shared" si="0"/>
        <v>1.0024</v>
      </c>
      <c r="D18">
        <f t="shared" si="1"/>
        <v>1.0347616009800391</v>
      </c>
    </row>
    <row r="19" spans="1:4">
      <c r="A19" s="4">
        <v>44075</v>
      </c>
      <c r="B19">
        <v>0.64</v>
      </c>
      <c r="C19">
        <f t="shared" si="0"/>
        <v>1.0064</v>
      </c>
      <c r="D19">
        <f t="shared" si="1"/>
        <v>1.0413840752263113</v>
      </c>
    </row>
    <row r="20" spans="1:4">
      <c r="A20" s="4">
        <v>44105</v>
      </c>
      <c r="B20">
        <v>0.86</v>
      </c>
      <c r="C20">
        <f t="shared" si="0"/>
        <v>1.0085999999999999</v>
      </c>
      <c r="D20">
        <f t="shared" si="1"/>
        <v>1.0503399782732574</v>
      </c>
    </row>
    <row r="21" spans="1:4">
      <c r="A21" s="4">
        <v>44136</v>
      </c>
      <c r="B21">
        <v>0.89</v>
      </c>
      <c r="C21">
        <f t="shared" si="0"/>
        <v>1.0088999999999999</v>
      </c>
      <c r="D21">
        <f t="shared" si="1"/>
        <v>1.0596880040798893</v>
      </c>
    </row>
    <row r="22" spans="1:4">
      <c r="A22" s="4">
        <v>44166</v>
      </c>
      <c r="B22">
        <v>1.35</v>
      </c>
      <c r="C22">
        <f t="shared" si="0"/>
        <v>1.0135000000000001</v>
      </c>
      <c r="D22">
        <f t="shared" si="1"/>
        <v>1.0739937921349678</v>
      </c>
    </row>
    <row r="23" spans="1:4">
      <c r="A23" s="4">
        <v>44197</v>
      </c>
      <c r="B23">
        <v>0.25</v>
      </c>
      <c r="C23">
        <f t="shared" si="0"/>
        <v>1.0024999999999999</v>
      </c>
      <c r="D23">
        <f t="shared" si="1"/>
        <v>1.0766787766153052</v>
      </c>
    </row>
    <row r="24" spans="1:4">
      <c r="A24" s="4">
        <v>44228</v>
      </c>
      <c r="B24">
        <v>0.86</v>
      </c>
      <c r="C24">
        <f t="shared" si="0"/>
        <v>1.0085999999999999</v>
      </c>
      <c r="D24">
        <f t="shared" si="1"/>
        <v>1.0859382140941967</v>
      </c>
    </row>
    <row r="25" spans="1:4">
      <c r="A25" s="4">
        <v>44256</v>
      </c>
      <c r="B25">
        <v>0.93</v>
      </c>
      <c r="C25">
        <f t="shared" si="0"/>
        <v>1.0093000000000001</v>
      </c>
      <c r="D25">
        <f t="shared" si="1"/>
        <v>1.0960374394852728</v>
      </c>
    </row>
    <row r="26" spans="1:4">
      <c r="A26" s="4">
        <v>44287</v>
      </c>
      <c r="B26">
        <v>0.31</v>
      </c>
      <c r="C26">
        <f t="shared" si="0"/>
        <v>1.0031000000000001</v>
      </c>
      <c r="D26">
        <f t="shared" si="1"/>
        <v>1.0994351555476771</v>
      </c>
    </row>
    <row r="27" spans="1:4">
      <c r="A27" s="4">
        <v>44317</v>
      </c>
      <c r="B27">
        <v>0.83</v>
      </c>
      <c r="C27">
        <f t="shared" si="0"/>
        <v>1.0083</v>
      </c>
      <c r="D27">
        <f t="shared" si="1"/>
        <v>1.1085604673387228</v>
      </c>
    </row>
    <row r="28" spans="1:4">
      <c r="A28" s="4">
        <v>44348</v>
      </c>
      <c r="B28">
        <v>0.53</v>
      </c>
      <c r="C28">
        <f t="shared" si="0"/>
        <v>1.0053000000000001</v>
      </c>
      <c r="D28">
        <f t="shared" si="1"/>
        <v>1.1144358378156181</v>
      </c>
    </row>
    <row r="29" spans="1:4">
      <c r="A29" s="4">
        <v>44378</v>
      </c>
      <c r="B29">
        <v>0.96</v>
      </c>
      <c r="C29">
        <f t="shared" si="0"/>
        <v>1.0096000000000001</v>
      </c>
      <c r="D29">
        <f t="shared" si="1"/>
        <v>1.1251344218586481</v>
      </c>
    </row>
    <row r="30" spans="1:4">
      <c r="A30" s="4">
        <v>44409</v>
      </c>
      <c r="B30">
        <v>0.87</v>
      </c>
      <c r="C30">
        <f t="shared" si="0"/>
        <v>1.0086999999999999</v>
      </c>
      <c r="D30">
        <f t="shared" si="1"/>
        <v>1.1349230913288182</v>
      </c>
    </row>
    <row r="31" spans="1:4">
      <c r="A31" s="4">
        <v>44440</v>
      </c>
      <c r="B31">
        <v>1.1599999999999999</v>
      </c>
      <c r="C31">
        <f t="shared" si="0"/>
        <v>1.0116000000000001</v>
      </c>
      <c r="D31">
        <f t="shared" si="1"/>
        <v>1.1480881991882326</v>
      </c>
    </row>
    <row r="32" spans="1:4">
      <c r="A32" s="4">
        <v>44470</v>
      </c>
      <c r="B32">
        <v>1.25</v>
      </c>
      <c r="C32">
        <f t="shared" si="0"/>
        <v>1.0125</v>
      </c>
      <c r="D32">
        <f t="shared" si="1"/>
        <v>1.1624393016780854</v>
      </c>
    </row>
    <row r="33" spans="1:4">
      <c r="A33" s="4">
        <v>44501</v>
      </c>
      <c r="B33">
        <v>0.95</v>
      </c>
      <c r="C33">
        <f t="shared" si="0"/>
        <v>1.0095000000000001</v>
      </c>
      <c r="D33">
        <f t="shared" si="1"/>
        <v>1.1734824750440274</v>
      </c>
    </row>
    <row r="34" spans="1:4">
      <c r="A34" s="4">
        <v>44531</v>
      </c>
      <c r="B34">
        <v>0.73</v>
      </c>
      <c r="C34">
        <f t="shared" si="0"/>
        <v>1.0073000000000001</v>
      </c>
      <c r="D34">
        <f t="shared" si="1"/>
        <v>1.1820488971118488</v>
      </c>
    </row>
    <row r="35" spans="1:4">
      <c r="A35" s="4">
        <v>44562</v>
      </c>
      <c r="B35">
        <v>0.54</v>
      </c>
      <c r="C35">
        <f t="shared" si="0"/>
        <v>1.0054000000000001</v>
      </c>
      <c r="D35">
        <f t="shared" si="1"/>
        <v>1.1884319611562528</v>
      </c>
    </row>
    <row r="36" spans="1:4">
      <c r="A36" s="4">
        <v>44593</v>
      </c>
      <c r="B36">
        <v>1.01</v>
      </c>
      <c r="C36">
        <f t="shared" si="0"/>
        <v>1.0101</v>
      </c>
      <c r="D36">
        <f t="shared" si="1"/>
        <v>1.200435123963931</v>
      </c>
    </row>
    <row r="37" spans="1:4">
      <c r="A37" s="4">
        <v>44621</v>
      </c>
      <c r="B37">
        <v>1.62</v>
      </c>
      <c r="C37">
        <f t="shared" si="0"/>
        <v>1.0162</v>
      </c>
      <c r="D37">
        <f t="shared" si="1"/>
        <v>1.2198821729721467</v>
      </c>
    </row>
    <row r="38" spans="1:4">
      <c r="A38" s="4">
        <v>44652</v>
      </c>
      <c r="B38">
        <v>1.06</v>
      </c>
      <c r="C38">
        <f t="shared" si="0"/>
        <v>1.0105999999999999</v>
      </c>
      <c r="D38">
        <f t="shared" si="1"/>
        <v>1.2328129240056513</v>
      </c>
    </row>
    <row r="39" spans="1:4">
      <c r="A39" s="4">
        <v>44682</v>
      </c>
      <c r="B39">
        <v>0.47</v>
      </c>
      <c r="C39">
        <f t="shared" si="0"/>
        <v>1.0046999999999999</v>
      </c>
      <c r="D39">
        <f t="shared" si="1"/>
        <v>1.2386071447484779</v>
      </c>
    </row>
    <row r="40" spans="1:4">
      <c r="A40" s="4">
        <v>44713</v>
      </c>
      <c r="B40">
        <v>0.67</v>
      </c>
      <c r="C40">
        <f t="shared" si="0"/>
        <v>1.0066999999999999</v>
      </c>
      <c r="D40">
        <f t="shared" si="1"/>
        <v>1.2469058126182926</v>
      </c>
    </row>
    <row r="41" spans="1:4">
      <c r="A41" s="4">
        <v>44743</v>
      </c>
      <c r="B41">
        <v>-0.68</v>
      </c>
      <c r="C41">
        <f t="shared" si="0"/>
        <v>0.99319999999999997</v>
      </c>
      <c r="D41">
        <f t="shared" si="1"/>
        <v>1.2384268530924882</v>
      </c>
    </row>
    <row r="42" spans="1:4">
      <c r="A42" s="4">
        <v>44774</v>
      </c>
      <c r="B42">
        <v>-0.36</v>
      </c>
      <c r="C42">
        <f t="shared" si="0"/>
        <v>0.99639999999999995</v>
      </c>
      <c r="D42">
        <f t="shared" si="1"/>
        <v>1.2339685164213552</v>
      </c>
    </row>
    <row r="43" spans="1:4">
      <c r="A43" s="4">
        <v>44805</v>
      </c>
      <c r="B43">
        <v>-0.28999999999999998</v>
      </c>
      <c r="C43">
        <f t="shared" si="0"/>
        <v>0.99709999999999999</v>
      </c>
      <c r="D43">
        <f t="shared" si="1"/>
        <v>1.2303900077237333</v>
      </c>
    </row>
    <row r="44" spans="1:4">
      <c r="A44" s="4">
        <v>44835</v>
      </c>
      <c r="B44">
        <v>0.33</v>
      </c>
      <c r="C44">
        <f t="shared" si="0"/>
        <v>1.0033000000000001</v>
      </c>
      <c r="D44">
        <f t="shared" si="1"/>
        <v>1.2344502947492217</v>
      </c>
    </row>
    <row r="45" spans="1:4">
      <c r="A45" s="4">
        <v>44866</v>
      </c>
      <c r="B45">
        <v>0.94638500140897963</v>
      </c>
      <c r="C45">
        <f t="shared" si="0"/>
        <v>1.0094638500140898</v>
      </c>
      <c r="D45">
        <f t="shared" si="1"/>
        <v>1.2461329471885774</v>
      </c>
    </row>
    <row r="46" spans="1:4">
      <c r="A46" s="4">
        <v>44896</v>
      </c>
      <c r="B46">
        <v>1.9531775560993834</v>
      </c>
      <c r="C46">
        <f t="shared" si="0"/>
        <v>1.0195317755609938</v>
      </c>
      <c r="D46">
        <f t="shared" si="1"/>
        <v>1.2704721362322244</v>
      </c>
    </row>
    <row r="47" spans="1:4">
      <c r="A47" s="4">
        <v>44927</v>
      </c>
      <c r="B47">
        <v>0.84570574593993919</v>
      </c>
      <c r="C47">
        <f t="shared" si="0"/>
        <v>1.0084570574593994</v>
      </c>
      <c r="D47">
        <f t="shared" si="1"/>
        <v>1.2812165920889063</v>
      </c>
    </row>
    <row r="48" spans="1:4">
      <c r="A48" s="4">
        <v>44958</v>
      </c>
      <c r="B48">
        <v>0.66448308609566664</v>
      </c>
      <c r="C48">
        <f t="shared" si="0"/>
        <v>1.0066448308609566</v>
      </c>
      <c r="D48">
        <f t="shared" si="1"/>
        <v>1.2897300596395882</v>
      </c>
    </row>
    <row r="49" spans="1:4">
      <c r="A49" s="4">
        <v>44986</v>
      </c>
      <c r="B49">
        <v>1.006792554690404</v>
      </c>
      <c r="C49">
        <f t="shared" si="0"/>
        <v>1.0100679255469041</v>
      </c>
      <c r="D49">
        <f t="shared" si="1"/>
        <v>1.3027149658556436</v>
      </c>
    </row>
    <row r="50" spans="1:4">
      <c r="A50" s="4">
        <v>45017</v>
      </c>
      <c r="B50">
        <v>1.1276076612532524</v>
      </c>
      <c r="C50">
        <f t="shared" si="0"/>
        <v>1.0112760766125326</v>
      </c>
      <c r="D50">
        <f t="shared" si="1"/>
        <v>1.3174044796149247</v>
      </c>
    </row>
    <row r="51" spans="1:4">
      <c r="A51" s="4">
        <v>45047</v>
      </c>
      <c r="B51">
        <v>0.41494999999999999</v>
      </c>
      <c r="C51">
        <f t="shared" si="0"/>
        <v>1.0041495</v>
      </c>
      <c r="D51">
        <f t="shared" si="1"/>
        <v>1.3228710495030869</v>
      </c>
    </row>
    <row r="52" spans="1:4">
      <c r="A52" s="4">
        <v>45078</v>
      </c>
      <c r="B52">
        <v>0.38303300000000001</v>
      </c>
      <c r="C52">
        <f t="shared" si="0"/>
        <v>1.00383033</v>
      </c>
      <c r="D52">
        <f t="shared" si="1"/>
        <v>1.3279380821701301</v>
      </c>
    </row>
    <row r="53" spans="1:4">
      <c r="A53" s="4">
        <v>45108</v>
      </c>
      <c r="B53">
        <v>0.35111999999999999</v>
      </c>
      <c r="C53">
        <f t="shared" si="0"/>
        <v>1.0035111999999999</v>
      </c>
      <c r="D53">
        <f t="shared" si="1"/>
        <v>1.3326007383642458</v>
      </c>
    </row>
    <row r="54" spans="1:4">
      <c r="A54" s="4">
        <v>45139</v>
      </c>
      <c r="B54">
        <v>0.17555687203791467</v>
      </c>
      <c r="C54">
        <f t="shared" si="0"/>
        <v>1.0017555687203792</v>
      </c>
      <c r="D54">
        <f t="shared" si="1"/>
        <v>1.3349402105372723</v>
      </c>
    </row>
    <row r="55" spans="1:4">
      <c r="A55" s="4">
        <v>45170</v>
      </c>
      <c r="B55">
        <v>9.5758293838862543E-2</v>
      </c>
      <c r="C55">
        <f t="shared" si="0"/>
        <v>1.0009575829383885</v>
      </c>
      <c r="D55">
        <f t="shared" si="1"/>
        <v>1.3362185265066515</v>
      </c>
    </row>
    <row r="56" spans="1:4">
      <c r="A56" s="4">
        <v>45200</v>
      </c>
      <c r="B56">
        <v>0.12767772511848341</v>
      </c>
      <c r="C56">
        <f t="shared" si="0"/>
        <v>1.0012767772511848</v>
      </c>
      <c r="D56">
        <f t="shared" si="1"/>
        <v>1.3379245799239068</v>
      </c>
    </row>
    <row r="57" spans="1:4">
      <c r="A57" s="4">
        <v>45231</v>
      </c>
      <c r="B57">
        <v>0.66754478672985762</v>
      </c>
      <c r="C57">
        <f t="shared" si="0"/>
        <v>1.0066754478672986</v>
      </c>
      <c r="D57">
        <f t="shared" si="1"/>
        <v>1.3468558257075662</v>
      </c>
    </row>
    <row r="58" spans="1:4">
      <c r="A58" s="4">
        <v>45261</v>
      </c>
      <c r="B58">
        <v>1.3776988151658764</v>
      </c>
      <c r="C58">
        <f t="shared" si="0"/>
        <v>1.0137769881516587</v>
      </c>
      <c r="D58">
        <f t="shared" si="1"/>
        <v>1.3654114424603319</v>
      </c>
    </row>
    <row r="59" spans="1:4">
      <c r="A59" s="4">
        <v>45292</v>
      </c>
      <c r="B59">
        <v>0.59652938388625576</v>
      </c>
      <c r="C59">
        <f t="shared" si="0"/>
        <v>1.0059652938388626</v>
      </c>
      <c r="D59">
        <f t="shared" si="1"/>
        <v>1.3735565229255529</v>
      </c>
    </row>
    <row r="60" spans="1:4">
      <c r="A60" s="4">
        <v>45323</v>
      </c>
      <c r="B60">
        <v>0.46870165876777242</v>
      </c>
      <c r="C60">
        <f t="shared" si="0"/>
        <v>1.0046870165876778</v>
      </c>
      <c r="D60">
        <f t="shared" si="1"/>
        <v>1.3799944051326178</v>
      </c>
    </row>
    <row r="61" spans="1:4">
      <c r="A61" s="4">
        <v>45352</v>
      </c>
      <c r="B61">
        <v>0.71015402843601882</v>
      </c>
      <c r="C61">
        <f t="shared" si="0"/>
        <v>1.0071015402843602</v>
      </c>
      <c r="D61">
        <f t="shared" si="1"/>
        <v>1.3897944909928588</v>
      </c>
    </row>
    <row r="62" spans="1:4">
      <c r="A62" s="4">
        <v>45383</v>
      </c>
      <c r="B62">
        <v>0.79537251184834112</v>
      </c>
      <c r="C62">
        <f t="shared" si="0"/>
        <v>1.0079537251184834</v>
      </c>
      <c r="D62">
        <f t="shared" si="1"/>
        <v>1.4008485343453985</v>
      </c>
    </row>
    <row r="63" spans="1:4">
      <c r="A63" s="4">
        <v>45413</v>
      </c>
      <c r="B63">
        <v>0.3692800947867298</v>
      </c>
      <c r="C63">
        <f t="shared" si="0"/>
        <v>1.0036928009478674</v>
      </c>
      <c r="D63">
        <f t="shared" si="1"/>
        <v>1.4060215891408478</v>
      </c>
    </row>
    <row r="64" spans="1:4">
      <c r="A64" s="4">
        <v>45444</v>
      </c>
      <c r="B64">
        <v>0.34087393364928903</v>
      </c>
      <c r="C64">
        <f t="shared" si="0"/>
        <v>1.003408739336493</v>
      </c>
      <c r="D64">
        <f t="shared" si="1"/>
        <v>1.4108143502397106</v>
      </c>
    </row>
    <row r="65" spans="1:4">
      <c r="A65" s="4">
        <v>45474</v>
      </c>
      <c r="B65">
        <v>0.31246777251184826</v>
      </c>
      <c r="C65">
        <f t="shared" si="0"/>
        <v>1.0031246777251184</v>
      </c>
      <c r="D65">
        <f t="shared" si="1"/>
        <v>1.415222690414182</v>
      </c>
    </row>
    <row r="66" spans="1:4">
      <c r="A66" s="4">
        <v>45505</v>
      </c>
      <c r="B66">
        <v>0.15623388625592413</v>
      </c>
      <c r="C66">
        <f t="shared" si="0"/>
        <v>1.0015623388625592</v>
      </c>
      <c r="D66">
        <f t="shared" si="1"/>
        <v>1.4174337478225916</v>
      </c>
    </row>
    <row r="67" spans="1:4">
      <c r="A67" s="4">
        <v>45536</v>
      </c>
      <c r="B67">
        <v>8.5218483412322257E-2</v>
      </c>
      <c r="C67">
        <f t="shared" ref="C67:C130" si="2">1+B67/100</f>
        <v>1.0008521848341232</v>
      </c>
      <c r="D67">
        <f t="shared" si="1"/>
        <v>1.4186416633658603</v>
      </c>
    </row>
    <row r="68" spans="1:4">
      <c r="A68" s="4">
        <v>45566</v>
      </c>
      <c r="B68">
        <v>0.11362464454976301</v>
      </c>
      <c r="C68">
        <f t="shared" si="2"/>
        <v>1.0011362464454976</v>
      </c>
      <c r="D68">
        <f t="shared" ref="D68:D131" si="3">C68*D67</f>
        <v>1.4202535899132944</v>
      </c>
    </row>
    <row r="69" spans="1:4">
      <c r="A69" s="4">
        <v>45597</v>
      </c>
      <c r="B69">
        <v>0.64748625592417042</v>
      </c>
      <c r="C69">
        <f t="shared" si="2"/>
        <v>1.0064748625592417</v>
      </c>
      <c r="D69">
        <f t="shared" si="3"/>
        <v>1.4294495367072526</v>
      </c>
    </row>
    <row r="70" spans="1:4">
      <c r="A70" s="4">
        <v>45627</v>
      </c>
      <c r="B70">
        <v>1.3363014218009477</v>
      </c>
      <c r="C70">
        <f t="shared" si="2"/>
        <v>1.0133630142180095</v>
      </c>
      <c r="D70">
        <f t="shared" si="3"/>
        <v>1.4485512911901985</v>
      </c>
    </row>
    <row r="71" spans="1:4">
      <c r="A71" s="4">
        <v>45658</v>
      </c>
      <c r="B71">
        <v>0.57860473933649281</v>
      </c>
      <c r="C71">
        <f t="shared" si="2"/>
        <v>1.0057860473933649</v>
      </c>
      <c r="D71">
        <f t="shared" si="3"/>
        <v>1.4569326776127449</v>
      </c>
    </row>
    <row r="72" spans="1:4">
      <c r="A72" s="4">
        <v>45689</v>
      </c>
      <c r="B72">
        <v>0.45461800947867292</v>
      </c>
      <c r="C72">
        <f t="shared" si="2"/>
        <v>1.0045461800947868</v>
      </c>
      <c r="D72">
        <f t="shared" si="3"/>
        <v>1.4635561559511525</v>
      </c>
    </row>
    <row r="73" spans="1:4">
      <c r="A73" s="4">
        <v>45717</v>
      </c>
      <c r="B73">
        <v>0.68881516587677716</v>
      </c>
      <c r="C73">
        <f t="shared" si="2"/>
        <v>1.0068881516587678</v>
      </c>
      <c r="D73">
        <f t="shared" si="3"/>
        <v>1.4736373527144673</v>
      </c>
    </row>
    <row r="74" spans="1:4">
      <c r="A74" s="4">
        <v>45748</v>
      </c>
      <c r="B74">
        <v>0.77147298578199042</v>
      </c>
      <c r="C74">
        <f t="shared" si="2"/>
        <v>1.00771472985782</v>
      </c>
      <c r="D74">
        <f t="shared" si="3"/>
        <v>1.4850060667990523</v>
      </c>
    </row>
    <row r="75" spans="1:4">
      <c r="A75" s="4">
        <v>45778</v>
      </c>
      <c r="B75">
        <v>0.35818388625592412</v>
      </c>
      <c r="C75">
        <f t="shared" si="2"/>
        <v>1.0035818388625593</v>
      </c>
      <c r="D75">
        <f t="shared" si="3"/>
        <v>1.4903251192402494</v>
      </c>
    </row>
    <row r="76" spans="1:4">
      <c r="A76" s="4">
        <v>45809</v>
      </c>
      <c r="B76">
        <v>0.33063127962085304</v>
      </c>
      <c r="C76">
        <f t="shared" si="2"/>
        <v>1.0033063127962085</v>
      </c>
      <c r="D76">
        <f t="shared" si="3"/>
        <v>1.4952526002525044</v>
      </c>
    </row>
    <row r="77" spans="1:4">
      <c r="A77" s="4">
        <v>45839</v>
      </c>
      <c r="B77">
        <v>0.30307867298578195</v>
      </c>
      <c r="C77">
        <f t="shared" si="2"/>
        <v>1.0030307867298578</v>
      </c>
      <c r="D77">
        <f t="shared" si="3"/>
        <v>1.4997843919911351</v>
      </c>
    </row>
    <row r="78" spans="1:4">
      <c r="A78" s="4">
        <v>45870</v>
      </c>
      <c r="B78">
        <v>0.15153933649289097</v>
      </c>
      <c r="C78">
        <f t="shared" si="2"/>
        <v>1.001515393364929</v>
      </c>
      <c r="D78">
        <f t="shared" si="3"/>
        <v>1.5020571553075825</v>
      </c>
    </row>
    <row r="79" spans="1:4">
      <c r="A79" s="4">
        <v>45901</v>
      </c>
      <c r="B79">
        <v>8.2657819905213259E-2</v>
      </c>
      <c r="C79">
        <f t="shared" si="2"/>
        <v>1.0008265781990522</v>
      </c>
      <c r="D79">
        <f t="shared" si="3"/>
        <v>1.5032987230058901</v>
      </c>
    </row>
    <row r="80" spans="1:4">
      <c r="A80" s="4">
        <v>45931</v>
      </c>
      <c r="B80">
        <v>0.11021042654028435</v>
      </c>
      <c r="C80">
        <f t="shared" si="2"/>
        <v>1.0011021042654029</v>
      </c>
      <c r="D80">
        <f t="shared" si="3"/>
        <v>1.5049555149406897</v>
      </c>
    </row>
    <row r="81" spans="1:4">
      <c r="A81" s="4">
        <v>45962</v>
      </c>
      <c r="B81">
        <v>0.64681800947867285</v>
      </c>
      <c r="C81">
        <f t="shared" si="2"/>
        <v>1.0064681800947868</v>
      </c>
      <c r="D81">
        <f t="shared" si="3"/>
        <v>1.5146898382459686</v>
      </c>
    </row>
    <row r="82" spans="1:4">
      <c r="A82" s="4">
        <v>45992</v>
      </c>
      <c r="B82">
        <v>1.3349222748815164</v>
      </c>
      <c r="C82">
        <f t="shared" si="2"/>
        <v>1.0133492227488152</v>
      </c>
      <c r="D82">
        <f t="shared" si="3"/>
        <v>1.5349097702920809</v>
      </c>
    </row>
    <row r="83" spans="1:4">
      <c r="A83" s="4">
        <v>46023</v>
      </c>
      <c r="B83">
        <v>0.5780075829383885</v>
      </c>
      <c r="C83">
        <f t="shared" si="2"/>
        <v>1.0057800758293838</v>
      </c>
      <c r="D83">
        <f t="shared" si="3"/>
        <v>1.5437816651556311</v>
      </c>
    </row>
    <row r="84" spans="1:4">
      <c r="A84" s="4">
        <v>46054</v>
      </c>
      <c r="B84">
        <v>0.45414881516587668</v>
      </c>
      <c r="C84">
        <f t="shared" si="2"/>
        <v>1.0045414881516588</v>
      </c>
      <c r="D84">
        <f t="shared" si="3"/>
        <v>1.5507927312966834</v>
      </c>
    </row>
    <row r="85" spans="1:4">
      <c r="A85" s="4">
        <v>46082</v>
      </c>
      <c r="B85">
        <v>0.68810426540284353</v>
      </c>
      <c r="C85">
        <f t="shared" si="2"/>
        <v>1.0068810426540284</v>
      </c>
      <c r="D85">
        <f t="shared" si="3"/>
        <v>1.5614638022282932</v>
      </c>
    </row>
    <row r="86" spans="1:4">
      <c r="A86" s="4">
        <v>46113</v>
      </c>
      <c r="B86">
        <v>0.77067677725118466</v>
      </c>
      <c r="C86">
        <f t="shared" si="2"/>
        <v>1.0077067677725118</v>
      </c>
      <c r="D86">
        <f t="shared" si="3"/>
        <v>1.5734976411372499</v>
      </c>
    </row>
    <row r="87" spans="1:4">
      <c r="A87" s="4">
        <v>46143</v>
      </c>
      <c r="B87">
        <v>0.3578142180094786</v>
      </c>
      <c r="C87">
        <f t="shared" si="2"/>
        <v>1.0035781421800949</v>
      </c>
      <c r="D87">
        <f t="shared" si="3"/>
        <v>1.579127839417283</v>
      </c>
    </row>
    <row r="88" spans="1:4">
      <c r="A88" s="4">
        <v>46174</v>
      </c>
      <c r="B88">
        <v>0.33029004739336487</v>
      </c>
      <c r="C88">
        <f t="shared" si="2"/>
        <v>1.0033029004739336</v>
      </c>
      <c r="D88">
        <f t="shared" si="3"/>
        <v>1.5843435415064959</v>
      </c>
    </row>
    <row r="89" spans="1:4">
      <c r="A89" s="4">
        <v>46204</v>
      </c>
      <c r="B89">
        <v>0.30276587677725114</v>
      </c>
      <c r="C89">
        <f t="shared" si="2"/>
        <v>1.0030276587677724</v>
      </c>
      <c r="D89">
        <f t="shared" si="3"/>
        <v>1.5891403931211017</v>
      </c>
    </row>
    <row r="90" spans="1:4">
      <c r="A90" s="4">
        <v>46235</v>
      </c>
      <c r="B90">
        <v>0.15138293838862557</v>
      </c>
      <c r="C90">
        <f t="shared" si="2"/>
        <v>1.0015138293838863</v>
      </c>
      <c r="D90">
        <f t="shared" si="3"/>
        <v>1.591546080543329</v>
      </c>
    </row>
    <row r="91" spans="1:4">
      <c r="A91" s="4">
        <v>46266</v>
      </c>
      <c r="B91">
        <v>8.2572511848341218E-2</v>
      </c>
      <c r="C91">
        <f t="shared" si="2"/>
        <v>1.0008257251184833</v>
      </c>
      <c r="D91">
        <f t="shared" si="3"/>
        <v>1.5928602601192574</v>
      </c>
    </row>
    <row r="92" spans="1:4">
      <c r="A92" s="4">
        <v>46296</v>
      </c>
      <c r="B92">
        <v>0.11009668246445496</v>
      </c>
      <c r="C92">
        <f t="shared" si="2"/>
        <v>1.0011009668246444</v>
      </c>
      <c r="D92">
        <f t="shared" si="3"/>
        <v>1.5946139464219433</v>
      </c>
    </row>
    <row r="93" spans="1:4">
      <c r="A93" s="4">
        <v>46327</v>
      </c>
      <c r="B93">
        <v>0.65048222748815143</v>
      </c>
      <c r="C93">
        <f t="shared" si="2"/>
        <v>1.0065048222748816</v>
      </c>
      <c r="D93">
        <f t="shared" si="3"/>
        <v>1.6049866267404655</v>
      </c>
    </row>
    <row r="94" spans="1:4">
      <c r="A94" s="4">
        <v>46357</v>
      </c>
      <c r="B94">
        <v>1.3424845971563977</v>
      </c>
      <c r="C94">
        <f t="shared" si="2"/>
        <v>1.013424845971564</v>
      </c>
      <c r="D94">
        <f t="shared" si="3"/>
        <v>1.6265333249908764</v>
      </c>
    </row>
    <row r="95" spans="1:4">
      <c r="A95" s="4">
        <v>46388</v>
      </c>
      <c r="B95">
        <v>0.5812819905213269</v>
      </c>
      <c r="C95">
        <f t="shared" si="2"/>
        <v>1.0058128199052132</v>
      </c>
      <c r="D95">
        <f t="shared" si="3"/>
        <v>1.635988070278876</v>
      </c>
    </row>
    <row r="96" spans="1:4">
      <c r="A96" s="4">
        <v>46419</v>
      </c>
      <c r="B96">
        <v>0.45672156398104258</v>
      </c>
      <c r="C96">
        <f t="shared" si="2"/>
        <v>1.0045672156398104</v>
      </c>
      <c r="D96">
        <f t="shared" si="3"/>
        <v>1.643459980579997</v>
      </c>
    </row>
    <row r="97" spans="1:4">
      <c r="A97" s="4">
        <v>46447</v>
      </c>
      <c r="B97">
        <v>0.69200236966824635</v>
      </c>
      <c r="C97">
        <f t="shared" si="2"/>
        <v>1.0069200236966824</v>
      </c>
      <c r="D97">
        <f t="shared" si="3"/>
        <v>1.6548327625901598</v>
      </c>
    </row>
    <row r="98" spans="1:4">
      <c r="A98" s="4">
        <v>46478</v>
      </c>
      <c r="B98">
        <v>0.77504265402843586</v>
      </c>
      <c r="C98">
        <f t="shared" si="2"/>
        <v>1.0077504265402843</v>
      </c>
      <c r="D98">
        <f t="shared" si="3"/>
        <v>1.6676584223530706</v>
      </c>
    </row>
    <row r="99" spans="1:4">
      <c r="A99" s="4">
        <v>46508</v>
      </c>
      <c r="B99">
        <v>0.35984123222748809</v>
      </c>
      <c r="C99">
        <f t="shared" si="2"/>
        <v>1.003598412322275</v>
      </c>
      <c r="D99">
        <f t="shared" si="3"/>
        <v>1.6736593449694115</v>
      </c>
    </row>
    <row r="100" spans="1:4">
      <c r="A100" s="4">
        <v>46539</v>
      </c>
      <c r="B100">
        <v>0.3321611374407582</v>
      </c>
      <c r="C100">
        <f t="shared" si="2"/>
        <v>1.0033216113744077</v>
      </c>
      <c r="D100">
        <f t="shared" si="3"/>
        <v>1.6792185908865456</v>
      </c>
    </row>
    <row r="101" spans="1:4">
      <c r="A101" s="4">
        <v>46569</v>
      </c>
      <c r="B101">
        <v>0.30448104265402837</v>
      </c>
      <c r="C101">
        <f t="shared" si="2"/>
        <v>1.0030448104265404</v>
      </c>
      <c r="D101">
        <f t="shared" si="3"/>
        <v>1.6843314931605173</v>
      </c>
    </row>
    <row r="102" spans="1:4">
      <c r="A102" s="4">
        <v>46600</v>
      </c>
      <c r="B102">
        <v>0.15224052132701418</v>
      </c>
      <c r="C102">
        <f t="shared" si="2"/>
        <v>1.0015224052132701</v>
      </c>
      <c r="D102">
        <f t="shared" si="3"/>
        <v>1.68689572820658</v>
      </c>
    </row>
    <row r="103" spans="1:4">
      <c r="A103" s="4">
        <v>46631</v>
      </c>
      <c r="B103">
        <v>8.3040284360189551E-2</v>
      </c>
      <c r="C103">
        <f t="shared" si="2"/>
        <v>1.0008304028436019</v>
      </c>
      <c r="D103">
        <f t="shared" si="3"/>
        <v>1.6882965312161426</v>
      </c>
    </row>
    <row r="104" spans="1:4">
      <c r="A104" s="4">
        <v>46661</v>
      </c>
      <c r="B104">
        <v>0.11072037914691941</v>
      </c>
      <c r="C104">
        <f t="shared" si="2"/>
        <v>1.0011072037914692</v>
      </c>
      <c r="D104">
        <f t="shared" si="3"/>
        <v>1.6901658195366296</v>
      </c>
    </row>
    <row r="105" spans="1:4">
      <c r="A105" s="4">
        <v>46692</v>
      </c>
      <c r="B105">
        <v>0.65446943127962065</v>
      </c>
      <c r="C105">
        <f t="shared" si="2"/>
        <v>1.0065446943127963</v>
      </c>
      <c r="D105">
        <f t="shared" si="3"/>
        <v>1.7012274381634336</v>
      </c>
    </row>
    <row r="106" spans="1:4">
      <c r="A106" s="4">
        <v>46722</v>
      </c>
      <c r="B106">
        <v>1.3507135071090044</v>
      </c>
      <c r="C106">
        <f t="shared" si="2"/>
        <v>1.01350713507109</v>
      </c>
      <c r="D106">
        <f t="shared" si="3"/>
        <v>1.7242061469573515</v>
      </c>
    </row>
    <row r="107" spans="1:4">
      <c r="A107" s="4">
        <v>46753</v>
      </c>
      <c r="B107">
        <v>0.58484502369668234</v>
      </c>
      <c r="C107">
        <f t="shared" si="2"/>
        <v>1.0058484502369669</v>
      </c>
      <c r="D107">
        <f t="shared" si="3"/>
        <v>1.7342900808061039</v>
      </c>
    </row>
    <row r="108" spans="1:4">
      <c r="A108" s="4">
        <v>46784</v>
      </c>
      <c r="B108">
        <v>0.45952109004739328</v>
      </c>
      <c r="C108">
        <f t="shared" si="2"/>
        <v>1.0045952109004739</v>
      </c>
      <c r="D108">
        <f t="shared" si="3"/>
        <v>1.7422595094900077</v>
      </c>
    </row>
    <row r="109" spans="1:4">
      <c r="A109" s="4">
        <v>46813</v>
      </c>
      <c r="B109">
        <v>0.69624407582938375</v>
      </c>
      <c r="C109">
        <f t="shared" si="2"/>
        <v>1.0069624407582938</v>
      </c>
      <c r="D109">
        <f t="shared" si="3"/>
        <v>1.7543898881104059</v>
      </c>
    </row>
    <row r="110" spans="1:4">
      <c r="A110" s="4">
        <v>46844</v>
      </c>
      <c r="B110">
        <v>0.77979336492890983</v>
      </c>
      <c r="C110">
        <f t="shared" si="2"/>
        <v>1.007797933649289</v>
      </c>
      <c r="D110">
        <f t="shared" si="3"/>
        <v>1.7680705040528744</v>
      </c>
    </row>
    <row r="111" spans="1:4">
      <c r="A111" s="4">
        <v>46874</v>
      </c>
      <c r="B111">
        <v>0.36204691943127953</v>
      </c>
      <c r="C111">
        <f t="shared" si="2"/>
        <v>1.0036204691943127</v>
      </c>
      <c r="D111">
        <f t="shared" si="3"/>
        <v>1.7744717488461708</v>
      </c>
    </row>
    <row r="112" spans="1:4">
      <c r="A112" s="4">
        <v>46905</v>
      </c>
      <c r="B112">
        <v>0.33419715639810421</v>
      </c>
      <c r="C112">
        <f t="shared" si="2"/>
        <v>1.0033419715639811</v>
      </c>
      <c r="D112">
        <f t="shared" si="3"/>
        <v>1.7804019829719024</v>
      </c>
    </row>
    <row r="113" spans="1:4">
      <c r="A113" s="4">
        <v>46935</v>
      </c>
      <c r="B113">
        <v>0.30634739336492883</v>
      </c>
      <c r="C113">
        <f t="shared" si="2"/>
        <v>1.0030634739336493</v>
      </c>
      <c r="D113">
        <f t="shared" si="3"/>
        <v>1.7858561980381542</v>
      </c>
    </row>
    <row r="114" spans="1:4">
      <c r="A114" s="4">
        <v>46966</v>
      </c>
      <c r="B114">
        <v>0.15317369668246442</v>
      </c>
      <c r="C114">
        <f t="shared" si="2"/>
        <v>1.0015317369668246</v>
      </c>
      <c r="D114">
        <f t="shared" si="3"/>
        <v>1.7885916599941221</v>
      </c>
    </row>
    <row r="115" spans="1:4">
      <c r="A115" s="4">
        <v>46997</v>
      </c>
      <c r="B115">
        <v>8.3549289099526053E-2</v>
      </c>
      <c r="C115">
        <f t="shared" si="2"/>
        <v>1.0008354928909953</v>
      </c>
      <c r="D115">
        <f t="shared" si="3"/>
        <v>1.7900860156109406</v>
      </c>
    </row>
    <row r="116" spans="1:4">
      <c r="A116" s="4">
        <v>47027</v>
      </c>
      <c r="B116">
        <v>0.1113990521327014</v>
      </c>
      <c r="C116">
        <f t="shared" si="2"/>
        <v>1.0011139905213271</v>
      </c>
      <c r="D116">
        <f t="shared" si="3"/>
        <v>1.7920801544646914</v>
      </c>
    </row>
    <row r="117" spans="1:4">
      <c r="A117" s="4">
        <v>47058</v>
      </c>
      <c r="B117">
        <v>0.65791090047393341</v>
      </c>
      <c r="C117">
        <f t="shared" si="2"/>
        <v>1.0065791090047393</v>
      </c>
      <c r="D117">
        <f t="shared" si="3"/>
        <v>1.8038704451461447</v>
      </c>
    </row>
    <row r="118" spans="1:4">
      <c r="A118" s="4">
        <v>47088</v>
      </c>
      <c r="B118">
        <v>1.3578161137440754</v>
      </c>
      <c r="C118">
        <f t="shared" si="2"/>
        <v>1.0135781611374408</v>
      </c>
      <c r="D118">
        <f t="shared" si="3"/>
        <v>1.8283636887214061</v>
      </c>
    </row>
    <row r="119" spans="1:4">
      <c r="A119" s="4">
        <v>47119</v>
      </c>
      <c r="B119">
        <v>0.5879203791469193</v>
      </c>
      <c r="C119">
        <f t="shared" si="2"/>
        <v>1.0058792037914692</v>
      </c>
      <c r="D119">
        <f t="shared" si="3"/>
        <v>1.8391130114523215</v>
      </c>
    </row>
    <row r="120" spans="1:4">
      <c r="A120" s="4">
        <v>47150</v>
      </c>
      <c r="B120">
        <v>0.46193744075829374</v>
      </c>
      <c r="C120">
        <f t="shared" si="2"/>
        <v>1.0046193744075829</v>
      </c>
      <c r="D120">
        <f t="shared" si="3"/>
        <v>1.8476085630300771</v>
      </c>
    </row>
    <row r="121" spans="1:4">
      <c r="A121" s="4">
        <v>47178</v>
      </c>
      <c r="B121">
        <v>0.6999052132701421</v>
      </c>
      <c r="C121">
        <f t="shared" si="2"/>
        <v>1.0069990521327015</v>
      </c>
      <c r="D121">
        <f t="shared" si="3"/>
        <v>1.8605400716835503</v>
      </c>
    </row>
    <row r="122" spans="1:4">
      <c r="A122" s="4">
        <v>47209</v>
      </c>
      <c r="B122">
        <v>0.78389383886255903</v>
      </c>
      <c r="C122">
        <f t="shared" si="2"/>
        <v>1.0078389383886255</v>
      </c>
      <c r="D122">
        <f t="shared" si="3"/>
        <v>1.8751247306750465</v>
      </c>
    </row>
    <row r="123" spans="1:4">
      <c r="A123" s="4">
        <v>47239</v>
      </c>
      <c r="B123">
        <v>0.36395071090047387</v>
      </c>
      <c r="C123">
        <f t="shared" si="2"/>
        <v>1.0036395071090047</v>
      </c>
      <c r="D123">
        <f t="shared" si="3"/>
        <v>1.8819492604626089</v>
      </c>
    </row>
    <row r="124" spans="1:4">
      <c r="A124" s="4">
        <v>47270</v>
      </c>
      <c r="B124">
        <v>0.33595450236966817</v>
      </c>
      <c r="C124">
        <f t="shared" si="2"/>
        <v>1.0033595450236967</v>
      </c>
      <c r="D124">
        <f t="shared" si="3"/>
        <v>1.8882717537354459</v>
      </c>
    </row>
    <row r="125" spans="1:4">
      <c r="A125" s="4">
        <v>47300</v>
      </c>
      <c r="B125">
        <v>0.30795829383886247</v>
      </c>
      <c r="C125">
        <f t="shared" si="2"/>
        <v>1.0030795829383887</v>
      </c>
      <c r="D125">
        <f t="shared" si="3"/>
        <v>1.8940868432112909</v>
      </c>
    </row>
    <row r="126" spans="1:4">
      <c r="A126" s="4">
        <v>47331</v>
      </c>
      <c r="B126">
        <v>0.15397914691943124</v>
      </c>
      <c r="C126">
        <f t="shared" si="2"/>
        <v>1.0015397914691944</v>
      </c>
      <c r="D126">
        <f t="shared" si="3"/>
        <v>1.897003341974381</v>
      </c>
    </row>
    <row r="127" spans="1:4">
      <c r="A127" s="4">
        <v>47362</v>
      </c>
      <c r="B127">
        <v>8.3988625592417043E-2</v>
      </c>
      <c r="C127">
        <f t="shared" si="2"/>
        <v>1.0008398862559242</v>
      </c>
      <c r="D127">
        <f t="shared" si="3"/>
        <v>1.8985966090087476</v>
      </c>
    </row>
    <row r="128" spans="1:4">
      <c r="A128" s="4">
        <v>47392</v>
      </c>
      <c r="B128">
        <v>0.11198483412322273</v>
      </c>
      <c r="C128">
        <f t="shared" si="2"/>
        <v>1.0011198483412322</v>
      </c>
      <c r="D128">
        <f t="shared" si="3"/>
        <v>1.9007227492720151</v>
      </c>
    </row>
    <row r="129" spans="1:4">
      <c r="A129" s="4">
        <v>47423</v>
      </c>
      <c r="B129">
        <v>0.66068412322274861</v>
      </c>
      <c r="C129">
        <f t="shared" si="2"/>
        <v>1.0066068412322275</v>
      </c>
      <c r="D129">
        <f t="shared" si="3"/>
        <v>1.9132805227029384</v>
      </c>
    </row>
    <row r="130" spans="1:4">
      <c r="A130" s="4">
        <v>47453</v>
      </c>
      <c r="B130">
        <v>1.3635395734597153</v>
      </c>
      <c r="C130">
        <f t="shared" si="2"/>
        <v>1.0136353957345972</v>
      </c>
      <c r="D130">
        <f t="shared" si="3"/>
        <v>1.9393688597812899</v>
      </c>
    </row>
    <row r="131" spans="1:4">
      <c r="A131" s="4">
        <v>47484</v>
      </c>
      <c r="B131">
        <v>0.59039857819905206</v>
      </c>
      <c r="C131">
        <f t="shared" ref="C131:C154" si="4">1+B131/100</f>
        <v>1.0059039857819905</v>
      </c>
      <c r="D131">
        <f t="shared" si="3"/>
        <v>1.9508188659554737</v>
      </c>
    </row>
    <row r="132" spans="1:4">
      <c r="A132" s="4">
        <v>47515</v>
      </c>
      <c r="B132">
        <v>0.46388459715639807</v>
      </c>
      <c r="C132">
        <f t="shared" si="4"/>
        <v>1.0046388459715641</v>
      </c>
      <c r="D132">
        <f t="shared" ref="D132:D154" si="5">C132*D131</f>
        <v>1.9598684141930625</v>
      </c>
    </row>
    <row r="133" spans="1:4">
      <c r="A133" s="4">
        <v>47543</v>
      </c>
      <c r="B133">
        <v>0.70285545023696683</v>
      </c>
      <c r="C133">
        <f t="shared" si="4"/>
        <v>1.0070285545023696</v>
      </c>
      <c r="D133">
        <f t="shared" si="5"/>
        <v>1.9736434561596912</v>
      </c>
    </row>
    <row r="134" spans="1:4">
      <c r="A134" s="4">
        <v>47574</v>
      </c>
      <c r="B134">
        <v>0.78719810426540271</v>
      </c>
      <c r="C134">
        <f t="shared" si="4"/>
        <v>1.007871981042654</v>
      </c>
      <c r="D134">
        <f t="shared" si="5"/>
        <v>1.9891799400315382</v>
      </c>
    </row>
    <row r="135" spans="1:4">
      <c r="A135" s="4">
        <v>47604</v>
      </c>
      <c r="B135">
        <v>0.36548483412322269</v>
      </c>
      <c r="C135">
        <f t="shared" si="4"/>
        <v>1.0036548483412322</v>
      </c>
      <c r="D135">
        <f t="shared" si="5"/>
        <v>1.9964500910357748</v>
      </c>
    </row>
    <row r="136" spans="1:4">
      <c r="A136" s="4">
        <v>47635</v>
      </c>
      <c r="B136">
        <v>0.33737061611374403</v>
      </c>
      <c r="C136">
        <f t="shared" si="4"/>
        <v>1.0033737061611374</v>
      </c>
      <c r="D136">
        <f t="shared" si="5"/>
        <v>2.0031855270083057</v>
      </c>
    </row>
    <row r="137" spans="1:4">
      <c r="A137" s="4">
        <v>47665</v>
      </c>
      <c r="B137">
        <v>0.30925639810426536</v>
      </c>
      <c r="C137">
        <f t="shared" si="4"/>
        <v>1.0030925639810426</v>
      </c>
      <c r="D137">
        <f t="shared" si="5"/>
        <v>2.0093805064164774</v>
      </c>
    </row>
    <row r="138" spans="1:4">
      <c r="A138" s="4">
        <v>47696</v>
      </c>
      <c r="B138">
        <v>0.15462819905213268</v>
      </c>
      <c r="C138">
        <f t="shared" si="4"/>
        <v>1.0015462819905214</v>
      </c>
      <c r="D138">
        <f t="shared" si="5"/>
        <v>2.0124875753056539</v>
      </c>
    </row>
    <row r="139" spans="1:4">
      <c r="A139" s="4">
        <v>47727</v>
      </c>
      <c r="B139">
        <v>8.4342654028436007E-2</v>
      </c>
      <c r="C139">
        <f t="shared" si="4"/>
        <v>1.0008434265402844</v>
      </c>
      <c r="D139">
        <f t="shared" si="5"/>
        <v>2.014184960738659</v>
      </c>
    </row>
    <row r="140" spans="1:4">
      <c r="A140" s="4">
        <v>47757</v>
      </c>
      <c r="B140">
        <v>0.11245687203791468</v>
      </c>
      <c r="C140">
        <f t="shared" si="4"/>
        <v>1.0011245687203791</v>
      </c>
      <c r="D140">
        <f t="shared" si="5"/>
        <v>2.0164500501425637</v>
      </c>
    </row>
    <row r="141" spans="1:4">
      <c r="A141" s="4">
        <v>47788</v>
      </c>
      <c r="B141">
        <v>0.66295616113744049</v>
      </c>
      <c r="C141">
        <f t="shared" si="4"/>
        <v>1.0066295616113745</v>
      </c>
      <c r="D141">
        <f t="shared" si="5"/>
        <v>2.0298182299862431</v>
      </c>
    </row>
    <row r="142" spans="1:4">
      <c r="A142" s="4">
        <v>47818</v>
      </c>
      <c r="B142">
        <v>1.3682286729857818</v>
      </c>
      <c r="C142">
        <f t="shared" si="4"/>
        <v>1.0136822867298578</v>
      </c>
      <c r="D142">
        <f t="shared" si="5"/>
        <v>2.0575907850184074</v>
      </c>
    </row>
    <row r="143" spans="1:4">
      <c r="A143" s="4">
        <v>47849</v>
      </c>
      <c r="B143">
        <v>0.59242890995260655</v>
      </c>
      <c r="C143">
        <f t="shared" si="4"/>
        <v>1.0059242890995261</v>
      </c>
      <c r="D143">
        <f t="shared" si="5"/>
        <v>2.0697805476773774</v>
      </c>
    </row>
    <row r="144" spans="1:4">
      <c r="A144" s="4">
        <v>47880</v>
      </c>
      <c r="B144">
        <v>0.46547985781990514</v>
      </c>
      <c r="C144">
        <f t="shared" si="4"/>
        <v>1.0046547985781991</v>
      </c>
      <c r="D144">
        <f t="shared" si="5"/>
        <v>2.0794149592278903</v>
      </c>
    </row>
    <row r="145" spans="1:4">
      <c r="A145" s="4">
        <v>47908</v>
      </c>
      <c r="B145">
        <v>0.70527251184834117</v>
      </c>
      <c r="C145">
        <f t="shared" si="4"/>
        <v>1.0070527251184833</v>
      </c>
      <c r="D145">
        <f t="shared" si="5"/>
        <v>2.0940805013425869</v>
      </c>
    </row>
    <row r="146" spans="1:4">
      <c r="A146" s="4">
        <v>47939</v>
      </c>
      <c r="B146">
        <v>0.78990521327014207</v>
      </c>
      <c r="C146">
        <f t="shared" si="4"/>
        <v>1.0078990521327014</v>
      </c>
      <c r="D146">
        <f t="shared" si="5"/>
        <v>2.1106217523927655</v>
      </c>
    </row>
    <row r="147" spans="1:4">
      <c r="A147" s="4">
        <v>47969</v>
      </c>
      <c r="B147">
        <v>0.36674170616113738</v>
      </c>
      <c r="C147">
        <f t="shared" si="4"/>
        <v>1.0036674170616113</v>
      </c>
      <c r="D147">
        <f t="shared" si="5"/>
        <v>2.1183622826180986</v>
      </c>
    </row>
    <row r="148" spans="1:4">
      <c r="A148" s="4">
        <v>48000</v>
      </c>
      <c r="B148">
        <v>0.33853080568720373</v>
      </c>
      <c r="C148">
        <f t="shared" si="4"/>
        <v>1.003385308056872</v>
      </c>
      <c r="D148">
        <f t="shared" si="5"/>
        <v>2.1255335915208193</v>
      </c>
    </row>
    <row r="149" spans="1:4">
      <c r="A149" s="4">
        <v>48030</v>
      </c>
      <c r="B149">
        <v>0.31031990521327008</v>
      </c>
      <c r="C149">
        <f t="shared" si="4"/>
        <v>1.0031031990521326</v>
      </c>
      <c r="D149">
        <f t="shared" si="5"/>
        <v>2.1321295453473028</v>
      </c>
    </row>
    <row r="150" spans="1:4">
      <c r="A150" s="4">
        <v>48061</v>
      </c>
      <c r="B150">
        <v>0.15515995260663504</v>
      </c>
      <c r="C150">
        <f t="shared" si="4"/>
        <v>1.0015515995260664</v>
      </c>
      <c r="D150">
        <f t="shared" si="5"/>
        <v>2.1354377565393761</v>
      </c>
    </row>
    <row r="151" spans="1:4">
      <c r="A151" s="4">
        <v>48092</v>
      </c>
      <c r="B151">
        <v>8.4632701421800932E-2</v>
      </c>
      <c r="C151">
        <f t="shared" si="4"/>
        <v>1.0008463270142181</v>
      </c>
      <c r="D151">
        <f t="shared" si="5"/>
        <v>2.1372450351999164</v>
      </c>
    </row>
    <row r="152" spans="1:4">
      <c r="A152" s="4">
        <v>48122</v>
      </c>
      <c r="B152">
        <v>0.11315639810426539</v>
      </c>
      <c r="C152">
        <f t="shared" si="4"/>
        <v>1.0011315639810427</v>
      </c>
      <c r="D152">
        <f t="shared" si="5"/>
        <v>2.1396634647004111</v>
      </c>
    </row>
    <row r="153" spans="1:4">
      <c r="A153" s="4">
        <v>48153</v>
      </c>
      <c r="B153">
        <v>0.66479383886255905</v>
      </c>
      <c r="C153">
        <f t="shared" si="4"/>
        <v>1.0066479383886255</v>
      </c>
      <c r="D153">
        <f t="shared" si="5"/>
        <v>2.1538878155861325</v>
      </c>
    </row>
    <row r="154" spans="1:4">
      <c r="A154" s="4">
        <v>48183</v>
      </c>
      <c r="B154">
        <v>1.3720213270142179</v>
      </c>
      <c r="C154">
        <f t="shared" si="4"/>
        <v>1.0137202132701422</v>
      </c>
      <c r="D154">
        <f t="shared" si="5"/>
        <v>2.183439615775935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28DD6-9B8A-41FB-AC8C-CB8FD7A6993F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A2811-44C9-4C2C-9B69-31B5564B4120}">
  <dimension ref="A1:D301"/>
  <sheetViews>
    <sheetView workbookViewId="0">
      <selection sqref="A1:D1"/>
    </sheetView>
  </sheetViews>
  <sheetFormatPr defaultRowHeight="15"/>
  <cols>
    <col min="1" max="1" width="11.140625" customWidth="1"/>
    <col min="2" max="2" width="10.140625" customWidth="1"/>
    <col min="4" max="4" width="13" customWidth="1"/>
  </cols>
  <sheetData>
    <row r="1" spans="1:4">
      <c r="A1" t="s">
        <v>21</v>
      </c>
      <c r="B1" t="s">
        <v>150</v>
      </c>
      <c r="C1" t="s">
        <v>22</v>
      </c>
      <c r="D1" t="s">
        <v>149</v>
      </c>
    </row>
    <row r="2" spans="1:4">
      <c r="A2" s="4">
        <v>43739</v>
      </c>
      <c r="B2" s="5">
        <v>0.1</v>
      </c>
      <c r="C2">
        <f>1+B2/100</f>
        <v>1.0009999999999999</v>
      </c>
      <c r="D2">
        <v>1.0009999999999999</v>
      </c>
    </row>
    <row r="3" spans="1:4">
      <c r="A3" s="4">
        <v>43770</v>
      </c>
      <c r="B3" s="5">
        <v>0.51</v>
      </c>
      <c r="C3">
        <f t="shared" ref="C3:C66" si="0">1+B3/100</f>
        <v>1.0051000000000001</v>
      </c>
      <c r="D3">
        <f>C3*D2</f>
        <v>1.0061051000000001</v>
      </c>
    </row>
    <row r="4" spans="1:4">
      <c r="A4" s="4">
        <v>43800</v>
      </c>
      <c r="B4" s="5">
        <v>1.1499999999999999</v>
      </c>
      <c r="C4">
        <f t="shared" si="0"/>
        <v>1.0115000000000001</v>
      </c>
      <c r="D4">
        <f t="shared" ref="D4:D67" si="1">C4*D3</f>
        <v>1.0176753086500001</v>
      </c>
    </row>
    <row r="5" spans="1:4">
      <c r="A5" s="4">
        <v>43831</v>
      </c>
      <c r="B5" s="5">
        <v>0.21</v>
      </c>
      <c r="C5">
        <f t="shared" si="0"/>
        <v>1.0021</v>
      </c>
      <c r="D5">
        <f t="shared" si="1"/>
        <v>1.0198124267981652</v>
      </c>
    </row>
    <row r="6" spans="1:4">
      <c r="A6" s="4">
        <v>43862</v>
      </c>
      <c r="B6" s="5">
        <v>0.25</v>
      </c>
      <c r="C6">
        <f t="shared" si="0"/>
        <v>1.0024999999999999</v>
      </c>
      <c r="D6">
        <f t="shared" si="1"/>
        <v>1.0223619578651606</v>
      </c>
    </row>
    <row r="7" spans="1:4">
      <c r="A7" s="4">
        <v>43891</v>
      </c>
      <c r="B7" s="5">
        <v>7.0000000000000007E-2</v>
      </c>
      <c r="C7">
        <f t="shared" si="0"/>
        <v>1.0006999999999999</v>
      </c>
      <c r="D7">
        <f t="shared" si="1"/>
        <v>1.0230776112356661</v>
      </c>
    </row>
    <row r="8" spans="1:4">
      <c r="A8" s="4">
        <v>43922</v>
      </c>
      <c r="B8" s="5">
        <v>-0.31</v>
      </c>
      <c r="C8">
        <f t="shared" si="0"/>
        <v>0.99690000000000001</v>
      </c>
      <c r="D8">
        <f t="shared" si="1"/>
        <v>1.0199060706408356</v>
      </c>
    </row>
    <row r="9" spans="1:4">
      <c r="A9" s="4">
        <v>43952</v>
      </c>
      <c r="B9" s="5">
        <v>-0.38</v>
      </c>
      <c r="C9">
        <f t="shared" si="0"/>
        <v>0.99619999999999997</v>
      </c>
      <c r="D9">
        <f t="shared" si="1"/>
        <v>1.0160304275724004</v>
      </c>
    </row>
    <row r="10" spans="1:4">
      <c r="A10" s="4">
        <v>43983</v>
      </c>
      <c r="B10" s="5">
        <v>0.26</v>
      </c>
      <c r="C10">
        <f t="shared" si="0"/>
        <v>1.0025999999999999</v>
      </c>
      <c r="D10">
        <f t="shared" si="1"/>
        <v>1.0186721066840885</v>
      </c>
    </row>
    <row r="11" spans="1:4">
      <c r="A11" s="4">
        <v>44013</v>
      </c>
      <c r="B11" s="5">
        <v>0.36</v>
      </c>
      <c r="C11">
        <f t="shared" si="0"/>
        <v>1.0036</v>
      </c>
      <c r="D11">
        <f t="shared" si="1"/>
        <v>1.0223393262681513</v>
      </c>
    </row>
    <row r="12" spans="1:4">
      <c r="A12" s="4">
        <v>44044</v>
      </c>
      <c r="B12" s="5">
        <v>0.24</v>
      </c>
      <c r="C12">
        <f t="shared" si="0"/>
        <v>1.0024</v>
      </c>
      <c r="D12">
        <f t="shared" si="1"/>
        <v>1.0247929406511949</v>
      </c>
    </row>
    <row r="13" spans="1:4">
      <c r="A13" s="4">
        <v>44075</v>
      </c>
      <c r="B13" s="5">
        <v>0.64</v>
      </c>
      <c r="C13">
        <f t="shared" si="0"/>
        <v>1.0064</v>
      </c>
      <c r="D13">
        <f t="shared" si="1"/>
        <v>1.0313516154713624</v>
      </c>
    </row>
    <row r="14" spans="1:4">
      <c r="A14" s="4">
        <v>44105</v>
      </c>
      <c r="B14" s="5">
        <v>0.86</v>
      </c>
      <c r="C14">
        <f t="shared" si="0"/>
        <v>1.0085999999999999</v>
      </c>
      <c r="D14">
        <f t="shared" si="1"/>
        <v>1.0402212393644161</v>
      </c>
    </row>
    <row r="15" spans="1:4">
      <c r="A15" s="4">
        <v>44136</v>
      </c>
      <c r="B15" s="5">
        <v>0.89</v>
      </c>
      <c r="C15">
        <f t="shared" si="0"/>
        <v>1.0088999999999999</v>
      </c>
      <c r="D15">
        <f t="shared" si="1"/>
        <v>1.0494792083947593</v>
      </c>
    </row>
    <row r="16" spans="1:4">
      <c r="A16" s="4">
        <v>44166</v>
      </c>
      <c r="B16" s="5">
        <v>1.35</v>
      </c>
      <c r="C16">
        <f t="shared" si="0"/>
        <v>1.0135000000000001</v>
      </c>
      <c r="D16">
        <f t="shared" si="1"/>
        <v>1.0636471777080887</v>
      </c>
    </row>
    <row r="17" spans="1:4">
      <c r="A17" s="4">
        <v>44197</v>
      </c>
      <c r="B17" s="5">
        <v>0.25</v>
      </c>
      <c r="C17">
        <f t="shared" si="0"/>
        <v>1.0024999999999999</v>
      </c>
      <c r="D17">
        <f t="shared" si="1"/>
        <v>1.0663062956523588</v>
      </c>
    </row>
    <row r="18" spans="1:4">
      <c r="A18" s="4">
        <v>44228</v>
      </c>
      <c r="B18" s="5">
        <v>0.86</v>
      </c>
      <c r="C18">
        <f t="shared" si="0"/>
        <v>1.0085999999999999</v>
      </c>
      <c r="D18">
        <f t="shared" si="1"/>
        <v>1.0754765297949691</v>
      </c>
    </row>
    <row r="19" spans="1:4">
      <c r="A19" s="4">
        <v>44256</v>
      </c>
      <c r="B19" s="5">
        <v>0.93</v>
      </c>
      <c r="C19">
        <f t="shared" si="0"/>
        <v>1.0093000000000001</v>
      </c>
      <c r="D19">
        <f t="shared" si="1"/>
        <v>1.0854784615220625</v>
      </c>
    </row>
    <row r="20" spans="1:4">
      <c r="A20" s="4">
        <v>44287</v>
      </c>
      <c r="B20" s="5">
        <v>0.31</v>
      </c>
      <c r="C20">
        <f t="shared" si="0"/>
        <v>1.0031000000000001</v>
      </c>
      <c r="D20">
        <f t="shared" si="1"/>
        <v>1.0888434447527811</v>
      </c>
    </row>
    <row r="21" spans="1:4">
      <c r="A21" s="4">
        <v>44317</v>
      </c>
      <c r="B21" s="5">
        <v>0.83</v>
      </c>
      <c r="C21">
        <f t="shared" si="0"/>
        <v>1.0083</v>
      </c>
      <c r="D21">
        <f t="shared" si="1"/>
        <v>1.097880845344229</v>
      </c>
    </row>
    <row r="22" spans="1:4">
      <c r="A22" s="4">
        <v>44348</v>
      </c>
      <c r="B22" s="5">
        <v>0.53</v>
      </c>
      <c r="C22">
        <f t="shared" si="0"/>
        <v>1.0053000000000001</v>
      </c>
      <c r="D22">
        <f t="shared" si="1"/>
        <v>1.1036996138245536</v>
      </c>
    </row>
    <row r="23" spans="1:4">
      <c r="A23" s="4">
        <v>44378</v>
      </c>
      <c r="B23" s="5">
        <v>0.96</v>
      </c>
      <c r="C23">
        <f t="shared" si="0"/>
        <v>1.0096000000000001</v>
      </c>
      <c r="D23">
        <f t="shared" si="1"/>
        <v>1.1142951301172694</v>
      </c>
    </row>
    <row r="24" spans="1:4">
      <c r="A24" s="4">
        <v>44409</v>
      </c>
      <c r="B24" s="5">
        <v>0.87</v>
      </c>
      <c r="C24">
        <f t="shared" si="0"/>
        <v>1.0086999999999999</v>
      </c>
      <c r="D24">
        <f t="shared" si="1"/>
        <v>1.1239894977492897</v>
      </c>
    </row>
    <row r="25" spans="1:4">
      <c r="A25" s="4">
        <v>44440</v>
      </c>
      <c r="B25" s="5">
        <v>1.1599999999999999</v>
      </c>
      <c r="C25">
        <f t="shared" si="0"/>
        <v>1.0116000000000001</v>
      </c>
      <c r="D25">
        <f t="shared" si="1"/>
        <v>1.1370277759231815</v>
      </c>
    </row>
    <row r="26" spans="1:4">
      <c r="A26" s="4">
        <v>44470</v>
      </c>
      <c r="B26" s="5">
        <v>1.25</v>
      </c>
      <c r="C26">
        <f t="shared" si="0"/>
        <v>1.0125</v>
      </c>
      <c r="D26">
        <f t="shared" si="1"/>
        <v>1.1512406231222212</v>
      </c>
    </row>
    <row r="27" spans="1:4">
      <c r="A27" s="4">
        <v>44501</v>
      </c>
      <c r="B27" s="5">
        <v>0.95</v>
      </c>
      <c r="C27">
        <f t="shared" si="0"/>
        <v>1.0095000000000001</v>
      </c>
      <c r="D27">
        <f t="shared" si="1"/>
        <v>1.1621774090418824</v>
      </c>
    </row>
    <row r="28" spans="1:4">
      <c r="A28" s="4">
        <v>44531</v>
      </c>
      <c r="B28" s="5">
        <v>0.73</v>
      </c>
      <c r="C28">
        <f t="shared" si="0"/>
        <v>1.0073000000000001</v>
      </c>
      <c r="D28">
        <f t="shared" si="1"/>
        <v>1.1706613041278882</v>
      </c>
    </row>
    <row r="29" spans="1:4">
      <c r="A29" s="4">
        <v>44562</v>
      </c>
      <c r="B29" s="5">
        <v>0.54</v>
      </c>
      <c r="C29">
        <f t="shared" si="0"/>
        <v>1.0054000000000001</v>
      </c>
      <c r="D29">
        <f t="shared" si="1"/>
        <v>1.1769828751701787</v>
      </c>
    </row>
    <row r="30" spans="1:4">
      <c r="A30" s="4">
        <v>44593</v>
      </c>
      <c r="B30" s="5">
        <v>1.01</v>
      </c>
      <c r="C30">
        <f t="shared" si="0"/>
        <v>1.0101</v>
      </c>
      <c r="D30">
        <f t="shared" si="1"/>
        <v>1.1888704022093974</v>
      </c>
    </row>
    <row r="31" spans="1:4">
      <c r="A31" s="4">
        <v>44621</v>
      </c>
      <c r="B31" s="5">
        <v>1.62</v>
      </c>
      <c r="C31">
        <f t="shared" si="0"/>
        <v>1.0162</v>
      </c>
      <c r="D31">
        <f t="shared" si="1"/>
        <v>1.2081301027251896</v>
      </c>
    </row>
    <row r="32" spans="1:4">
      <c r="A32" s="4">
        <v>44652</v>
      </c>
      <c r="B32" s="5">
        <v>1.06</v>
      </c>
      <c r="C32">
        <f t="shared" si="0"/>
        <v>1.0105999999999999</v>
      </c>
      <c r="D32">
        <f t="shared" si="1"/>
        <v>1.2209362818140765</v>
      </c>
    </row>
    <row r="33" spans="1:4">
      <c r="A33" s="4">
        <v>44682</v>
      </c>
      <c r="B33" s="5">
        <v>0.47</v>
      </c>
      <c r="C33">
        <f t="shared" si="0"/>
        <v>1.0046999999999999</v>
      </c>
      <c r="D33">
        <f t="shared" si="1"/>
        <v>1.2266746823386026</v>
      </c>
    </row>
    <row r="34" spans="1:4">
      <c r="A34" s="4">
        <v>44713</v>
      </c>
      <c r="B34" s="5">
        <v>0.67</v>
      </c>
      <c r="C34">
        <f t="shared" si="0"/>
        <v>1.0066999999999999</v>
      </c>
      <c r="D34">
        <f t="shared" si="1"/>
        <v>1.2348934027102711</v>
      </c>
    </row>
    <row r="35" spans="1:4">
      <c r="A35" s="4">
        <v>44743</v>
      </c>
      <c r="B35" s="5">
        <v>-0.68</v>
      </c>
      <c r="C35">
        <f t="shared" si="0"/>
        <v>0.99319999999999997</v>
      </c>
      <c r="D35">
        <f t="shared" si="1"/>
        <v>1.2264961275718413</v>
      </c>
    </row>
    <row r="36" spans="1:4">
      <c r="A36" s="4">
        <v>44774</v>
      </c>
      <c r="B36" s="5">
        <v>-0.36</v>
      </c>
      <c r="C36">
        <f t="shared" si="0"/>
        <v>0.99639999999999995</v>
      </c>
      <c r="D36">
        <f t="shared" si="1"/>
        <v>1.2220807415125827</v>
      </c>
    </row>
    <row r="37" spans="1:4">
      <c r="A37" s="4">
        <v>44805</v>
      </c>
      <c r="B37" s="5">
        <v>-0.28999999999999998</v>
      </c>
      <c r="C37">
        <f t="shared" si="0"/>
        <v>0.99709999999999999</v>
      </c>
      <c r="D37">
        <f t="shared" si="1"/>
        <v>1.2185367073621962</v>
      </c>
    </row>
    <row r="38" spans="1:4">
      <c r="A38" s="4">
        <v>44835</v>
      </c>
      <c r="B38">
        <v>0.33</v>
      </c>
      <c r="C38">
        <f t="shared" si="0"/>
        <v>1.0033000000000001</v>
      </c>
      <c r="D38">
        <f t="shared" si="1"/>
        <v>1.2225578784964917</v>
      </c>
    </row>
    <row r="39" spans="1:4">
      <c r="A39" s="4">
        <v>44866</v>
      </c>
      <c r="B39">
        <v>0.94638500140897963</v>
      </c>
      <c r="C39">
        <f t="shared" si="0"/>
        <v>1.0094638500140898</v>
      </c>
      <c r="D39">
        <f t="shared" si="1"/>
        <v>1.2341279828921263</v>
      </c>
    </row>
    <row r="40" spans="1:4">
      <c r="A40" s="4">
        <v>44896</v>
      </c>
      <c r="B40">
        <v>1.9531775560993834</v>
      </c>
      <c r="C40">
        <f t="shared" si="0"/>
        <v>1.0195317755609938</v>
      </c>
      <c r="D40">
        <f t="shared" si="1"/>
        <v>1.2582326936675174</v>
      </c>
    </row>
    <row r="41" spans="1:4">
      <c r="A41" s="4">
        <v>44927</v>
      </c>
      <c r="B41">
        <v>0.84570574593993919</v>
      </c>
      <c r="C41">
        <f t="shared" si="0"/>
        <v>1.0084570574593994</v>
      </c>
      <c r="D41">
        <f t="shared" si="1"/>
        <v>1.2688736398551586</v>
      </c>
    </row>
    <row r="42" spans="1:4">
      <c r="A42" s="4">
        <v>44958</v>
      </c>
      <c r="B42">
        <v>0.66448308609566664</v>
      </c>
      <c r="C42">
        <f t="shared" si="0"/>
        <v>1.0066448308609566</v>
      </c>
      <c r="D42">
        <f t="shared" si="1"/>
        <v>1.2773050905759225</v>
      </c>
    </row>
    <row r="43" spans="1:4">
      <c r="A43" s="4">
        <v>44986</v>
      </c>
      <c r="B43">
        <v>1.006792554690404</v>
      </c>
      <c r="C43">
        <f t="shared" si="0"/>
        <v>1.0100679255469041</v>
      </c>
      <c r="D43">
        <f t="shared" si="1"/>
        <v>1.2901649031285223</v>
      </c>
    </row>
    <row r="44" spans="1:4">
      <c r="A44" s="4">
        <v>45017</v>
      </c>
      <c r="B44">
        <v>1.1276076612532524</v>
      </c>
      <c r="C44">
        <f t="shared" si="0"/>
        <v>1.0112760766125326</v>
      </c>
      <c r="D44">
        <f t="shared" si="1"/>
        <v>1.3047129014190002</v>
      </c>
    </row>
    <row r="45" spans="1:4">
      <c r="A45" s="4">
        <v>45047</v>
      </c>
      <c r="B45">
        <v>0.41494999999999999</v>
      </c>
      <c r="C45">
        <f t="shared" si="0"/>
        <v>1.0041495</v>
      </c>
      <c r="D45">
        <f t="shared" si="1"/>
        <v>1.3101268076034385</v>
      </c>
    </row>
    <row r="46" spans="1:4">
      <c r="A46" s="4">
        <v>45078</v>
      </c>
      <c r="B46">
        <v>0.38303300000000001</v>
      </c>
      <c r="C46">
        <f t="shared" si="0"/>
        <v>1.00383033</v>
      </c>
      <c r="D46">
        <f t="shared" si="1"/>
        <v>1.3151450256184061</v>
      </c>
    </row>
    <row r="47" spans="1:4">
      <c r="A47" s="4">
        <v>45108</v>
      </c>
      <c r="B47">
        <v>0.35111999999999999</v>
      </c>
      <c r="C47">
        <f t="shared" si="0"/>
        <v>1.0035111999999999</v>
      </c>
      <c r="D47">
        <f t="shared" si="1"/>
        <v>1.3197627628323574</v>
      </c>
    </row>
    <row r="48" spans="1:4">
      <c r="A48" s="4">
        <v>45139</v>
      </c>
      <c r="B48">
        <v>0.17555687203791467</v>
      </c>
      <c r="C48">
        <f t="shared" si="0"/>
        <v>1.0017555687203792</v>
      </c>
      <c r="D48">
        <f t="shared" si="1"/>
        <v>1.3220796970571072</v>
      </c>
    </row>
    <row r="49" spans="1:4">
      <c r="A49" s="4">
        <v>45170</v>
      </c>
      <c r="B49">
        <v>9.5758293838862543E-2</v>
      </c>
      <c r="C49">
        <f t="shared" si="0"/>
        <v>1.0009575829383885</v>
      </c>
      <c r="D49">
        <f t="shared" si="1"/>
        <v>1.323345698018199</v>
      </c>
    </row>
    <row r="50" spans="1:4">
      <c r="A50" s="4">
        <v>45200</v>
      </c>
      <c r="B50">
        <v>0.12767772511848341</v>
      </c>
      <c r="C50">
        <f t="shared" si="0"/>
        <v>1.0012767772511848</v>
      </c>
      <c r="D50">
        <f t="shared" si="1"/>
        <v>1.3250353157008818</v>
      </c>
    </row>
    <row r="51" spans="1:4">
      <c r="A51" s="4">
        <v>45231</v>
      </c>
      <c r="B51">
        <v>0.66754478672985762</v>
      </c>
      <c r="C51">
        <f t="shared" si="0"/>
        <v>1.0066754478672986</v>
      </c>
      <c r="D51">
        <f t="shared" si="1"/>
        <v>1.3338805198731727</v>
      </c>
    </row>
    <row r="52" spans="1:4">
      <c r="A52" s="4">
        <v>45261</v>
      </c>
      <c r="B52">
        <v>1.3776988151658764</v>
      </c>
      <c r="C52">
        <f t="shared" si="0"/>
        <v>1.0137769881516587</v>
      </c>
      <c r="D52">
        <f t="shared" si="1"/>
        <v>1.3522573759911938</v>
      </c>
    </row>
    <row r="53" spans="1:4">
      <c r="A53" s="4">
        <v>45292</v>
      </c>
      <c r="B53">
        <v>0.59652938388625576</v>
      </c>
      <c r="C53">
        <f t="shared" si="0"/>
        <v>1.0059652938388626</v>
      </c>
      <c r="D53">
        <f t="shared" si="1"/>
        <v>1.3603239885847505</v>
      </c>
    </row>
    <row r="54" spans="1:4">
      <c r="A54" s="4">
        <v>45323</v>
      </c>
      <c r="B54">
        <v>0.46870165876777242</v>
      </c>
      <c r="C54">
        <f t="shared" si="0"/>
        <v>1.0046870165876778</v>
      </c>
      <c r="D54">
        <f t="shared" si="1"/>
        <v>1.3666998496838632</v>
      </c>
    </row>
    <row r="55" spans="1:4">
      <c r="A55" s="4">
        <v>45352</v>
      </c>
      <c r="B55">
        <v>0.71015402843601882</v>
      </c>
      <c r="C55">
        <f t="shared" si="0"/>
        <v>1.0071015402843602</v>
      </c>
      <c r="D55">
        <f t="shared" si="1"/>
        <v>1.3764055237230222</v>
      </c>
    </row>
    <row r="56" spans="1:4">
      <c r="A56" s="4">
        <v>45383</v>
      </c>
      <c r="B56">
        <v>0.79537251184834112</v>
      </c>
      <c r="C56">
        <f t="shared" si="0"/>
        <v>1.0079537251184834</v>
      </c>
      <c r="D56">
        <f t="shared" si="1"/>
        <v>1.3873530749102772</v>
      </c>
    </row>
    <row r="57" spans="1:4">
      <c r="A57" s="4">
        <v>45413</v>
      </c>
      <c r="B57">
        <v>0.3692800947867298</v>
      </c>
      <c r="C57">
        <f t="shared" si="0"/>
        <v>1.0036928009478674</v>
      </c>
      <c r="D57">
        <f t="shared" si="1"/>
        <v>1.3924762936603325</v>
      </c>
    </row>
    <row r="58" spans="1:4">
      <c r="A58" s="4">
        <v>45444</v>
      </c>
      <c r="B58">
        <v>0.34087393364928903</v>
      </c>
      <c r="C58">
        <f t="shared" si="0"/>
        <v>1.003408739336493</v>
      </c>
      <c r="D58">
        <f t="shared" si="1"/>
        <v>1.3972228823776665</v>
      </c>
    </row>
    <row r="59" spans="1:4">
      <c r="A59" s="4">
        <v>45474</v>
      </c>
      <c r="B59">
        <v>0.31246777251184826</v>
      </c>
      <c r="C59">
        <f t="shared" si="0"/>
        <v>1.0031246777251184</v>
      </c>
      <c r="D59">
        <f t="shared" si="1"/>
        <v>1.4015887535952576</v>
      </c>
    </row>
    <row r="60" spans="1:4">
      <c r="A60" s="4">
        <v>45505</v>
      </c>
      <c r="B60">
        <v>0.15623388625592413</v>
      </c>
      <c r="C60">
        <f t="shared" si="0"/>
        <v>1.0015623388625592</v>
      </c>
      <c r="D60">
        <f t="shared" si="1"/>
        <v>1.4037785101743254</v>
      </c>
    </row>
    <row r="61" spans="1:4">
      <c r="A61" s="4">
        <v>45536</v>
      </c>
      <c r="B61">
        <v>8.5218483412322257E-2</v>
      </c>
      <c r="C61">
        <f t="shared" si="0"/>
        <v>1.0008521848341232</v>
      </c>
      <c r="D61">
        <f t="shared" si="1"/>
        <v>1.4049747889311641</v>
      </c>
    </row>
    <row r="62" spans="1:4">
      <c r="A62" s="4">
        <v>45566</v>
      </c>
      <c r="B62">
        <v>0.11362464454976301</v>
      </c>
      <c r="C62">
        <f t="shared" si="0"/>
        <v>1.0011362464454976</v>
      </c>
      <c r="D62">
        <f t="shared" si="1"/>
        <v>1.4065711865411008</v>
      </c>
    </row>
    <row r="63" spans="1:4">
      <c r="A63" s="4">
        <v>45597</v>
      </c>
      <c r="B63">
        <v>0.64748625592417042</v>
      </c>
      <c r="C63">
        <f t="shared" si="0"/>
        <v>1.0064748625592417</v>
      </c>
      <c r="D63">
        <f t="shared" si="1"/>
        <v>1.4156785416537438</v>
      </c>
    </row>
    <row r="64" spans="1:4">
      <c r="A64" s="4">
        <v>45627</v>
      </c>
      <c r="B64">
        <v>1.3363014218009477</v>
      </c>
      <c r="C64">
        <f t="shared" si="0"/>
        <v>1.0133630142180095</v>
      </c>
      <c r="D64">
        <f t="shared" si="1"/>
        <v>1.4345962741339937</v>
      </c>
    </row>
    <row r="65" spans="1:4">
      <c r="A65" s="4">
        <v>45658</v>
      </c>
      <c r="B65">
        <v>0.57860473933649281</v>
      </c>
      <c r="C65">
        <f t="shared" si="0"/>
        <v>1.0057860473933649</v>
      </c>
      <c r="D65">
        <f t="shared" si="1"/>
        <v>1.4428969161664777</v>
      </c>
    </row>
    <row r="66" spans="1:4">
      <c r="A66" s="4">
        <v>45689</v>
      </c>
      <c r="B66">
        <v>0.45461800947867292</v>
      </c>
      <c r="C66">
        <f t="shared" si="0"/>
        <v>1.0045461800947868</v>
      </c>
      <c r="D66">
        <f t="shared" si="1"/>
        <v>1.449456585405583</v>
      </c>
    </row>
    <row r="67" spans="1:4">
      <c r="A67" s="4">
        <v>45717</v>
      </c>
      <c r="B67">
        <v>0.68881516587677716</v>
      </c>
      <c r="C67">
        <f t="shared" ref="C67:C130" si="2">1+B67/100</f>
        <v>1.0068881516587678</v>
      </c>
      <c r="D67">
        <f t="shared" si="1"/>
        <v>1.4594406621886562</v>
      </c>
    </row>
    <row r="68" spans="1:4">
      <c r="A68" s="4">
        <v>45748</v>
      </c>
      <c r="B68">
        <v>0.77147298578199042</v>
      </c>
      <c r="C68">
        <f t="shared" si="2"/>
        <v>1.00771472985782</v>
      </c>
      <c r="D68">
        <f t="shared" ref="D68:D131" si="3">C68*D67</f>
        <v>1.4706998526409596</v>
      </c>
    </row>
    <row r="69" spans="1:4">
      <c r="A69" s="4">
        <v>45778</v>
      </c>
      <c r="B69">
        <v>0.35818388625592412</v>
      </c>
      <c r="C69">
        <f t="shared" si="2"/>
        <v>1.0035818388625593</v>
      </c>
      <c r="D69">
        <f t="shared" si="3"/>
        <v>1.4759676625283091</v>
      </c>
    </row>
    <row r="70" spans="1:4">
      <c r="A70" s="4">
        <v>45809</v>
      </c>
      <c r="B70">
        <v>0.33063127962085304</v>
      </c>
      <c r="C70">
        <f t="shared" si="2"/>
        <v>1.0033063127962085</v>
      </c>
      <c r="D70">
        <f t="shared" si="3"/>
        <v>1.4808476732977165</v>
      </c>
    </row>
    <row r="71" spans="1:4">
      <c r="A71" s="4">
        <v>45839</v>
      </c>
      <c r="B71">
        <v>0.30307867298578195</v>
      </c>
      <c r="C71">
        <f t="shared" si="2"/>
        <v>1.0030307867298578</v>
      </c>
      <c r="D71">
        <f t="shared" si="3"/>
        <v>1.4853358067748881</v>
      </c>
    </row>
    <row r="72" spans="1:4">
      <c r="A72" s="4">
        <v>45870</v>
      </c>
      <c r="B72">
        <v>0.15153933649289097</v>
      </c>
      <c r="C72">
        <f t="shared" si="2"/>
        <v>1.001515393364929</v>
      </c>
      <c r="D72">
        <f t="shared" si="3"/>
        <v>1.4875866748011661</v>
      </c>
    </row>
    <row r="73" spans="1:4">
      <c r="A73" s="4">
        <v>45901</v>
      </c>
      <c r="B73">
        <v>8.2657819905213259E-2</v>
      </c>
      <c r="C73">
        <f t="shared" si="2"/>
        <v>1.0008265781990522</v>
      </c>
      <c r="D73">
        <f t="shared" si="3"/>
        <v>1.4888162815157573</v>
      </c>
    </row>
    <row r="74" spans="1:4">
      <c r="A74" s="4">
        <v>45931</v>
      </c>
      <c r="B74">
        <v>0.11021042654028435</v>
      </c>
      <c r="C74">
        <f t="shared" si="2"/>
        <v>1.0011021042654029</v>
      </c>
      <c r="D74">
        <f t="shared" si="3"/>
        <v>1.4904571122900172</v>
      </c>
    </row>
    <row r="75" spans="1:4">
      <c r="A75" s="4">
        <v>45962</v>
      </c>
      <c r="B75">
        <v>0.64681800947867285</v>
      </c>
      <c r="C75">
        <f t="shared" si="2"/>
        <v>1.0064681800947868</v>
      </c>
      <c r="D75">
        <f t="shared" si="3"/>
        <v>1.5000976573158649</v>
      </c>
    </row>
    <row r="76" spans="1:4">
      <c r="A76" s="4">
        <v>45992</v>
      </c>
      <c r="B76">
        <v>1.3349222748815164</v>
      </c>
      <c r="C76">
        <f t="shared" si="2"/>
        <v>1.0133492227488152</v>
      </c>
      <c r="D76">
        <f t="shared" si="3"/>
        <v>1.5201227950883502</v>
      </c>
    </row>
    <row r="77" spans="1:4">
      <c r="A77" s="4">
        <v>46023</v>
      </c>
      <c r="B77">
        <v>0.5780075829383885</v>
      </c>
      <c r="C77">
        <f t="shared" si="2"/>
        <v>1.0057800758293838</v>
      </c>
      <c r="D77">
        <f t="shared" si="3"/>
        <v>1.5289092201139358</v>
      </c>
    </row>
    <row r="78" spans="1:4">
      <c r="A78" s="4">
        <v>46054</v>
      </c>
      <c r="B78">
        <v>0.45414881516587668</v>
      </c>
      <c r="C78">
        <f t="shared" si="2"/>
        <v>1.0045414881516588</v>
      </c>
      <c r="D78">
        <f t="shared" si="3"/>
        <v>1.535852743222045</v>
      </c>
    </row>
    <row r="79" spans="1:4">
      <c r="A79" s="4">
        <v>46082</v>
      </c>
      <c r="B79">
        <v>0.68810426540284353</v>
      </c>
      <c r="C79">
        <f t="shared" si="2"/>
        <v>1.0068810426540284</v>
      </c>
      <c r="D79">
        <f t="shared" si="3"/>
        <v>1.5464210114584624</v>
      </c>
    </row>
    <row r="80" spans="1:4">
      <c r="A80" s="4">
        <v>46113</v>
      </c>
      <c r="B80">
        <v>0.77067677725118466</v>
      </c>
      <c r="C80">
        <f t="shared" si="2"/>
        <v>1.0077067677725118</v>
      </c>
      <c r="D80">
        <f t="shared" si="3"/>
        <v>1.5583389190723056</v>
      </c>
    </row>
    <row r="81" spans="1:4">
      <c r="A81" s="4">
        <v>46143</v>
      </c>
      <c r="B81">
        <v>0.3578142180094786</v>
      </c>
      <c r="C81">
        <f t="shared" si="2"/>
        <v>1.0035781421800949</v>
      </c>
      <c r="D81">
        <f t="shared" si="3"/>
        <v>1.5639148772895217</v>
      </c>
    </row>
    <row r="82" spans="1:4">
      <c r="A82" s="4">
        <v>46174</v>
      </c>
      <c r="B82">
        <v>0.33029004739336487</v>
      </c>
      <c r="C82">
        <f t="shared" si="2"/>
        <v>1.0033029004739336</v>
      </c>
      <c r="D82">
        <f t="shared" si="3"/>
        <v>1.5690803324789131</v>
      </c>
    </row>
    <row r="83" spans="1:4">
      <c r="A83" s="4">
        <v>46204</v>
      </c>
      <c r="B83">
        <v>0.30276587677725114</v>
      </c>
      <c r="C83">
        <f t="shared" si="2"/>
        <v>1.0030276587677724</v>
      </c>
      <c r="D83">
        <f t="shared" si="3"/>
        <v>1.5738309723048822</v>
      </c>
    </row>
    <row r="84" spans="1:4">
      <c r="A84" s="4">
        <v>46235</v>
      </c>
      <c r="B84">
        <v>0.15138293838862557</v>
      </c>
      <c r="C84">
        <f t="shared" si="2"/>
        <v>1.0015138293838863</v>
      </c>
      <c r="D84">
        <f t="shared" si="3"/>
        <v>1.5762134838760278</v>
      </c>
    </row>
    <row r="85" spans="1:4">
      <c r="A85" s="4">
        <v>46266</v>
      </c>
      <c r="B85">
        <v>8.2572511848341218E-2</v>
      </c>
      <c r="C85">
        <f t="shared" si="2"/>
        <v>1.0008257251184833</v>
      </c>
      <c r="D85">
        <f t="shared" si="3"/>
        <v>1.5775150029417564</v>
      </c>
    </row>
    <row r="86" spans="1:4">
      <c r="A86" s="4">
        <v>46296</v>
      </c>
      <c r="B86">
        <v>0.11009668246445496</v>
      </c>
      <c r="C86">
        <f t="shared" si="2"/>
        <v>1.0011009668246444</v>
      </c>
      <c r="D86">
        <f t="shared" si="3"/>
        <v>1.5792517946253741</v>
      </c>
    </row>
    <row r="87" spans="1:4">
      <c r="A87" s="4">
        <v>46327</v>
      </c>
      <c r="B87">
        <v>0.65048222748815143</v>
      </c>
      <c r="C87">
        <f t="shared" si="2"/>
        <v>1.0065048222748816</v>
      </c>
      <c r="D87">
        <f t="shared" si="3"/>
        <v>1.5895245468767001</v>
      </c>
    </row>
    <row r="88" spans="1:4">
      <c r="A88" s="4">
        <v>46357</v>
      </c>
      <c r="B88">
        <v>1.3424845971563977</v>
      </c>
      <c r="C88">
        <f t="shared" si="2"/>
        <v>1.013424845971564</v>
      </c>
      <c r="D88">
        <f t="shared" si="3"/>
        <v>1.6108636690865399</v>
      </c>
    </row>
    <row r="89" spans="1:4">
      <c r="A89" s="4">
        <v>46388</v>
      </c>
      <c r="B89">
        <v>0.5812819905213269</v>
      </c>
      <c r="C89">
        <f t="shared" si="2"/>
        <v>1.0058128199052132</v>
      </c>
      <c r="D89">
        <f t="shared" si="3"/>
        <v>1.6202273294867908</v>
      </c>
    </row>
    <row r="90" spans="1:4">
      <c r="A90" s="4">
        <v>46419</v>
      </c>
      <c r="B90">
        <v>0.45672156398104258</v>
      </c>
      <c r="C90">
        <f t="shared" si="2"/>
        <v>1.0045672156398104</v>
      </c>
      <c r="D90">
        <f t="shared" si="3"/>
        <v>1.6276272570860713</v>
      </c>
    </row>
    <row r="91" spans="1:4">
      <c r="A91" s="4">
        <v>46447</v>
      </c>
      <c r="B91">
        <v>0.69200236966824635</v>
      </c>
      <c r="C91">
        <f t="shared" si="2"/>
        <v>1.0069200236966824</v>
      </c>
      <c r="D91">
        <f t="shared" si="3"/>
        <v>1.6388904762744732</v>
      </c>
    </row>
    <row r="92" spans="1:4">
      <c r="A92" s="4">
        <v>46478</v>
      </c>
      <c r="B92">
        <v>0.77504265402843586</v>
      </c>
      <c r="C92">
        <f t="shared" si="2"/>
        <v>1.0077504265402843</v>
      </c>
      <c r="D92">
        <f t="shared" si="3"/>
        <v>1.6515925765184101</v>
      </c>
    </row>
    <row r="93" spans="1:4">
      <c r="A93" s="4">
        <v>46508</v>
      </c>
      <c r="B93">
        <v>0.35984123222748809</v>
      </c>
      <c r="C93">
        <f t="shared" si="2"/>
        <v>1.003598412322275</v>
      </c>
      <c r="D93">
        <f t="shared" si="3"/>
        <v>1.6575356875971319</v>
      </c>
    </row>
    <row r="94" spans="1:4">
      <c r="A94" s="4">
        <v>46539</v>
      </c>
      <c r="B94">
        <v>0.3321611374407582</v>
      </c>
      <c r="C94">
        <f t="shared" si="2"/>
        <v>1.0033216113744077</v>
      </c>
      <c r="D94">
        <f t="shared" si="3"/>
        <v>1.6630413769905412</v>
      </c>
    </row>
    <row r="95" spans="1:4">
      <c r="A95" s="4">
        <v>46569</v>
      </c>
      <c r="B95">
        <v>0.30448104265402837</v>
      </c>
      <c r="C95">
        <f t="shared" si="2"/>
        <v>1.0030448104265404</v>
      </c>
      <c r="D95">
        <f t="shared" si="3"/>
        <v>1.6681050227149701</v>
      </c>
    </row>
    <row r="96" spans="1:4">
      <c r="A96" s="4">
        <v>46600</v>
      </c>
      <c r="B96">
        <v>0.15224052132701418</v>
      </c>
      <c r="C96">
        <f t="shared" si="2"/>
        <v>1.0015224052132701</v>
      </c>
      <c r="D96">
        <f t="shared" si="3"/>
        <v>1.6706445544978334</v>
      </c>
    </row>
    <row r="97" spans="1:4">
      <c r="A97" s="4">
        <v>46631</v>
      </c>
      <c r="B97">
        <v>8.3040284360189551E-2</v>
      </c>
      <c r="C97">
        <f t="shared" si="2"/>
        <v>1.0008304028436019</v>
      </c>
      <c r="D97">
        <f t="shared" si="3"/>
        <v>1.6720318624865365</v>
      </c>
    </row>
    <row r="98" spans="1:4">
      <c r="A98" s="4">
        <v>46661</v>
      </c>
      <c r="B98">
        <v>0.11072037914691941</v>
      </c>
      <c r="C98">
        <f t="shared" si="2"/>
        <v>1.0011072037914692</v>
      </c>
      <c r="D98">
        <f t="shared" si="3"/>
        <v>1.6738831425041389</v>
      </c>
    </row>
    <row r="99" spans="1:4">
      <c r="A99" s="4">
        <v>46692</v>
      </c>
      <c r="B99">
        <v>0.65446943127962065</v>
      </c>
      <c r="C99">
        <f t="shared" si="2"/>
        <v>1.0065446943127963</v>
      </c>
      <c r="D99">
        <f t="shared" si="3"/>
        <v>1.6848381959871712</v>
      </c>
    </row>
    <row r="100" spans="1:4">
      <c r="A100" s="4">
        <v>46722</v>
      </c>
      <c r="B100">
        <v>1.3507135071090044</v>
      </c>
      <c r="C100">
        <f t="shared" si="2"/>
        <v>1.01350713507109</v>
      </c>
      <c r="D100">
        <f t="shared" si="3"/>
        <v>1.7075955330733017</v>
      </c>
    </row>
    <row r="101" spans="1:4">
      <c r="A101" s="4">
        <v>46753</v>
      </c>
      <c r="B101">
        <v>0.58484502369668234</v>
      </c>
      <c r="C101">
        <f t="shared" si="2"/>
        <v>1.0058484502369669</v>
      </c>
      <c r="D101">
        <f t="shared" si="3"/>
        <v>1.7175823205733478</v>
      </c>
    </row>
    <row r="102" spans="1:4">
      <c r="A102" s="4">
        <v>46784</v>
      </c>
      <c r="B102">
        <v>0.45952109004739328</v>
      </c>
      <c r="C102">
        <f t="shared" si="2"/>
        <v>1.0045952109004739</v>
      </c>
      <c r="D102">
        <f t="shared" si="3"/>
        <v>1.7254749735753077</v>
      </c>
    </row>
    <row r="103" spans="1:4">
      <c r="A103" s="4">
        <v>46813</v>
      </c>
      <c r="B103">
        <v>0.69624407582938375</v>
      </c>
      <c r="C103">
        <f t="shared" si="2"/>
        <v>1.0069624407582938</v>
      </c>
      <c r="D103">
        <f t="shared" si="3"/>
        <v>1.7374884908587442</v>
      </c>
    </row>
    <row r="104" spans="1:4">
      <c r="A104" s="4">
        <v>46844</v>
      </c>
      <c r="B104">
        <v>0.77979336492890983</v>
      </c>
      <c r="C104">
        <f t="shared" si="2"/>
        <v>1.007797933649289</v>
      </c>
      <c r="D104">
        <f t="shared" si="3"/>
        <v>1.751037310826864</v>
      </c>
    </row>
    <row r="105" spans="1:4">
      <c r="A105" s="4">
        <v>46874</v>
      </c>
      <c r="B105">
        <v>0.36204691943127953</v>
      </c>
      <c r="C105">
        <f t="shared" si="2"/>
        <v>1.0036204691943127</v>
      </c>
      <c r="D105">
        <f t="shared" si="3"/>
        <v>1.7573768874688047</v>
      </c>
    </row>
    <row r="106" spans="1:4">
      <c r="A106" s="4">
        <v>46905</v>
      </c>
      <c r="B106">
        <v>0.33419715639810421</v>
      </c>
      <c r="C106">
        <f t="shared" si="2"/>
        <v>1.0033419715639811</v>
      </c>
      <c r="D106">
        <f t="shared" si="3"/>
        <v>1.763249991053923</v>
      </c>
    </row>
    <row r="107" spans="1:4">
      <c r="A107" s="4">
        <v>46935</v>
      </c>
      <c r="B107">
        <v>0.30634739336492883</v>
      </c>
      <c r="C107">
        <f t="shared" si="2"/>
        <v>1.0030634739336493</v>
      </c>
      <c r="D107">
        <f t="shared" si="3"/>
        <v>1.7686516614400241</v>
      </c>
    </row>
    <row r="108" spans="1:4">
      <c r="A108" s="4">
        <v>46966</v>
      </c>
      <c r="B108">
        <v>0.15317369668246442</v>
      </c>
      <c r="C108">
        <f t="shared" si="2"/>
        <v>1.0015317369668246</v>
      </c>
      <c r="D108">
        <f t="shared" si="3"/>
        <v>1.7713607705712875</v>
      </c>
    </row>
    <row r="109" spans="1:4">
      <c r="A109" s="4">
        <v>46997</v>
      </c>
      <c r="B109">
        <v>8.3549289099526053E-2</v>
      </c>
      <c r="C109">
        <f t="shared" si="2"/>
        <v>1.0008354928909953</v>
      </c>
      <c r="D109">
        <f t="shared" si="3"/>
        <v>1.7728407299024878</v>
      </c>
    </row>
    <row r="110" spans="1:4">
      <c r="A110" s="4">
        <v>47027</v>
      </c>
      <c r="B110">
        <v>0.1113990521327014</v>
      </c>
      <c r="C110">
        <f t="shared" si="2"/>
        <v>1.0011139905213271</v>
      </c>
      <c r="D110">
        <f t="shared" si="3"/>
        <v>1.7748156576714218</v>
      </c>
    </row>
    <row r="111" spans="1:4">
      <c r="A111" s="4">
        <v>47058</v>
      </c>
      <c r="B111">
        <v>0.65791090047393341</v>
      </c>
      <c r="C111">
        <f t="shared" si="2"/>
        <v>1.0065791090047393</v>
      </c>
      <c r="D111">
        <f t="shared" si="3"/>
        <v>1.7864923633465601</v>
      </c>
    </row>
    <row r="112" spans="1:4">
      <c r="A112" s="4">
        <v>47088</v>
      </c>
      <c r="B112">
        <v>1.3578161137440754</v>
      </c>
      <c r="C112">
        <f t="shared" si="2"/>
        <v>1.0135781611374408</v>
      </c>
      <c r="D112">
        <f t="shared" si="3"/>
        <v>1.8107496445268871</v>
      </c>
    </row>
    <row r="113" spans="1:4">
      <c r="A113" s="4">
        <v>47119</v>
      </c>
      <c r="B113">
        <v>0.5879203791469193</v>
      </c>
      <c r="C113">
        <f t="shared" si="2"/>
        <v>1.0058792037914692</v>
      </c>
      <c r="D113">
        <f t="shared" si="3"/>
        <v>1.8213954107023911</v>
      </c>
    </row>
    <row r="114" spans="1:4">
      <c r="A114" s="4">
        <v>47150</v>
      </c>
      <c r="B114">
        <v>0.46193744075829374</v>
      </c>
      <c r="C114">
        <f t="shared" si="2"/>
        <v>1.0046193744075829</v>
      </c>
      <c r="D114">
        <f t="shared" si="3"/>
        <v>1.8298091180486786</v>
      </c>
    </row>
    <row r="115" spans="1:4">
      <c r="A115" s="4">
        <v>47178</v>
      </c>
      <c r="B115">
        <v>0.6999052132701421</v>
      </c>
      <c r="C115">
        <f t="shared" si="2"/>
        <v>1.0069990521327015</v>
      </c>
      <c r="D115">
        <f t="shared" si="3"/>
        <v>1.8426160474587938</v>
      </c>
    </row>
    <row r="116" spans="1:4">
      <c r="A116" s="4">
        <v>47209</v>
      </c>
      <c r="B116">
        <v>0.78389383886255903</v>
      </c>
      <c r="C116">
        <f t="shared" si="2"/>
        <v>1.0078389383886255</v>
      </c>
      <c r="D116">
        <f t="shared" si="3"/>
        <v>1.8570602011287158</v>
      </c>
    </row>
    <row r="117" spans="1:4">
      <c r="A117" s="4">
        <v>47239</v>
      </c>
      <c r="B117">
        <v>0.36395071090047387</v>
      </c>
      <c r="C117">
        <f t="shared" si="2"/>
        <v>1.0036395071090047</v>
      </c>
      <c r="D117">
        <f t="shared" si="3"/>
        <v>1.8638189849325735</v>
      </c>
    </row>
    <row r="118" spans="1:4">
      <c r="A118" s="4">
        <v>47270</v>
      </c>
      <c r="B118">
        <v>0.33595450236966817</v>
      </c>
      <c r="C118">
        <f t="shared" si="2"/>
        <v>1.0033595450236967</v>
      </c>
      <c r="D118">
        <f t="shared" si="3"/>
        <v>1.8700805687284752</v>
      </c>
    </row>
    <row r="119" spans="1:4">
      <c r="A119" s="4">
        <v>47300</v>
      </c>
      <c r="B119">
        <v>0.30795829383886247</v>
      </c>
      <c r="C119">
        <f t="shared" si="2"/>
        <v>1.0030795829383887</v>
      </c>
      <c r="D119">
        <f t="shared" si="3"/>
        <v>1.8758396369413437</v>
      </c>
    </row>
    <row r="120" spans="1:4">
      <c r="A120" s="4">
        <v>47331</v>
      </c>
      <c r="B120">
        <v>0.15397914691943124</v>
      </c>
      <c r="C120">
        <f t="shared" si="2"/>
        <v>1.0015397914691944</v>
      </c>
      <c r="D120">
        <f t="shared" si="3"/>
        <v>1.8787280388118826</v>
      </c>
    </row>
    <row r="121" spans="1:4">
      <c r="A121" s="4">
        <v>47362</v>
      </c>
      <c r="B121">
        <v>8.3988625592417043E-2</v>
      </c>
      <c r="C121">
        <f t="shared" si="2"/>
        <v>1.0008398862559242</v>
      </c>
      <c r="D121">
        <f t="shared" si="3"/>
        <v>1.8803059566703002</v>
      </c>
    </row>
    <row r="122" spans="1:4">
      <c r="A122" s="4">
        <v>47392</v>
      </c>
      <c r="B122">
        <v>0.11198483412322273</v>
      </c>
      <c r="C122">
        <f t="shared" si="2"/>
        <v>1.0011198483412322</v>
      </c>
      <c r="D122">
        <f t="shared" si="3"/>
        <v>1.8824116141768865</v>
      </c>
    </row>
    <row r="123" spans="1:4">
      <c r="A123" s="4">
        <v>47423</v>
      </c>
      <c r="B123">
        <v>0.66068412322274861</v>
      </c>
      <c r="C123">
        <f t="shared" si="2"/>
        <v>1.0066068412322275</v>
      </c>
      <c r="D123">
        <f t="shared" si="3"/>
        <v>1.8948484088454545</v>
      </c>
    </row>
    <row r="124" spans="1:4">
      <c r="A124" s="4">
        <v>47453</v>
      </c>
      <c r="B124">
        <v>1.3635395734597153</v>
      </c>
      <c r="C124">
        <f t="shared" si="2"/>
        <v>1.0136353957345972</v>
      </c>
      <c r="D124">
        <f t="shared" si="3"/>
        <v>1.9206854167571339</v>
      </c>
    </row>
    <row r="125" spans="1:4">
      <c r="A125" s="4">
        <v>47484</v>
      </c>
      <c r="B125">
        <v>0.59039857819905206</v>
      </c>
      <c r="C125">
        <f t="shared" si="2"/>
        <v>1.0059039857819905</v>
      </c>
      <c r="D125">
        <f t="shared" si="3"/>
        <v>1.9320251161493445</v>
      </c>
    </row>
    <row r="126" spans="1:4">
      <c r="A126" s="4">
        <v>47515</v>
      </c>
      <c r="B126">
        <v>0.46388459715639807</v>
      </c>
      <c r="C126">
        <f t="shared" si="2"/>
        <v>1.0046388459715641</v>
      </c>
      <c r="D126">
        <f t="shared" si="3"/>
        <v>1.9409874830763545</v>
      </c>
    </row>
    <row r="127" spans="1:4">
      <c r="A127" s="4">
        <v>47543</v>
      </c>
      <c r="B127">
        <v>0.70285545023696683</v>
      </c>
      <c r="C127">
        <f t="shared" si="2"/>
        <v>1.0070285545023696</v>
      </c>
      <c r="D127">
        <f t="shared" si="3"/>
        <v>1.9546298193895739</v>
      </c>
    </row>
    <row r="128" spans="1:4">
      <c r="A128" s="4">
        <v>47574</v>
      </c>
      <c r="B128">
        <v>0.78719810426540271</v>
      </c>
      <c r="C128">
        <f t="shared" si="2"/>
        <v>1.007871981042654</v>
      </c>
      <c r="D128">
        <f t="shared" si="3"/>
        <v>1.9700166282732148</v>
      </c>
    </row>
    <row r="129" spans="1:4">
      <c r="A129" s="4">
        <v>47604</v>
      </c>
      <c r="B129">
        <v>0.36548483412322269</v>
      </c>
      <c r="C129">
        <f t="shared" si="2"/>
        <v>1.0036548483412322</v>
      </c>
      <c r="D129">
        <f t="shared" si="3"/>
        <v>1.9772167402792591</v>
      </c>
    </row>
    <row r="130" spans="1:4">
      <c r="A130" s="4">
        <v>47635</v>
      </c>
      <c r="B130">
        <v>0.33737061611374403</v>
      </c>
      <c r="C130">
        <f t="shared" si="2"/>
        <v>1.0033737061611374</v>
      </c>
      <c r="D130">
        <f t="shared" si="3"/>
        <v>1.9838872885778434</v>
      </c>
    </row>
    <row r="131" spans="1:4">
      <c r="A131" s="4">
        <v>47665</v>
      </c>
      <c r="B131">
        <v>0.30925639810426536</v>
      </c>
      <c r="C131">
        <f t="shared" ref="C131:C194" si="4">1+B131/100</f>
        <v>1.0030925639810426</v>
      </c>
      <c r="D131">
        <f t="shared" si="3"/>
        <v>1.9900225869489476</v>
      </c>
    </row>
    <row r="132" spans="1:4">
      <c r="A132" s="4">
        <v>47696</v>
      </c>
      <c r="B132">
        <v>0.15462819905213268</v>
      </c>
      <c r="C132">
        <f t="shared" si="4"/>
        <v>1.0015462819905214</v>
      </c>
      <c r="D132">
        <f t="shared" ref="D132:D195" si="5">C132*D131</f>
        <v>1.9930997230358776</v>
      </c>
    </row>
    <row r="133" spans="1:4">
      <c r="A133" s="4">
        <v>47727</v>
      </c>
      <c r="B133">
        <v>8.4342654028436007E-2</v>
      </c>
      <c r="C133">
        <f t="shared" si="4"/>
        <v>1.0008434265402844</v>
      </c>
      <c r="D133">
        <f t="shared" si="5"/>
        <v>1.9947807562397195</v>
      </c>
    </row>
    <row r="134" spans="1:4">
      <c r="A134" s="4">
        <v>47757</v>
      </c>
      <c r="B134">
        <v>0.11245687203791468</v>
      </c>
      <c r="C134">
        <f t="shared" si="4"/>
        <v>1.0011245687203791</v>
      </c>
      <c r="D134">
        <f t="shared" si="5"/>
        <v>1.997024024282201</v>
      </c>
    </row>
    <row r="135" spans="1:4">
      <c r="A135" s="4">
        <v>47788</v>
      </c>
      <c r="B135">
        <v>0.66295616113744049</v>
      </c>
      <c r="C135">
        <f t="shared" si="4"/>
        <v>1.0066295616113745</v>
      </c>
      <c r="D135">
        <f t="shared" si="5"/>
        <v>2.0102634180905752</v>
      </c>
    </row>
    <row r="136" spans="1:4">
      <c r="A136" s="4">
        <v>47818</v>
      </c>
      <c r="B136">
        <v>1.3682286729857818</v>
      </c>
      <c r="C136">
        <f t="shared" si="4"/>
        <v>1.0136822867298578</v>
      </c>
      <c r="D136">
        <f t="shared" si="5"/>
        <v>2.0377684185794345</v>
      </c>
    </row>
    <row r="137" spans="1:4">
      <c r="A137" s="4">
        <v>47849</v>
      </c>
      <c r="B137">
        <v>0.59242890995260655</v>
      </c>
      <c r="C137">
        <f t="shared" si="4"/>
        <v>1.0059242890995261</v>
      </c>
      <c r="D137">
        <f t="shared" si="5"/>
        <v>2.0498407478089833</v>
      </c>
    </row>
    <row r="138" spans="1:4">
      <c r="A138" s="4">
        <v>47880</v>
      </c>
      <c r="B138">
        <v>0.46547985781990514</v>
      </c>
      <c r="C138">
        <f t="shared" si="4"/>
        <v>1.0046547985781991</v>
      </c>
      <c r="D138">
        <f t="shared" si="5"/>
        <v>2.0593823436074192</v>
      </c>
    </row>
    <row r="139" spans="1:4">
      <c r="A139" s="4">
        <v>47908</v>
      </c>
      <c r="B139">
        <v>0.70527251184834117</v>
      </c>
      <c r="C139">
        <f t="shared" si="4"/>
        <v>1.0070527251184833</v>
      </c>
      <c r="D139">
        <f t="shared" si="5"/>
        <v>2.0739066011907403</v>
      </c>
    </row>
    <row r="140" spans="1:4">
      <c r="A140" s="4">
        <v>47939</v>
      </c>
      <c r="B140">
        <v>0.78990521327014207</v>
      </c>
      <c r="C140">
        <f t="shared" si="4"/>
        <v>1.0078990521327014</v>
      </c>
      <c r="D140">
        <f t="shared" si="5"/>
        <v>2.0902884975518994</v>
      </c>
    </row>
    <row r="141" spans="1:4">
      <c r="A141" s="4">
        <v>47969</v>
      </c>
      <c r="B141">
        <v>0.36674170616113738</v>
      </c>
      <c r="C141">
        <f t="shared" si="4"/>
        <v>1.0036674170616113</v>
      </c>
      <c r="D141">
        <f t="shared" si="5"/>
        <v>2.097954457251511</v>
      </c>
    </row>
    <row r="142" spans="1:4">
      <c r="A142" s="4">
        <v>48000</v>
      </c>
      <c r="B142">
        <v>0.33853080568720373</v>
      </c>
      <c r="C142">
        <f t="shared" si="4"/>
        <v>1.003385308056872</v>
      </c>
      <c r="D142">
        <f t="shared" si="5"/>
        <v>2.105056679378595</v>
      </c>
    </row>
    <row r="143" spans="1:4">
      <c r="A143" s="4">
        <v>48030</v>
      </c>
      <c r="B143">
        <v>0.31031990521327008</v>
      </c>
      <c r="C143">
        <f t="shared" si="4"/>
        <v>1.0031031990521326</v>
      </c>
      <c r="D143">
        <f t="shared" si="5"/>
        <v>2.1115890892707281</v>
      </c>
    </row>
    <row r="144" spans="1:4">
      <c r="A144" s="4">
        <v>48061</v>
      </c>
      <c r="B144">
        <v>0.15515995260663504</v>
      </c>
      <c r="C144">
        <f t="shared" si="4"/>
        <v>1.0015515995260664</v>
      </c>
      <c r="D144">
        <f t="shared" si="5"/>
        <v>2.1148654299008878</v>
      </c>
    </row>
    <row r="145" spans="1:4">
      <c r="A145" s="4">
        <v>48092</v>
      </c>
      <c r="B145">
        <v>8.4632701421800932E-2</v>
      </c>
      <c r="C145">
        <f t="shared" si="4"/>
        <v>1.0008463270142181</v>
      </c>
      <c r="D145">
        <f t="shared" si="5"/>
        <v>2.1166552976456487</v>
      </c>
    </row>
    <row r="146" spans="1:4">
      <c r="A146" s="4">
        <v>48122</v>
      </c>
      <c r="B146">
        <v>0.11315639810426539</v>
      </c>
      <c r="C146">
        <f t="shared" si="4"/>
        <v>1.0011315639810427</v>
      </c>
      <c r="D146">
        <f t="shared" si="5"/>
        <v>2.1190504285407479</v>
      </c>
    </row>
    <row r="147" spans="1:4">
      <c r="A147" s="4">
        <v>48153</v>
      </c>
      <c r="B147">
        <v>0.66479383886255905</v>
      </c>
      <c r="C147">
        <f t="shared" si="4"/>
        <v>1.0066479383886255</v>
      </c>
      <c r="D147">
        <f t="shared" si="5"/>
        <v>2.1331377452320774</v>
      </c>
    </row>
    <row r="148" spans="1:4">
      <c r="A148" s="4">
        <v>48183</v>
      </c>
      <c r="B148">
        <v>1.3720213270142179</v>
      </c>
      <c r="C148">
        <f t="shared" si="4"/>
        <v>1.0137202132701422</v>
      </c>
      <c r="D148">
        <f t="shared" si="5"/>
        <v>2.1624048500312516</v>
      </c>
    </row>
    <row r="149" spans="1:4">
      <c r="A149" s="4">
        <v>48214</v>
      </c>
      <c r="B149">
        <v>0.59407109004739334</v>
      </c>
      <c r="C149">
        <f t="shared" si="4"/>
        <v>1.0059407109004739</v>
      </c>
      <c r="D149">
        <f t="shared" si="5"/>
        <v>2.1752510720950697</v>
      </c>
    </row>
    <row r="150" spans="1:4">
      <c r="A150" s="4">
        <v>48245</v>
      </c>
      <c r="B150">
        <v>0.46677014218009472</v>
      </c>
      <c r="C150">
        <f t="shared" si="4"/>
        <v>1.0046677014218008</v>
      </c>
      <c r="D150">
        <f t="shared" si="5"/>
        <v>2.1854044946170617</v>
      </c>
    </row>
    <row r="151" spans="1:4">
      <c r="A151" s="4">
        <v>48274</v>
      </c>
      <c r="B151">
        <v>0.7072274881516587</v>
      </c>
      <c r="C151">
        <f t="shared" si="4"/>
        <v>1.0070722748815166</v>
      </c>
      <c r="D151">
        <f t="shared" si="5"/>
        <v>2.2008602759302955</v>
      </c>
    </row>
    <row r="152" spans="1:4">
      <c r="A152" s="4">
        <v>48305</v>
      </c>
      <c r="B152">
        <v>0.79209478672985778</v>
      </c>
      <c r="C152">
        <f t="shared" si="4"/>
        <v>1.0079209478672986</v>
      </c>
      <c r="D152">
        <f t="shared" si="5"/>
        <v>2.2182931754391477</v>
      </c>
    </row>
    <row r="153" spans="1:4">
      <c r="A153" s="4">
        <v>48335</v>
      </c>
      <c r="B153">
        <v>0.36775829383886255</v>
      </c>
      <c r="C153">
        <f t="shared" si="4"/>
        <v>1.0036775829383886</v>
      </c>
      <c r="D153">
        <f t="shared" si="5"/>
        <v>2.2264511325734868</v>
      </c>
    </row>
    <row r="154" spans="1:4">
      <c r="A154" s="4">
        <v>48366</v>
      </c>
      <c r="B154">
        <v>0.33946919431279615</v>
      </c>
      <c r="C154">
        <f t="shared" si="4"/>
        <v>1.003394691943128</v>
      </c>
      <c r="D154">
        <f t="shared" si="5"/>
        <v>2.2340092482950022</v>
      </c>
    </row>
    <row r="155" spans="1:4">
      <c r="A155" s="4">
        <v>48396</v>
      </c>
      <c r="B155">
        <v>0.31118009478672981</v>
      </c>
      <c r="C155">
        <f t="shared" si="4"/>
        <v>1.0031118009478672</v>
      </c>
      <c r="D155">
        <f t="shared" si="5"/>
        <v>2.2409610403913907</v>
      </c>
    </row>
    <row r="156" spans="1:4">
      <c r="A156" s="4">
        <v>48427</v>
      </c>
      <c r="B156">
        <v>0.15559004739336491</v>
      </c>
      <c r="C156">
        <f t="shared" si="4"/>
        <v>1.0015559004739336</v>
      </c>
      <c r="D156">
        <f t="shared" si="5"/>
        <v>2.2444477527362023</v>
      </c>
    </row>
    <row r="157" spans="1:4">
      <c r="A157" s="4">
        <v>48458</v>
      </c>
      <c r="B157">
        <v>8.4867298578199038E-2</v>
      </c>
      <c r="C157">
        <f t="shared" si="4"/>
        <v>1.000848672985782</v>
      </c>
      <c r="D157">
        <f t="shared" si="5"/>
        <v>2.2463525549119487</v>
      </c>
    </row>
    <row r="158" spans="1:4">
      <c r="A158" s="4">
        <v>48488</v>
      </c>
      <c r="B158">
        <v>0.11341207582938387</v>
      </c>
      <c r="C158">
        <f t="shared" si="4"/>
        <v>1.0011341207582938</v>
      </c>
      <c r="D158">
        <f t="shared" si="5"/>
        <v>2.2489001899749206</v>
      </c>
    </row>
    <row r="159" spans="1:4">
      <c r="A159" s="4">
        <v>48519</v>
      </c>
      <c r="B159">
        <v>0.66629594549763016</v>
      </c>
      <c r="C159">
        <f t="shared" si="4"/>
        <v>1.0066629594549763</v>
      </c>
      <c r="D159">
        <f t="shared" si="5"/>
        <v>2.2638845207590119</v>
      </c>
    </row>
    <row r="160" spans="1:4">
      <c r="A160" s="4">
        <v>48549</v>
      </c>
      <c r="B160">
        <v>1.3751214194312793</v>
      </c>
      <c r="C160">
        <f t="shared" si="4"/>
        <v>1.0137512141943128</v>
      </c>
      <c r="D160">
        <f t="shared" si="5"/>
        <v>2.2950156817151584</v>
      </c>
    </row>
    <row r="161" spans="1:4">
      <c r="A161" s="4">
        <v>48580</v>
      </c>
      <c r="B161">
        <v>0.5954133981042653</v>
      </c>
      <c r="C161">
        <f t="shared" si="4"/>
        <v>1.0059541339810427</v>
      </c>
      <c r="D161">
        <f t="shared" si="5"/>
        <v>2.3086805125726846</v>
      </c>
    </row>
    <row r="162" spans="1:4">
      <c r="A162" s="4">
        <v>48611</v>
      </c>
      <c r="B162">
        <v>0.46782481279620847</v>
      </c>
      <c r="C162">
        <f t="shared" si="4"/>
        <v>1.0046782481279621</v>
      </c>
      <c r="D162">
        <f t="shared" si="5"/>
        <v>2.3194810928586902</v>
      </c>
    </row>
    <row r="163" spans="1:4">
      <c r="A163" s="4">
        <v>48639</v>
      </c>
      <c r="B163">
        <v>0.70882547393364925</v>
      </c>
      <c r="C163">
        <f t="shared" si="4"/>
        <v>1.0070882547393365</v>
      </c>
      <c r="D163">
        <f t="shared" si="5"/>
        <v>2.3359221657079474</v>
      </c>
    </row>
    <row r="164" spans="1:4">
      <c r="A164" s="4">
        <v>48670</v>
      </c>
      <c r="B164">
        <v>0.79388453080568711</v>
      </c>
      <c r="C164">
        <f t="shared" si="4"/>
        <v>1.0079388453080569</v>
      </c>
      <c r="D164">
        <f t="shared" si="5"/>
        <v>2.3544666904331639</v>
      </c>
    </row>
    <row r="165" spans="1:4">
      <c r="A165" s="4">
        <v>48700</v>
      </c>
      <c r="B165">
        <v>0.36858924644549756</v>
      </c>
      <c r="C165">
        <f t="shared" si="4"/>
        <v>1.0036858924644549</v>
      </c>
      <c r="D165">
        <f t="shared" si="5"/>
        <v>2.3631450014652415</v>
      </c>
    </row>
    <row r="166" spans="1:4">
      <c r="A166" s="4">
        <v>48731</v>
      </c>
      <c r="B166">
        <v>0.34023622748815158</v>
      </c>
      <c r="C166">
        <f t="shared" si="4"/>
        <v>1.0034023622748816</v>
      </c>
      <c r="D166">
        <f t="shared" si="5"/>
        <v>2.3711852768683017</v>
      </c>
    </row>
    <row r="167" spans="1:4">
      <c r="A167" s="4">
        <v>48761</v>
      </c>
      <c r="B167">
        <v>0.31188320853080564</v>
      </c>
      <c r="C167">
        <f t="shared" si="4"/>
        <v>1.0031188320853082</v>
      </c>
      <c r="D167">
        <f t="shared" si="5"/>
        <v>2.3785806055900087</v>
      </c>
    </row>
    <row r="168" spans="1:4">
      <c r="A168" s="4">
        <v>48792</v>
      </c>
      <c r="B168">
        <v>0.15594160426540282</v>
      </c>
      <c r="C168">
        <f t="shared" si="4"/>
        <v>1.001559416042654</v>
      </c>
      <c r="D168">
        <f t="shared" si="5"/>
        <v>2.3822898023451113</v>
      </c>
    </row>
    <row r="169" spans="1:4">
      <c r="A169" s="4">
        <v>48823</v>
      </c>
      <c r="B169">
        <v>8.5059056872037894E-2</v>
      </c>
      <c r="C169">
        <f t="shared" si="4"/>
        <v>1.0008505905687204</v>
      </c>
      <c r="D169">
        <f t="shared" si="5"/>
        <v>2.3843161555829449</v>
      </c>
    </row>
    <row r="170" spans="1:4">
      <c r="A170" s="4">
        <v>48853</v>
      </c>
      <c r="B170">
        <v>0.11362790521327013</v>
      </c>
      <c r="C170">
        <f t="shared" si="4"/>
        <v>1.0011362790521328</v>
      </c>
      <c r="D170">
        <f t="shared" si="5"/>
        <v>2.3870254040841954</v>
      </c>
    </row>
    <row r="171" spans="1:4">
      <c r="A171" s="4">
        <v>48884</v>
      </c>
      <c r="B171">
        <v>0.66756394312796186</v>
      </c>
      <c r="C171">
        <f t="shared" si="4"/>
        <v>1.0066756394312797</v>
      </c>
      <c r="D171">
        <f t="shared" si="5"/>
        <v>2.4029603249951661</v>
      </c>
    </row>
    <row r="172" spans="1:4">
      <c r="A172" s="4">
        <v>48914</v>
      </c>
      <c r="B172">
        <v>1.3777383507109002</v>
      </c>
      <c r="C172">
        <f t="shared" si="4"/>
        <v>1.0137773835071091</v>
      </c>
      <c r="D172">
        <f t="shared" si="5"/>
        <v>2.4360668309449922</v>
      </c>
    </row>
    <row r="173" spans="1:4">
      <c r="A173" s="4">
        <v>48945</v>
      </c>
      <c r="B173">
        <v>0.59654650236966811</v>
      </c>
      <c r="C173">
        <f t="shared" si="4"/>
        <v>1.0059654650236967</v>
      </c>
      <c r="D173">
        <f t="shared" si="5"/>
        <v>2.4505991024203819</v>
      </c>
    </row>
    <row r="174" spans="1:4">
      <c r="A174" s="4">
        <v>48976</v>
      </c>
      <c r="B174">
        <v>0.46871510900473923</v>
      </c>
      <c r="C174">
        <f t="shared" si="4"/>
        <v>1.0046871510900475</v>
      </c>
      <c r="D174">
        <f t="shared" si="5"/>
        <v>2.462085430674561</v>
      </c>
    </row>
    <row r="175" spans="1:4">
      <c r="A175" s="4">
        <v>49004</v>
      </c>
      <c r="B175">
        <v>0.71017440758293826</v>
      </c>
      <c r="C175">
        <f t="shared" si="4"/>
        <v>1.0071017440758294</v>
      </c>
      <c r="D175">
        <f t="shared" si="5"/>
        <v>2.4795705312960399</v>
      </c>
    </row>
    <row r="176" spans="1:4">
      <c r="A176" s="4">
        <v>49035</v>
      </c>
      <c r="B176">
        <v>0.79539533649289085</v>
      </c>
      <c r="C176">
        <f t="shared" si="4"/>
        <v>1.0079539533649289</v>
      </c>
      <c r="D176">
        <f t="shared" si="5"/>
        <v>2.4992929196670204</v>
      </c>
    </row>
    <row r="177" spans="1:4">
      <c r="A177" s="4">
        <v>49065</v>
      </c>
      <c r="B177">
        <v>0.36929069194312786</v>
      </c>
      <c r="C177">
        <f t="shared" si="4"/>
        <v>1.0036929069194314</v>
      </c>
      <c r="D177">
        <f t="shared" si="5"/>
        <v>2.5085225757837444</v>
      </c>
    </row>
    <row r="178" spans="1:4">
      <c r="A178" s="4">
        <v>49096</v>
      </c>
      <c r="B178">
        <v>0.34088371563981035</v>
      </c>
      <c r="C178">
        <f t="shared" si="4"/>
        <v>1.0034088371563981</v>
      </c>
      <c r="D178">
        <f t="shared" si="5"/>
        <v>2.5170737207477392</v>
      </c>
    </row>
    <row r="179" spans="1:4">
      <c r="A179" s="4">
        <v>49126</v>
      </c>
      <c r="B179">
        <v>0.31247673933649284</v>
      </c>
      <c r="C179">
        <f t="shared" si="4"/>
        <v>1.003124767393365</v>
      </c>
      <c r="D179">
        <f t="shared" si="5"/>
        <v>2.5249389906370276</v>
      </c>
    </row>
    <row r="180" spans="1:4">
      <c r="A180" s="4">
        <v>49157</v>
      </c>
      <c r="B180">
        <v>0.15623836966824642</v>
      </c>
      <c r="C180">
        <f t="shared" si="4"/>
        <v>1.0015623836966825</v>
      </c>
      <c r="D180">
        <f t="shared" si="5"/>
        <v>2.528883914151117</v>
      </c>
    </row>
    <row r="181" spans="1:4">
      <c r="A181" s="4">
        <v>49188</v>
      </c>
      <c r="B181">
        <v>8.5220928909952587E-2</v>
      </c>
      <c r="C181">
        <f t="shared" si="4"/>
        <v>1.0008522092890995</v>
      </c>
      <c r="D181">
        <f t="shared" si="5"/>
        <v>2.5310390525138109</v>
      </c>
    </row>
    <row r="182" spans="1:4">
      <c r="A182" s="4">
        <v>49218</v>
      </c>
      <c r="B182">
        <v>0.11381074881516587</v>
      </c>
      <c r="C182">
        <f t="shared" si="4"/>
        <v>1.0011381074881516</v>
      </c>
      <c r="D182">
        <f t="shared" si="5"/>
        <v>2.5339196470122811</v>
      </c>
    </row>
    <row r="183" spans="1:4">
      <c r="A183" s="4">
        <v>49249</v>
      </c>
      <c r="B183">
        <v>0.66863814928909937</v>
      </c>
      <c r="C183">
        <f t="shared" si="4"/>
        <v>1.006686381492891</v>
      </c>
      <c r="D183">
        <f t="shared" si="5"/>
        <v>2.550862400444537</v>
      </c>
    </row>
    <row r="184" spans="1:4">
      <c r="A184" s="4">
        <v>49279</v>
      </c>
      <c r="B184">
        <v>1.3799553293838862</v>
      </c>
      <c r="C184">
        <f t="shared" si="4"/>
        <v>1.0137995532938389</v>
      </c>
      <c r="D184">
        <f t="shared" si="5"/>
        <v>2.586063162084721</v>
      </c>
    </row>
    <row r="185" spans="1:4">
      <c r="A185" s="4">
        <v>49310</v>
      </c>
      <c r="B185">
        <v>0.59750643127962078</v>
      </c>
      <c r="C185">
        <f t="shared" si="4"/>
        <v>1.0059750643127963</v>
      </c>
      <c r="D185">
        <f t="shared" si="5"/>
        <v>2.6015150557951303</v>
      </c>
    </row>
    <row r="186" spans="1:4">
      <c r="A186" s="4">
        <v>49341</v>
      </c>
      <c r="B186">
        <v>0.4694693388625592</v>
      </c>
      <c r="C186">
        <f t="shared" si="4"/>
        <v>1.0046946933886256</v>
      </c>
      <c r="D186">
        <f t="shared" si="5"/>
        <v>2.6137283713279817</v>
      </c>
    </row>
    <row r="187" spans="1:4">
      <c r="A187" s="4">
        <v>49369</v>
      </c>
      <c r="B187">
        <v>0.71131718009478673</v>
      </c>
      <c r="C187">
        <f t="shared" si="4"/>
        <v>1.0071131718009478</v>
      </c>
      <c r="D187">
        <f t="shared" si="5"/>
        <v>2.6323202702742492</v>
      </c>
    </row>
    <row r="188" spans="1:4">
      <c r="A188" s="4">
        <v>49400</v>
      </c>
      <c r="B188">
        <v>0.79667524170616111</v>
      </c>
      <c r="C188">
        <f t="shared" si="4"/>
        <v>1.0079667524170617</v>
      </c>
      <c r="D188">
        <f t="shared" si="5"/>
        <v>2.653291314149937</v>
      </c>
    </row>
    <row r="189" spans="1:4">
      <c r="A189" s="4">
        <v>49430</v>
      </c>
      <c r="B189">
        <v>0.36988493364928909</v>
      </c>
      <c r="C189">
        <f t="shared" si="4"/>
        <v>1.0036988493364929</v>
      </c>
      <c r="D189">
        <f t="shared" si="5"/>
        <v>2.6631054389668027</v>
      </c>
    </row>
    <row r="190" spans="1:4">
      <c r="A190" s="4">
        <v>49461</v>
      </c>
      <c r="B190">
        <v>0.34143224644549758</v>
      </c>
      <c r="C190">
        <f t="shared" si="4"/>
        <v>1.0034143224644549</v>
      </c>
      <c r="D190">
        <f t="shared" si="5"/>
        <v>2.6721981396922794</v>
      </c>
    </row>
    <row r="191" spans="1:4">
      <c r="A191" s="4">
        <v>49491</v>
      </c>
      <c r="B191">
        <v>0.31297955924170612</v>
      </c>
      <c r="C191">
        <f t="shared" si="4"/>
        <v>1.003129795592417</v>
      </c>
      <c r="D191">
        <f t="shared" si="5"/>
        <v>2.680561573651953</v>
      </c>
    </row>
    <row r="192" spans="1:4">
      <c r="A192" s="4">
        <v>49522</v>
      </c>
      <c r="B192">
        <v>0.15648977962085306</v>
      </c>
      <c r="C192">
        <f t="shared" si="4"/>
        <v>1.0015648977962086</v>
      </c>
      <c r="D192">
        <f t="shared" si="5"/>
        <v>2.6847563785511626</v>
      </c>
    </row>
    <row r="193" spans="1:4">
      <c r="A193" s="4">
        <v>49553</v>
      </c>
      <c r="B193">
        <v>8.5358061611374395E-2</v>
      </c>
      <c r="C193">
        <f t="shared" si="4"/>
        <v>1.0008535806161138</v>
      </c>
      <c r="D193">
        <f t="shared" si="5"/>
        <v>2.6870480345548819</v>
      </c>
    </row>
    <row r="194" spans="1:4">
      <c r="A194" s="4">
        <v>49583</v>
      </c>
      <c r="B194">
        <v>0.11396756398104264</v>
      </c>
      <c r="C194">
        <f t="shared" si="4"/>
        <v>1.0011396756398103</v>
      </c>
      <c r="D194">
        <f t="shared" si="5"/>
        <v>2.6901103977428642</v>
      </c>
    </row>
    <row r="195" spans="1:4">
      <c r="A195" s="4">
        <v>49614</v>
      </c>
      <c r="B195">
        <v>0.66955943838862542</v>
      </c>
      <c r="C195">
        <f t="shared" ref="C195:C258" si="6">1+B195/100</f>
        <v>1.0066955943838862</v>
      </c>
      <c r="D195">
        <f t="shared" si="5"/>
        <v>2.7081222858140253</v>
      </c>
    </row>
    <row r="196" spans="1:4">
      <c r="A196" s="4">
        <v>49644</v>
      </c>
      <c r="B196">
        <v>1.381856713270142</v>
      </c>
      <c r="C196">
        <f t="shared" si="6"/>
        <v>1.0138185671327014</v>
      </c>
      <c r="D196">
        <f t="shared" ref="D196:D259" si="7">C196*D195</f>
        <v>2.7455446554241112</v>
      </c>
    </row>
    <row r="197" spans="1:4">
      <c r="A197" s="4">
        <v>49675</v>
      </c>
      <c r="B197">
        <v>0.59832971090047393</v>
      </c>
      <c r="C197">
        <f t="shared" si="6"/>
        <v>1.0059832971090048</v>
      </c>
      <c r="D197">
        <f t="shared" si="7"/>
        <v>2.7619720648235537</v>
      </c>
    </row>
    <row r="198" spans="1:4">
      <c r="A198" s="4">
        <v>49706</v>
      </c>
      <c r="B198">
        <v>0.47011620142180088</v>
      </c>
      <c r="C198">
        <f t="shared" si="6"/>
        <v>1.0047011620142181</v>
      </c>
      <c r="D198">
        <f t="shared" si="7"/>
        <v>2.7749565429790337</v>
      </c>
    </row>
    <row r="199" spans="1:4">
      <c r="A199" s="4">
        <v>49735</v>
      </c>
      <c r="B199">
        <v>0.71229727488151651</v>
      </c>
      <c r="C199">
        <f t="shared" si="6"/>
        <v>1.0071229727488151</v>
      </c>
      <c r="D199">
        <f t="shared" si="7"/>
        <v>2.7947224828138197</v>
      </c>
    </row>
    <row r="200" spans="1:4">
      <c r="A200" s="4">
        <v>49766</v>
      </c>
      <c r="B200">
        <v>0.79777294786729847</v>
      </c>
      <c r="C200">
        <f t="shared" si="6"/>
        <v>1.0079777294786729</v>
      </c>
      <c r="D200">
        <f t="shared" si="7"/>
        <v>2.8170180227496737</v>
      </c>
    </row>
    <row r="201" spans="1:4">
      <c r="A201" s="4">
        <v>49796</v>
      </c>
      <c r="B201">
        <v>0.37039458293838856</v>
      </c>
      <c r="C201">
        <f t="shared" si="6"/>
        <v>1.0037039458293839</v>
      </c>
      <c r="D201">
        <f t="shared" si="7"/>
        <v>2.8274521049063366</v>
      </c>
    </row>
    <row r="202" spans="1:4">
      <c r="A202" s="4">
        <v>49827</v>
      </c>
      <c r="B202">
        <v>0.34190269194312795</v>
      </c>
      <c r="C202">
        <f t="shared" si="6"/>
        <v>1.0034190269194312</v>
      </c>
      <c r="D202">
        <f t="shared" si="7"/>
        <v>2.8371192397664138</v>
      </c>
    </row>
    <row r="203" spans="1:4">
      <c r="A203" s="4">
        <v>49857</v>
      </c>
      <c r="B203">
        <v>0.31341080094786727</v>
      </c>
      <c r="C203">
        <f t="shared" si="6"/>
        <v>1.0031341080094787</v>
      </c>
      <c r="D203">
        <f t="shared" si="7"/>
        <v>2.8460110778996115</v>
      </c>
    </row>
    <row r="204" spans="1:4">
      <c r="A204" s="4">
        <v>49888</v>
      </c>
      <c r="B204">
        <v>0.15670540047393364</v>
      </c>
      <c r="C204">
        <f t="shared" si="6"/>
        <v>1.0015670540047394</v>
      </c>
      <c r="D204">
        <f t="shared" si="7"/>
        <v>2.8504709309567668</v>
      </c>
    </row>
    <row r="205" spans="1:4">
      <c r="A205" s="4">
        <v>49919</v>
      </c>
      <c r="B205">
        <v>8.5475672985781986E-2</v>
      </c>
      <c r="C205">
        <f t="shared" si="6"/>
        <v>1.0008547567298578</v>
      </c>
      <c r="D205">
        <f t="shared" si="7"/>
        <v>2.8529073901682662</v>
      </c>
    </row>
    <row r="206" spans="1:4">
      <c r="A206" s="4">
        <v>49949</v>
      </c>
      <c r="B206">
        <v>0.11410348815165874</v>
      </c>
      <c r="C206">
        <f t="shared" si="6"/>
        <v>1.0011410348815166</v>
      </c>
      <c r="D206">
        <f t="shared" si="7"/>
        <v>2.8561626570141847</v>
      </c>
    </row>
    <row r="207" spans="1:4">
      <c r="A207" s="4">
        <v>49980</v>
      </c>
      <c r="B207">
        <v>0.67035799289099507</v>
      </c>
      <c r="C207">
        <f t="shared" si="6"/>
        <v>1.0067035799289099</v>
      </c>
      <c r="D207">
        <f t="shared" si="7"/>
        <v>2.8753091716754469</v>
      </c>
    </row>
    <row r="208" spans="1:4">
      <c r="A208" s="4">
        <v>50010</v>
      </c>
      <c r="B208">
        <v>1.3835047938388623</v>
      </c>
      <c r="C208">
        <f t="shared" si="6"/>
        <v>1.0138350479383886</v>
      </c>
      <c r="D208">
        <f t="shared" si="7"/>
        <v>2.9150892119032652</v>
      </c>
    </row>
    <row r="209" spans="1:4">
      <c r="A209" s="4">
        <v>50041</v>
      </c>
      <c r="B209">
        <v>0.59904331279620837</v>
      </c>
      <c r="C209">
        <f t="shared" si="6"/>
        <v>1.0059904331279621</v>
      </c>
      <c r="D209">
        <f t="shared" si="7"/>
        <v>2.9325518588892154</v>
      </c>
    </row>
    <row r="210" spans="1:4">
      <c r="A210" s="4">
        <v>50072</v>
      </c>
      <c r="B210">
        <v>0.47067688862559232</v>
      </c>
      <c r="C210">
        <f t="shared" si="6"/>
        <v>1.0047067688862559</v>
      </c>
      <c r="D210">
        <f t="shared" si="7"/>
        <v>2.9463547027359671</v>
      </c>
    </row>
    <row r="211" spans="1:4">
      <c r="A211" s="4">
        <v>50100</v>
      </c>
      <c r="B211">
        <v>0.7131468009478672</v>
      </c>
      <c r="C211">
        <f t="shared" si="6"/>
        <v>1.0071314680094787</v>
      </c>
      <c r="D211">
        <f t="shared" si="7"/>
        <v>2.9673665370431057</v>
      </c>
    </row>
    <row r="212" spans="1:4">
      <c r="A212" s="4">
        <v>50131</v>
      </c>
      <c r="B212">
        <v>0.79872441706161124</v>
      </c>
      <c r="C212">
        <f t="shared" si="6"/>
        <v>1.0079872441706161</v>
      </c>
      <c r="D212">
        <f t="shared" si="7"/>
        <v>2.9910676181181848</v>
      </c>
    </row>
    <row r="213" spans="1:4">
      <c r="A213" s="4">
        <v>50161</v>
      </c>
      <c r="B213">
        <v>0.37083633649289094</v>
      </c>
      <c r="C213">
        <f t="shared" si="6"/>
        <v>1.0037083633649289</v>
      </c>
      <c r="D213">
        <f t="shared" si="7"/>
        <v>3.0021595836952391</v>
      </c>
    </row>
    <row r="214" spans="1:4">
      <c r="A214" s="4">
        <v>50192</v>
      </c>
      <c r="B214">
        <v>0.3423104644549762</v>
      </c>
      <c r="C214">
        <f t="shared" si="6"/>
        <v>1.0034231046445499</v>
      </c>
      <c r="D214">
        <f t="shared" si="7"/>
        <v>3.012436290109866</v>
      </c>
    </row>
    <row r="215" spans="1:4">
      <c r="A215" s="4">
        <v>50222</v>
      </c>
      <c r="B215">
        <v>0.31378459241706153</v>
      </c>
      <c r="C215">
        <f t="shared" si="6"/>
        <v>1.0031378459241707</v>
      </c>
      <c r="D215">
        <f t="shared" si="7"/>
        <v>3.0218888510446109</v>
      </c>
    </row>
    <row r="216" spans="1:4">
      <c r="A216" s="4">
        <v>50253</v>
      </c>
      <c r="B216">
        <v>0.15689229620853076</v>
      </c>
      <c r="C216">
        <f t="shared" si="6"/>
        <v>1.0015689229620852</v>
      </c>
      <c r="D216">
        <f t="shared" si="7"/>
        <v>3.0266299618518842</v>
      </c>
    </row>
    <row r="217" spans="1:4">
      <c r="A217" s="4">
        <v>50284</v>
      </c>
      <c r="B217">
        <v>8.5577616113744051E-2</v>
      </c>
      <c r="C217">
        <f t="shared" si="6"/>
        <v>1.0008557761611374</v>
      </c>
      <c r="D217">
        <f t="shared" si="7"/>
        <v>3.0292200796218212</v>
      </c>
    </row>
    <row r="218" spans="1:4">
      <c r="A218" s="4">
        <v>50314</v>
      </c>
      <c r="B218">
        <v>0.11422240758293838</v>
      </c>
      <c r="C218">
        <f t="shared" si="6"/>
        <v>1.0011422240758294</v>
      </c>
      <c r="D218">
        <f t="shared" si="7"/>
        <v>3.0326801277277511</v>
      </c>
    </row>
    <row r="219" spans="1:4">
      <c r="A219" s="4">
        <v>50345</v>
      </c>
      <c r="B219">
        <v>0.67105664454976288</v>
      </c>
      <c r="C219">
        <f t="shared" si="6"/>
        <v>1.0067105664454976</v>
      </c>
      <c r="D219">
        <f t="shared" si="7"/>
        <v>3.0530311292328083</v>
      </c>
    </row>
    <row r="220" spans="1:4">
      <c r="A220" s="4">
        <v>50375</v>
      </c>
      <c r="B220">
        <v>1.3849466919431277</v>
      </c>
      <c r="C220">
        <f t="shared" si="6"/>
        <v>1.0138494669194313</v>
      </c>
      <c r="D220">
        <f t="shared" si="7"/>
        <v>3.095313982861112</v>
      </c>
    </row>
    <row r="221" spans="1:4">
      <c r="A221" s="4">
        <v>50406</v>
      </c>
      <c r="B221">
        <v>0.59966763981042648</v>
      </c>
      <c r="C221">
        <f t="shared" si="6"/>
        <v>1.0059966763981043</v>
      </c>
      <c r="D221">
        <f t="shared" si="7"/>
        <v>3.1138755791668573</v>
      </c>
    </row>
    <row r="222" spans="1:4">
      <c r="A222" s="4">
        <v>50437</v>
      </c>
      <c r="B222">
        <v>0.4711674312796208</v>
      </c>
      <c r="C222">
        <f t="shared" si="6"/>
        <v>1.0047116743127962</v>
      </c>
      <c r="D222">
        <f t="shared" si="7"/>
        <v>3.1285471467464609</v>
      </c>
    </row>
    <row r="223" spans="1:4">
      <c r="A223" s="4">
        <v>50465</v>
      </c>
      <c r="B223">
        <v>0.71389004739336481</v>
      </c>
      <c r="C223">
        <f t="shared" si="6"/>
        <v>1.0071389004739337</v>
      </c>
      <c r="D223">
        <f t="shared" si="7"/>
        <v>3.1508815334550935</v>
      </c>
    </row>
    <row r="224" spans="1:4">
      <c r="A224" s="4">
        <v>50496</v>
      </c>
      <c r="B224">
        <v>0.79955685308056856</v>
      </c>
      <c r="C224">
        <f t="shared" si="6"/>
        <v>1.0079955685308057</v>
      </c>
      <c r="D224">
        <f t="shared" si="7"/>
        <v>3.1760746226882839</v>
      </c>
    </row>
    <row r="225" spans="1:4">
      <c r="A225" s="4">
        <v>50526</v>
      </c>
      <c r="B225">
        <v>0.3712228246445497</v>
      </c>
      <c r="C225">
        <f t="shared" si="6"/>
        <v>1.0037122282464455</v>
      </c>
      <c r="D225">
        <f t="shared" si="7"/>
        <v>3.1878649366154459</v>
      </c>
    </row>
    <row r="226" spans="1:4">
      <c r="A226" s="4">
        <v>50557</v>
      </c>
      <c r="B226">
        <v>0.34266722274881511</v>
      </c>
      <c r="C226">
        <f t="shared" si="6"/>
        <v>1.003426672227488</v>
      </c>
      <c r="D226">
        <f t="shared" si="7"/>
        <v>3.1987887048587291</v>
      </c>
    </row>
    <row r="227" spans="1:4">
      <c r="A227" s="4">
        <v>50587</v>
      </c>
      <c r="B227">
        <v>0.31411162085308053</v>
      </c>
      <c r="C227">
        <f t="shared" si="6"/>
        <v>1.0031411162085309</v>
      </c>
      <c r="D227">
        <f t="shared" si="7"/>
        <v>3.2088364719072264</v>
      </c>
    </row>
    <row r="228" spans="1:4">
      <c r="A228" s="4">
        <v>50618</v>
      </c>
      <c r="B228">
        <v>0.15705581042654027</v>
      </c>
      <c r="C228">
        <f t="shared" si="6"/>
        <v>1.0015705581042653</v>
      </c>
      <c r="D228">
        <f t="shared" si="7"/>
        <v>3.2138761360334422</v>
      </c>
    </row>
    <row r="229" spans="1:4">
      <c r="A229" s="4">
        <v>50649</v>
      </c>
      <c r="B229">
        <v>8.5666805687203779E-2</v>
      </c>
      <c r="C229">
        <f t="shared" si="6"/>
        <v>1.000856668056872</v>
      </c>
      <c r="D229">
        <f t="shared" si="7"/>
        <v>3.2166293610579255</v>
      </c>
    </row>
    <row r="230" spans="1:4">
      <c r="A230" s="4">
        <v>50679</v>
      </c>
      <c r="B230">
        <v>0.11432733649289098</v>
      </c>
      <c r="C230">
        <f t="shared" si="6"/>
        <v>1.0011432733649288</v>
      </c>
      <c r="D230">
        <f t="shared" si="7"/>
        <v>3.2203068477312708</v>
      </c>
    </row>
    <row r="231" spans="1:4">
      <c r="A231" s="4">
        <v>50710</v>
      </c>
      <c r="B231">
        <v>0.67167310189573437</v>
      </c>
      <c r="C231">
        <f t="shared" si="6"/>
        <v>1.0067167310189573</v>
      </c>
      <c r="D231">
        <f t="shared" si="7"/>
        <v>3.2419367826259879</v>
      </c>
    </row>
    <row r="232" spans="1:4">
      <c r="A232" s="4">
        <v>50740</v>
      </c>
      <c r="B232">
        <v>1.3862189549763031</v>
      </c>
      <c r="C232">
        <f t="shared" si="6"/>
        <v>1.013862189549763</v>
      </c>
      <c r="D232">
        <f t="shared" si="7"/>
        <v>3.2868771248150983</v>
      </c>
    </row>
    <row r="233" spans="1:4">
      <c r="A233" s="4">
        <v>50771</v>
      </c>
      <c r="B233">
        <v>0.60021851658767766</v>
      </c>
      <c r="C233">
        <f t="shared" si="6"/>
        <v>1.0060021851658767</v>
      </c>
      <c r="D233">
        <f t="shared" si="7"/>
        <v>3.3066055699357229</v>
      </c>
    </row>
    <row r="234" spans="1:4">
      <c r="A234" s="4">
        <v>50802</v>
      </c>
      <c r="B234">
        <v>0.47160026303317526</v>
      </c>
      <c r="C234">
        <f t="shared" si="6"/>
        <v>1.0047160026303317</v>
      </c>
      <c r="D234">
        <f t="shared" si="7"/>
        <v>3.3221995305010092</v>
      </c>
    </row>
    <row r="235" spans="1:4">
      <c r="A235" s="4">
        <v>50830</v>
      </c>
      <c r="B235">
        <v>0.71454585308056862</v>
      </c>
      <c r="C235">
        <f t="shared" si="6"/>
        <v>1.0071454585308057</v>
      </c>
      <c r="D235">
        <f t="shared" si="7"/>
        <v>3.3459381694772663</v>
      </c>
    </row>
    <row r="236" spans="1:4">
      <c r="A236" s="4">
        <v>50861</v>
      </c>
      <c r="B236">
        <v>0.80029135545023689</v>
      </c>
      <c r="C236">
        <f t="shared" si="6"/>
        <v>1.0080029135545023</v>
      </c>
      <c r="D236">
        <f t="shared" si="7"/>
        <v>3.3727154234063028</v>
      </c>
    </row>
    <row r="237" spans="1:4">
      <c r="A237" s="4">
        <v>50891</v>
      </c>
      <c r="B237">
        <v>0.3715638436018957</v>
      </c>
      <c r="C237">
        <f t="shared" si="6"/>
        <v>1.0037156384360189</v>
      </c>
      <c r="D237">
        <f t="shared" si="7"/>
        <v>3.385247214467265</v>
      </c>
    </row>
    <row r="238" spans="1:4">
      <c r="A238" s="4">
        <v>50922</v>
      </c>
      <c r="B238">
        <v>0.34298200947867291</v>
      </c>
      <c r="C238">
        <f t="shared" si="6"/>
        <v>1.0034298200947867</v>
      </c>
      <c r="D238">
        <f t="shared" si="7"/>
        <v>3.3968580033892652</v>
      </c>
    </row>
    <row r="239" spans="1:4">
      <c r="A239" s="4">
        <v>50952</v>
      </c>
      <c r="B239">
        <v>0.31440017535545017</v>
      </c>
      <c r="C239">
        <f t="shared" si="6"/>
        <v>1.0031440017535544</v>
      </c>
      <c r="D239">
        <f t="shared" si="7"/>
        <v>3.4075377309084964</v>
      </c>
    </row>
    <row r="240" spans="1:4">
      <c r="A240" s="4">
        <v>50983</v>
      </c>
      <c r="B240">
        <v>0.15720008767772509</v>
      </c>
      <c r="C240">
        <f t="shared" si="6"/>
        <v>1.0015720008767772</v>
      </c>
      <c r="D240">
        <f t="shared" si="7"/>
        <v>3.4128943832091361</v>
      </c>
    </row>
    <row r="241" spans="1:4">
      <c r="A241" s="4">
        <v>51014</v>
      </c>
      <c r="B241">
        <v>8.5745502369668228E-2</v>
      </c>
      <c r="C241">
        <f t="shared" si="6"/>
        <v>1.0008574550236966</v>
      </c>
      <c r="D241">
        <f t="shared" si="7"/>
        <v>3.4158207866433647</v>
      </c>
    </row>
    <row r="242" spans="1:4">
      <c r="A242" s="4">
        <v>51044</v>
      </c>
      <c r="B242">
        <v>0.11442060663507109</v>
      </c>
      <c r="C242">
        <f t="shared" si="6"/>
        <v>1.0011442060663507</v>
      </c>
      <c r="D242">
        <f t="shared" si="7"/>
        <v>3.4197291895090087</v>
      </c>
    </row>
    <row r="243" spans="1:4">
      <c r="A243" s="4">
        <v>51075</v>
      </c>
      <c r="B243">
        <v>0.67222106398104253</v>
      </c>
      <c r="C243">
        <f t="shared" si="6"/>
        <v>1.0067222106398104</v>
      </c>
      <c r="D243">
        <f t="shared" si="7"/>
        <v>3.4427173294519964</v>
      </c>
    </row>
    <row r="244" spans="1:4">
      <c r="A244" s="4">
        <v>51105</v>
      </c>
      <c r="B244">
        <v>1.3873498554502368</v>
      </c>
      <c r="C244">
        <f t="shared" si="6"/>
        <v>1.0138734985545024</v>
      </c>
      <c r="D244">
        <f t="shared" si="7"/>
        <v>3.4904798633457088</v>
      </c>
    </row>
    <row r="245" spans="1:4">
      <c r="A245" s="4">
        <v>51136</v>
      </c>
      <c r="B245">
        <v>0.60070818483412314</v>
      </c>
      <c r="C245">
        <f t="shared" si="6"/>
        <v>1.0060070818483413</v>
      </c>
      <c r="D245">
        <f t="shared" si="7"/>
        <v>3.5114474615748135</v>
      </c>
    </row>
    <row r="246" spans="1:4">
      <c r="A246" s="4">
        <v>51167</v>
      </c>
      <c r="B246">
        <v>0.47198500236966817</v>
      </c>
      <c r="C246">
        <f t="shared" si="6"/>
        <v>1.0047198500236967</v>
      </c>
      <c r="D246">
        <f t="shared" si="7"/>
        <v>3.528020966959537</v>
      </c>
    </row>
    <row r="247" spans="1:4">
      <c r="A247" s="4">
        <v>51196</v>
      </c>
      <c r="B247">
        <v>0.71512879146919428</v>
      </c>
      <c r="C247">
        <f t="shared" si="6"/>
        <v>1.007151287914692</v>
      </c>
      <c r="D247">
        <f t="shared" si="7"/>
        <v>3.5532508606633346</v>
      </c>
    </row>
    <row r="248" spans="1:4">
      <c r="A248" s="4">
        <v>51227</v>
      </c>
      <c r="B248">
        <v>0.80094424644549755</v>
      </c>
      <c r="C248">
        <f t="shared" si="6"/>
        <v>1.008009442464455</v>
      </c>
      <c r="D248">
        <f t="shared" si="7"/>
        <v>3.5817104189935929</v>
      </c>
    </row>
    <row r="249" spans="1:4">
      <c r="A249" s="4">
        <v>51257</v>
      </c>
      <c r="B249">
        <v>0.37186697156398102</v>
      </c>
      <c r="C249">
        <f t="shared" si="6"/>
        <v>1.0037186697156397</v>
      </c>
      <c r="D249">
        <f t="shared" si="7"/>
        <v>3.5950296170588958</v>
      </c>
    </row>
    <row r="250" spans="1:4">
      <c r="A250" s="4">
        <v>51288</v>
      </c>
      <c r="B250">
        <v>0.34326181990521321</v>
      </c>
      <c r="C250">
        <f t="shared" si="6"/>
        <v>1.0034326181990521</v>
      </c>
      <c r="D250">
        <f t="shared" si="7"/>
        <v>3.6073699811485431</v>
      </c>
    </row>
    <row r="251" spans="1:4">
      <c r="A251" s="4">
        <v>51318</v>
      </c>
      <c r="B251">
        <v>0.31465666824644545</v>
      </c>
      <c r="C251">
        <f t="shared" si="6"/>
        <v>1.0031465666824644</v>
      </c>
      <c r="D251">
        <f t="shared" si="7"/>
        <v>3.6187208113425471</v>
      </c>
    </row>
    <row r="252" spans="1:4">
      <c r="A252" s="4">
        <v>51349</v>
      </c>
      <c r="B252">
        <v>0.15732833412322272</v>
      </c>
      <c r="C252">
        <f t="shared" si="6"/>
        <v>1.0015732833412323</v>
      </c>
      <c r="D252">
        <f t="shared" si="7"/>
        <v>3.6244140845116029</v>
      </c>
    </row>
    <row r="253" spans="1:4">
      <c r="A253" s="4">
        <v>51380</v>
      </c>
      <c r="B253">
        <v>8.5815454976303301E-2</v>
      </c>
      <c r="C253">
        <f t="shared" si="6"/>
        <v>1.000858154549763</v>
      </c>
      <c r="D253">
        <f t="shared" si="7"/>
        <v>3.6275243919484517</v>
      </c>
    </row>
    <row r="254" spans="1:4">
      <c r="A254" s="4">
        <v>51410</v>
      </c>
      <c r="B254">
        <v>0.11450403791469192</v>
      </c>
      <c r="C254">
        <f t="shared" si="6"/>
        <v>1.0011450403791469</v>
      </c>
      <c r="D254">
        <f t="shared" si="7"/>
        <v>3.6316780538535727</v>
      </c>
    </row>
    <row r="255" spans="1:4">
      <c r="A255" s="4">
        <v>51441</v>
      </c>
      <c r="B255">
        <v>0.67271122274881501</v>
      </c>
      <c r="C255">
        <f t="shared" si="6"/>
        <v>1.0067271122274881</v>
      </c>
      <c r="D255">
        <f t="shared" si="7"/>
        <v>3.6561087596959512</v>
      </c>
    </row>
    <row r="256" spans="1:4">
      <c r="A256" s="4">
        <v>51471</v>
      </c>
      <c r="B256">
        <v>1.3883614597156395</v>
      </c>
      <c r="C256">
        <f t="shared" si="6"/>
        <v>1.0138836145971564</v>
      </c>
      <c r="D256">
        <f t="shared" si="7"/>
        <v>3.7068687646408573</v>
      </c>
    </row>
    <row r="257" spans="1:4">
      <c r="A257" s="4">
        <v>51502</v>
      </c>
      <c r="B257">
        <v>0.60114619905213262</v>
      </c>
      <c r="C257">
        <f t="shared" si="6"/>
        <v>1.0060114619905214</v>
      </c>
      <c r="D257">
        <f t="shared" si="7"/>
        <v>3.729152465323347</v>
      </c>
    </row>
    <row r="258" spans="1:4">
      <c r="A258" s="4">
        <v>51533</v>
      </c>
      <c r="B258">
        <v>0.47232915639810419</v>
      </c>
      <c r="C258">
        <f t="shared" si="6"/>
        <v>1.004723291563981</v>
      </c>
      <c r="D258">
        <f t="shared" si="7"/>
        <v>3.7467663397036075</v>
      </c>
    </row>
    <row r="259" spans="1:4">
      <c r="A259" s="4">
        <v>51561</v>
      </c>
      <c r="B259">
        <v>0.71565023696682462</v>
      </c>
      <c r="C259">
        <f t="shared" ref="C259:C301" si="8">1+B259/100</f>
        <v>1.0071565023696682</v>
      </c>
      <c r="D259">
        <f t="shared" si="7"/>
        <v>3.7735800818922898</v>
      </c>
    </row>
    <row r="260" spans="1:4">
      <c r="A260" s="4">
        <v>51592</v>
      </c>
      <c r="B260">
        <v>0.8015282654028435</v>
      </c>
      <c r="C260">
        <f t="shared" si="8"/>
        <v>1.0080152826540285</v>
      </c>
      <c r="D260">
        <f t="shared" ref="D260:D301" si="9">C260*D259</f>
        <v>3.8038263928662683</v>
      </c>
    </row>
    <row r="261" spans="1:4">
      <c r="A261" s="4">
        <v>51622</v>
      </c>
      <c r="B261">
        <v>0.37213812322274875</v>
      </c>
      <c r="C261">
        <f t="shared" si="8"/>
        <v>1.0037213812322274</v>
      </c>
      <c r="D261">
        <f t="shared" si="9"/>
        <v>3.8179818810153323</v>
      </c>
    </row>
    <row r="262" spans="1:4">
      <c r="A262" s="4">
        <v>51653</v>
      </c>
      <c r="B262">
        <v>0.34351211374407575</v>
      </c>
      <c r="C262">
        <f t="shared" si="8"/>
        <v>1.0034351211374408</v>
      </c>
      <c r="D262">
        <f t="shared" si="9"/>
        <v>3.8310971112771743</v>
      </c>
    </row>
    <row r="263" spans="1:4">
      <c r="A263" s="4">
        <v>51683</v>
      </c>
      <c r="B263">
        <v>0.31488610426540276</v>
      </c>
      <c r="C263">
        <f t="shared" si="8"/>
        <v>1.003148861042654</v>
      </c>
      <c r="D263">
        <f t="shared" si="9"/>
        <v>3.8431607037214994</v>
      </c>
    </row>
    <row r="264" spans="1:4">
      <c r="A264" s="4">
        <v>51714</v>
      </c>
      <c r="B264">
        <v>0.15744305213270138</v>
      </c>
      <c r="C264">
        <f t="shared" si="8"/>
        <v>1.001574430521327</v>
      </c>
      <c r="D264">
        <f t="shared" si="9"/>
        <v>3.8492114932318029</v>
      </c>
    </row>
    <row r="265" spans="1:4">
      <c r="A265" s="4">
        <v>51745</v>
      </c>
      <c r="B265">
        <v>8.5878028436018938E-2</v>
      </c>
      <c r="C265">
        <f t="shared" si="8"/>
        <v>1.0008587802843603</v>
      </c>
      <c r="D265">
        <f t="shared" si="9"/>
        <v>3.8525171201725232</v>
      </c>
    </row>
    <row r="266" spans="1:4">
      <c r="A266" s="4">
        <v>51775</v>
      </c>
      <c r="B266">
        <v>0.1145791279620853</v>
      </c>
      <c r="C266">
        <f t="shared" si="8"/>
        <v>1.0011457912796209</v>
      </c>
      <c r="D266">
        <f t="shared" si="9"/>
        <v>3.8569313006934069</v>
      </c>
    </row>
    <row r="267" spans="1:4">
      <c r="A267" s="4">
        <v>51806</v>
      </c>
      <c r="B267">
        <v>0.67315237677725104</v>
      </c>
      <c r="C267">
        <f t="shared" si="8"/>
        <v>1.0067315237677725</v>
      </c>
      <c r="D267">
        <f t="shared" si="9"/>
        <v>3.8828943254146906</v>
      </c>
    </row>
    <row r="268" spans="1:4">
      <c r="A268" s="4">
        <v>51836</v>
      </c>
      <c r="B268">
        <v>1.3892719265402842</v>
      </c>
      <c r="C268">
        <f t="shared" si="8"/>
        <v>1.0138927192654028</v>
      </c>
      <c r="D268">
        <f t="shared" si="9"/>
        <v>3.9368382862149027</v>
      </c>
    </row>
    <row r="269" spans="1:4">
      <c r="A269" s="4">
        <v>51867</v>
      </c>
      <c r="B269">
        <v>0.6015404218009478</v>
      </c>
      <c r="C269">
        <f t="shared" si="8"/>
        <v>1.0060154042180094</v>
      </c>
      <c r="D269">
        <f t="shared" si="9"/>
        <v>3.9605199598474208</v>
      </c>
    </row>
    <row r="270" spans="1:4">
      <c r="A270" s="4">
        <v>51898</v>
      </c>
      <c r="B270">
        <v>0.47263890284360183</v>
      </c>
      <c r="C270">
        <f t="shared" si="8"/>
        <v>1.0047263890284359</v>
      </c>
      <c r="D270">
        <f t="shared" si="9"/>
        <v>3.9792389179325451</v>
      </c>
    </row>
    <row r="271" spans="1:4">
      <c r="A271" s="4">
        <v>51926</v>
      </c>
      <c r="B271">
        <v>0.71611954976303316</v>
      </c>
      <c r="C271">
        <f t="shared" si="8"/>
        <v>1.0071611954976303</v>
      </c>
      <c r="D271">
        <f t="shared" si="9"/>
        <v>4.0077350257556388</v>
      </c>
    </row>
    <row r="272" spans="1:4">
      <c r="A272" s="4">
        <v>51957</v>
      </c>
      <c r="B272">
        <v>0.80205389573459707</v>
      </c>
      <c r="C272">
        <f t="shared" si="8"/>
        <v>1.008020538957346</v>
      </c>
      <c r="D272">
        <f t="shared" si="9"/>
        <v>4.0398792206604321</v>
      </c>
    </row>
    <row r="273" spans="1:4">
      <c r="A273" s="4">
        <v>51987</v>
      </c>
      <c r="B273">
        <v>0.37238216587677719</v>
      </c>
      <c r="C273">
        <f t="shared" si="8"/>
        <v>1.0037238216587678</v>
      </c>
      <c r="D273">
        <f t="shared" si="9"/>
        <v>4.0549230104011338</v>
      </c>
    </row>
    <row r="274" spans="1:4">
      <c r="A274" s="4">
        <v>52018</v>
      </c>
      <c r="B274">
        <v>0.34373738388625585</v>
      </c>
      <c r="C274">
        <f t="shared" si="8"/>
        <v>1.0034373738388627</v>
      </c>
      <c r="D274">
        <f t="shared" si="9"/>
        <v>4.0688612966756885</v>
      </c>
    </row>
    <row r="275" spans="1:4">
      <c r="A275" s="4">
        <v>52048</v>
      </c>
      <c r="B275">
        <v>0.31509260189573457</v>
      </c>
      <c r="C275">
        <f t="shared" si="8"/>
        <v>1.0031509260189573</v>
      </c>
      <c r="D275">
        <f t="shared" si="9"/>
        <v>4.0816819776029121</v>
      </c>
    </row>
    <row r="276" spans="1:4">
      <c r="A276" s="4">
        <v>52079</v>
      </c>
      <c r="B276">
        <v>0.15754630094786728</v>
      </c>
      <c r="C276">
        <f t="shared" si="8"/>
        <v>1.0015754630094786</v>
      </c>
      <c r="D276">
        <f t="shared" si="9"/>
        <v>4.0881125165750811</v>
      </c>
    </row>
    <row r="277" spans="1:4">
      <c r="A277" s="4">
        <v>52110</v>
      </c>
      <c r="B277">
        <v>8.5934345971563963E-2</v>
      </c>
      <c r="C277">
        <f t="shared" si="8"/>
        <v>1.0008593434597157</v>
      </c>
      <c r="D277">
        <f t="shared" si="9"/>
        <v>4.0916256093287817</v>
      </c>
    </row>
    <row r="278" spans="1:4">
      <c r="A278" s="4">
        <v>52140</v>
      </c>
      <c r="B278">
        <v>0.11464707109004739</v>
      </c>
      <c r="C278">
        <f t="shared" si="8"/>
        <v>1.0011464707109006</v>
      </c>
      <c r="D278">
        <f t="shared" si="9"/>
        <v>4.0963165382498481</v>
      </c>
    </row>
    <row r="279" spans="1:4">
      <c r="A279" s="4">
        <v>52171</v>
      </c>
      <c r="B279">
        <v>0.67355154265402828</v>
      </c>
      <c r="C279">
        <f t="shared" si="8"/>
        <v>1.0067355154265403</v>
      </c>
      <c r="D279">
        <f t="shared" si="9"/>
        <v>4.1239073414852223</v>
      </c>
    </row>
    <row r="280" spans="1:4">
      <c r="A280" s="4">
        <v>52201</v>
      </c>
      <c r="B280">
        <v>1.3900957369668245</v>
      </c>
      <c r="C280">
        <f t="shared" si="8"/>
        <v>1.0139009573696682</v>
      </c>
      <c r="D280">
        <f t="shared" si="9"/>
        <v>4.1812336016356699</v>
      </c>
    </row>
    <row r="281" spans="1:4">
      <c r="A281" s="4">
        <v>52232</v>
      </c>
      <c r="B281">
        <v>0.6018971232227488</v>
      </c>
      <c r="C281">
        <f t="shared" si="8"/>
        <v>1.0060189712322274</v>
      </c>
      <c r="D281">
        <f t="shared" si="9"/>
        <v>4.2064003263991374</v>
      </c>
    </row>
    <row r="282" spans="1:4">
      <c r="A282" s="4">
        <v>52263</v>
      </c>
      <c r="B282">
        <v>0.47291916824644548</v>
      </c>
      <c r="C282">
        <f t="shared" si="8"/>
        <v>1.0047291916824646</v>
      </c>
      <c r="D282">
        <f t="shared" si="9"/>
        <v>4.2262931998358608</v>
      </c>
    </row>
    <row r="283" spans="1:4">
      <c r="A283" s="4">
        <v>52291</v>
      </c>
      <c r="B283">
        <v>0.71654419431279615</v>
      </c>
      <c r="C283">
        <f t="shared" si="8"/>
        <v>1.007165441943128</v>
      </c>
      <c r="D283">
        <f t="shared" si="9"/>
        <v>4.256576458393921</v>
      </c>
    </row>
    <row r="284" spans="1:4">
      <c r="A284" s="4">
        <v>52322</v>
      </c>
      <c r="B284">
        <v>0.80252949763033166</v>
      </c>
      <c r="C284">
        <f t="shared" si="8"/>
        <v>1.0080252949763033</v>
      </c>
      <c r="D284">
        <f t="shared" si="9"/>
        <v>4.2907367400617211</v>
      </c>
    </row>
    <row r="285" spans="1:4">
      <c r="A285" s="4">
        <v>52352</v>
      </c>
      <c r="B285">
        <v>0.37260298104265399</v>
      </c>
      <c r="C285">
        <f t="shared" si="8"/>
        <v>1.0037260298104265</v>
      </c>
      <c r="D285">
        <f t="shared" si="9"/>
        <v>4.3067241530638833</v>
      </c>
    </row>
    <row r="286" spans="1:4">
      <c r="A286" s="4">
        <v>52383</v>
      </c>
      <c r="B286">
        <v>0.34394121327014215</v>
      </c>
      <c r="C286">
        <f t="shared" si="8"/>
        <v>1.0034394121327015</v>
      </c>
      <c r="D286">
        <f t="shared" si="9"/>
        <v>4.3215367523681296</v>
      </c>
    </row>
    <row r="287" spans="1:4">
      <c r="A287" s="4">
        <v>52413</v>
      </c>
      <c r="B287">
        <v>0.31527944549763026</v>
      </c>
      <c r="C287">
        <f t="shared" si="8"/>
        <v>1.0031527944549763</v>
      </c>
      <c r="D287">
        <f t="shared" si="9"/>
        <v>4.335161669477972</v>
      </c>
    </row>
    <row r="288" spans="1:4">
      <c r="A288" s="4">
        <v>52444</v>
      </c>
      <c r="B288">
        <v>0.15763972274881513</v>
      </c>
      <c r="C288">
        <f t="shared" si="8"/>
        <v>1.0015763972274883</v>
      </c>
      <c r="D288">
        <f t="shared" si="9"/>
        <v>4.34199560631445</v>
      </c>
    </row>
    <row r="289" spans="1:4">
      <c r="A289" s="4">
        <v>52475</v>
      </c>
      <c r="B289">
        <v>8.5985303317535539E-2</v>
      </c>
      <c r="C289">
        <f t="shared" si="8"/>
        <v>1.0008598530331754</v>
      </c>
      <c r="D289">
        <f t="shared" si="9"/>
        <v>4.3457290844065737</v>
      </c>
    </row>
    <row r="290" spans="1:4">
      <c r="A290" s="4">
        <v>52505</v>
      </c>
      <c r="B290">
        <v>0.11470881516587676</v>
      </c>
      <c r="C290">
        <f t="shared" si="8"/>
        <v>1.0011470881516589</v>
      </c>
      <c r="D290">
        <f t="shared" si="9"/>
        <v>4.3507140187496161</v>
      </c>
    </row>
    <row r="291" spans="1:4">
      <c r="A291" s="4">
        <v>52536</v>
      </c>
      <c r="B291">
        <v>0.67391428909952589</v>
      </c>
      <c r="C291">
        <f t="shared" si="8"/>
        <v>1.0067391428909953</v>
      </c>
      <c r="D291">
        <f t="shared" si="9"/>
        <v>4.3800341021998266</v>
      </c>
    </row>
    <row r="292" spans="1:4">
      <c r="A292" s="4">
        <v>52566</v>
      </c>
      <c r="B292">
        <v>1.3908443838862556</v>
      </c>
      <c r="C292">
        <f t="shared" si="8"/>
        <v>1.0139084438388626</v>
      </c>
      <c r="D292">
        <f t="shared" si="9"/>
        <v>4.4409535605225754</v>
      </c>
    </row>
    <row r="293" spans="1:4">
      <c r="A293" s="4">
        <v>52597</v>
      </c>
      <c r="B293">
        <v>0.60222127962085303</v>
      </c>
      <c r="C293">
        <f t="shared" si="8"/>
        <v>1.0060222127962086</v>
      </c>
      <c r="D293">
        <f t="shared" si="9"/>
        <v>4.4676979278821225</v>
      </c>
    </row>
    <row r="294" spans="1:4">
      <c r="A294" s="4">
        <v>52628</v>
      </c>
      <c r="B294">
        <v>0.47317386255924165</v>
      </c>
      <c r="C294">
        <f t="shared" si="8"/>
        <v>1.0047317386255925</v>
      </c>
      <c r="D294">
        <f t="shared" si="9"/>
        <v>4.488837906734962</v>
      </c>
    </row>
    <row r="295" spans="1:4">
      <c r="A295" s="4">
        <v>52657</v>
      </c>
      <c r="B295">
        <v>0.71693009478672975</v>
      </c>
      <c r="C295">
        <f t="shared" si="8"/>
        <v>1.0071693009478673</v>
      </c>
      <c r="D295">
        <f t="shared" si="9"/>
        <v>4.521019736594539</v>
      </c>
    </row>
    <row r="296" spans="1:4">
      <c r="A296" s="4">
        <v>52688</v>
      </c>
      <c r="B296">
        <v>0.80296170616113727</v>
      </c>
      <c r="C296">
        <f t="shared" si="8"/>
        <v>1.0080296170616114</v>
      </c>
      <c r="D296">
        <f t="shared" si="9"/>
        <v>4.5573217938073807</v>
      </c>
    </row>
    <row r="297" spans="1:4">
      <c r="A297" s="4">
        <v>52718</v>
      </c>
      <c r="B297">
        <v>0.37280364928909948</v>
      </c>
      <c r="C297">
        <f t="shared" si="8"/>
        <v>1.0037280364928909</v>
      </c>
      <c r="D297">
        <f t="shared" si="9"/>
        <v>4.5743116557645411</v>
      </c>
    </row>
    <row r="298" spans="1:4">
      <c r="A298" s="4">
        <v>52749</v>
      </c>
      <c r="B298">
        <v>0.34412644549763027</v>
      </c>
      <c r="C298">
        <f t="shared" si="8"/>
        <v>1.0034412644549764</v>
      </c>
      <c r="D298">
        <f t="shared" si="9"/>
        <v>4.590053071871508</v>
      </c>
    </row>
    <row r="299" spans="1:4">
      <c r="A299" s="4">
        <v>52779</v>
      </c>
      <c r="B299">
        <v>0.31544924170616107</v>
      </c>
      <c r="C299">
        <f t="shared" si="8"/>
        <v>1.0031544924170617</v>
      </c>
      <c r="D299">
        <f t="shared" si="9"/>
        <v>4.6045323594806371</v>
      </c>
    </row>
    <row r="300" spans="1:4">
      <c r="A300" s="4">
        <v>52810</v>
      </c>
      <c r="B300">
        <v>0.15772462085308053</v>
      </c>
      <c r="C300">
        <f t="shared" si="8"/>
        <v>1.0015772462085308</v>
      </c>
      <c r="D300">
        <f t="shared" si="9"/>
        <v>4.6117948406866853</v>
      </c>
    </row>
    <row r="301" spans="1:4">
      <c r="A301" s="4">
        <v>52841</v>
      </c>
      <c r="B301">
        <v>8.6031611374407568E-2</v>
      </c>
      <c r="C301">
        <f t="shared" si="8"/>
        <v>1.0008603161137442</v>
      </c>
      <c r="D301">
        <f t="shared" si="9"/>
        <v>4.6157624421014098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750FB-8341-42F3-ABA1-BC1D8A629F52}">
  <dimension ref="A1:D241"/>
  <sheetViews>
    <sheetView workbookViewId="0">
      <selection activeCell="D25" sqref="D25:D85"/>
    </sheetView>
  </sheetViews>
  <sheetFormatPr defaultRowHeight="15"/>
  <cols>
    <col min="1" max="1" width="11.140625" customWidth="1"/>
    <col min="2" max="2" width="10.140625" customWidth="1"/>
    <col min="4" max="4" width="13" customWidth="1"/>
  </cols>
  <sheetData>
    <row r="1" spans="1:4">
      <c r="A1" t="s">
        <v>21</v>
      </c>
      <c r="B1" t="s">
        <v>150</v>
      </c>
      <c r="C1" t="s">
        <v>22</v>
      </c>
      <c r="D1" t="s">
        <v>149</v>
      </c>
    </row>
    <row r="2" spans="1:4" hidden="1">
      <c r="A2" s="4">
        <v>43678</v>
      </c>
      <c r="B2" s="5">
        <v>0.11</v>
      </c>
      <c r="C2">
        <f>1+B2/100</f>
        <v>1.0011000000000001</v>
      </c>
      <c r="D2">
        <v>1.0011000000000001</v>
      </c>
    </row>
    <row r="3" spans="1:4" hidden="1">
      <c r="A3" s="4">
        <v>43709</v>
      </c>
      <c r="B3" s="5">
        <v>-0.04</v>
      </c>
      <c r="C3">
        <f t="shared" ref="C3:C66" si="0">1+B3/100</f>
        <v>0.99960000000000004</v>
      </c>
      <c r="D3">
        <f>C3*D2</f>
        <v>1.0006995600000002</v>
      </c>
    </row>
    <row r="4" spans="1:4" hidden="1">
      <c r="A4" s="4">
        <v>43739</v>
      </c>
      <c r="B4" s="5">
        <v>0.1</v>
      </c>
      <c r="C4">
        <f t="shared" si="0"/>
        <v>1.0009999999999999</v>
      </c>
      <c r="D4">
        <f t="shared" ref="D4:D67" si="1">C4*D3</f>
        <v>1.00170025956</v>
      </c>
    </row>
    <row r="5" spans="1:4" hidden="1">
      <c r="A5" s="4">
        <v>43770</v>
      </c>
      <c r="B5" s="5">
        <v>0.51</v>
      </c>
      <c r="C5">
        <f t="shared" si="0"/>
        <v>1.0051000000000001</v>
      </c>
      <c r="D5">
        <f t="shared" si="1"/>
        <v>1.006808930883756</v>
      </c>
    </row>
    <row r="6" spans="1:4" hidden="1">
      <c r="A6" s="4">
        <v>43800</v>
      </c>
      <c r="B6" s="5">
        <v>1.1499999999999999</v>
      </c>
      <c r="C6">
        <f t="shared" si="0"/>
        <v>1.0115000000000001</v>
      </c>
      <c r="D6">
        <f t="shared" si="1"/>
        <v>1.0183872335889192</v>
      </c>
    </row>
    <row r="7" spans="1:4">
      <c r="A7" s="4">
        <v>43831</v>
      </c>
      <c r="B7" s="5">
        <v>0.21</v>
      </c>
      <c r="C7">
        <f t="shared" si="0"/>
        <v>1.0021</v>
      </c>
      <c r="D7">
        <f t="shared" si="1"/>
        <v>1.020525846779456</v>
      </c>
    </row>
    <row r="8" spans="1:4" hidden="1">
      <c r="A8" s="4">
        <v>43862</v>
      </c>
      <c r="B8" s="5">
        <v>0.25</v>
      </c>
      <c r="C8">
        <f t="shared" si="0"/>
        <v>1.0024999999999999</v>
      </c>
      <c r="D8">
        <f t="shared" si="1"/>
        <v>1.0230771613964047</v>
      </c>
    </row>
    <row r="9" spans="1:4" hidden="1">
      <c r="A9" s="4">
        <v>43891</v>
      </c>
      <c r="B9" s="5">
        <v>7.0000000000000007E-2</v>
      </c>
      <c r="C9">
        <f t="shared" si="0"/>
        <v>1.0006999999999999</v>
      </c>
      <c r="D9">
        <f t="shared" si="1"/>
        <v>1.0237933154093821</v>
      </c>
    </row>
    <row r="10" spans="1:4" hidden="1">
      <c r="A10" s="4">
        <v>43922</v>
      </c>
      <c r="B10" s="5">
        <v>-0.31</v>
      </c>
      <c r="C10">
        <f t="shared" si="0"/>
        <v>0.99690000000000001</v>
      </c>
      <c r="D10">
        <f t="shared" si="1"/>
        <v>1.0206195561316131</v>
      </c>
    </row>
    <row r="11" spans="1:4" hidden="1">
      <c r="A11" s="4">
        <v>43952</v>
      </c>
      <c r="B11" s="5">
        <v>-0.38</v>
      </c>
      <c r="C11">
        <f t="shared" si="0"/>
        <v>0.99619999999999997</v>
      </c>
      <c r="D11">
        <f t="shared" si="1"/>
        <v>1.0167412018183131</v>
      </c>
    </row>
    <row r="12" spans="1:4" hidden="1">
      <c r="A12" s="4">
        <v>43983</v>
      </c>
      <c r="B12" s="5">
        <v>0.26</v>
      </c>
      <c r="C12">
        <f t="shared" si="0"/>
        <v>1.0025999999999999</v>
      </c>
      <c r="D12">
        <f t="shared" si="1"/>
        <v>1.0193847289430407</v>
      </c>
    </row>
    <row r="13" spans="1:4">
      <c r="A13" s="4">
        <v>44013</v>
      </c>
      <c r="B13" s="5">
        <v>0.36</v>
      </c>
      <c r="C13">
        <f t="shared" si="0"/>
        <v>1.0036</v>
      </c>
      <c r="D13">
        <f t="shared" si="1"/>
        <v>1.0230545139672356</v>
      </c>
    </row>
    <row r="14" spans="1:4" hidden="1">
      <c r="A14" s="4">
        <v>44044</v>
      </c>
      <c r="B14" s="5">
        <v>0.24</v>
      </c>
      <c r="C14">
        <f t="shared" si="0"/>
        <v>1.0024</v>
      </c>
      <c r="D14">
        <f t="shared" si="1"/>
        <v>1.0255098448007569</v>
      </c>
    </row>
    <row r="15" spans="1:4" hidden="1">
      <c r="A15" s="4">
        <v>44075</v>
      </c>
      <c r="B15" s="5">
        <v>0.64</v>
      </c>
      <c r="C15">
        <f t="shared" si="0"/>
        <v>1.0064</v>
      </c>
      <c r="D15">
        <f t="shared" si="1"/>
        <v>1.0320731078074816</v>
      </c>
    </row>
    <row r="16" spans="1:4" hidden="1">
      <c r="A16" s="4">
        <v>44105</v>
      </c>
      <c r="B16" s="5">
        <v>0.86</v>
      </c>
      <c r="C16">
        <f t="shared" si="0"/>
        <v>1.0085999999999999</v>
      </c>
      <c r="D16">
        <f t="shared" si="1"/>
        <v>1.0409489365346258</v>
      </c>
    </row>
    <row r="17" spans="1:4" hidden="1">
      <c r="A17" s="4">
        <v>44136</v>
      </c>
      <c r="B17" s="5">
        <v>0.89</v>
      </c>
      <c r="C17">
        <f t="shared" si="0"/>
        <v>1.0088999999999999</v>
      </c>
      <c r="D17">
        <f t="shared" si="1"/>
        <v>1.0502133820697839</v>
      </c>
    </row>
    <row r="18" spans="1:4" hidden="1">
      <c r="A18" s="4">
        <v>44166</v>
      </c>
      <c r="B18" s="5">
        <v>1.35</v>
      </c>
      <c r="C18">
        <f t="shared" si="0"/>
        <v>1.0135000000000001</v>
      </c>
      <c r="D18">
        <f t="shared" si="1"/>
        <v>1.0643912627277261</v>
      </c>
    </row>
    <row r="19" spans="1:4">
      <c r="A19" s="4">
        <v>44197</v>
      </c>
      <c r="B19" s="5">
        <v>0.25</v>
      </c>
      <c r="C19">
        <f t="shared" si="0"/>
        <v>1.0024999999999999</v>
      </c>
      <c r="D19">
        <f t="shared" si="1"/>
        <v>1.0670522408845453</v>
      </c>
    </row>
    <row r="20" spans="1:4" hidden="1">
      <c r="A20" s="4">
        <v>44228</v>
      </c>
      <c r="B20" s="5">
        <v>0.86</v>
      </c>
      <c r="C20">
        <f t="shared" si="0"/>
        <v>1.0085999999999999</v>
      </c>
      <c r="D20">
        <f t="shared" si="1"/>
        <v>1.0762288901561523</v>
      </c>
    </row>
    <row r="21" spans="1:4" hidden="1">
      <c r="A21" s="4">
        <v>44256</v>
      </c>
      <c r="B21" s="5">
        <v>0.93</v>
      </c>
      <c r="C21">
        <f t="shared" si="0"/>
        <v>1.0093000000000001</v>
      </c>
      <c r="D21">
        <f t="shared" si="1"/>
        <v>1.0862378188346047</v>
      </c>
    </row>
    <row r="22" spans="1:4" hidden="1">
      <c r="A22" s="4">
        <v>44287</v>
      </c>
      <c r="B22" s="5">
        <v>0.31</v>
      </c>
      <c r="C22">
        <f t="shared" si="0"/>
        <v>1.0031000000000001</v>
      </c>
      <c r="D22">
        <f t="shared" si="1"/>
        <v>1.089605156072992</v>
      </c>
    </row>
    <row r="23" spans="1:4" hidden="1">
      <c r="A23" s="4">
        <v>44317</v>
      </c>
      <c r="B23" s="5">
        <v>0.83</v>
      </c>
      <c r="C23">
        <f t="shared" si="0"/>
        <v>1.0083</v>
      </c>
      <c r="D23">
        <f t="shared" si="1"/>
        <v>1.0986488788683979</v>
      </c>
    </row>
    <row r="24" spans="1:4" hidden="1">
      <c r="A24" s="4">
        <v>44348</v>
      </c>
      <c r="B24" s="5">
        <v>0.53</v>
      </c>
      <c r="C24">
        <f t="shared" si="0"/>
        <v>1.0053000000000001</v>
      </c>
      <c r="D24">
        <f t="shared" si="1"/>
        <v>1.1044717179264005</v>
      </c>
    </row>
    <row r="25" spans="1:4">
      <c r="A25" s="4">
        <v>44378</v>
      </c>
      <c r="B25" s="5">
        <v>0.96</v>
      </c>
      <c r="C25">
        <f t="shared" si="0"/>
        <v>1.0096000000000001</v>
      </c>
      <c r="D25">
        <f t="shared" si="1"/>
        <v>1.115074646418494</v>
      </c>
    </row>
    <row r="26" spans="1:4" hidden="1">
      <c r="A26" s="4">
        <v>44409</v>
      </c>
      <c r="B26" s="5">
        <v>0.87</v>
      </c>
      <c r="C26">
        <f t="shared" si="0"/>
        <v>1.0086999999999999</v>
      </c>
      <c r="D26">
        <f t="shared" si="1"/>
        <v>1.1247757958423348</v>
      </c>
    </row>
    <row r="27" spans="1:4" hidden="1">
      <c r="A27" s="4">
        <v>44440</v>
      </c>
      <c r="B27" s="5">
        <v>1.1599999999999999</v>
      </c>
      <c r="C27">
        <f t="shared" si="0"/>
        <v>1.0116000000000001</v>
      </c>
      <c r="D27">
        <f t="shared" si="1"/>
        <v>1.137823195074106</v>
      </c>
    </row>
    <row r="28" spans="1:4" hidden="1">
      <c r="A28" s="4">
        <v>44470</v>
      </c>
      <c r="B28" s="5">
        <v>1.25</v>
      </c>
      <c r="C28">
        <f t="shared" si="0"/>
        <v>1.0125</v>
      </c>
      <c r="D28">
        <f t="shared" si="1"/>
        <v>1.1520459850125322</v>
      </c>
    </row>
    <row r="29" spans="1:4" hidden="1">
      <c r="A29" s="4">
        <v>44501</v>
      </c>
      <c r="B29" s="5">
        <v>0.95</v>
      </c>
      <c r="C29">
        <f t="shared" si="0"/>
        <v>1.0095000000000001</v>
      </c>
      <c r="D29">
        <f t="shared" si="1"/>
        <v>1.1629904218701512</v>
      </c>
    </row>
    <row r="30" spans="1:4" hidden="1">
      <c r="A30" s="4">
        <v>44531</v>
      </c>
      <c r="B30" s="5">
        <v>0.73</v>
      </c>
      <c r="C30">
        <f t="shared" si="0"/>
        <v>1.0073000000000001</v>
      </c>
      <c r="D30">
        <f t="shared" si="1"/>
        <v>1.1714802519498033</v>
      </c>
    </row>
    <row r="31" spans="1:4">
      <c r="A31" s="4">
        <v>44562</v>
      </c>
      <c r="B31" s="5">
        <v>0.54</v>
      </c>
      <c r="C31">
        <f t="shared" si="0"/>
        <v>1.0054000000000001</v>
      </c>
      <c r="D31">
        <f t="shared" si="1"/>
        <v>1.1778062453103324</v>
      </c>
    </row>
    <row r="32" spans="1:4" hidden="1">
      <c r="A32" s="4">
        <v>44593</v>
      </c>
      <c r="B32" s="5">
        <v>1.01</v>
      </c>
      <c r="C32">
        <f t="shared" si="0"/>
        <v>1.0101</v>
      </c>
      <c r="D32">
        <f t="shared" si="1"/>
        <v>1.1897020883879668</v>
      </c>
    </row>
    <row r="33" spans="1:4" hidden="1">
      <c r="A33" s="4">
        <v>44621</v>
      </c>
      <c r="B33" s="5">
        <v>1.62</v>
      </c>
      <c r="C33">
        <f t="shared" si="0"/>
        <v>1.0162</v>
      </c>
      <c r="D33">
        <f t="shared" si="1"/>
        <v>1.2089752622198517</v>
      </c>
    </row>
    <row r="34" spans="1:4" hidden="1">
      <c r="A34" s="4">
        <v>44652</v>
      </c>
      <c r="B34" s="5">
        <v>1.06</v>
      </c>
      <c r="C34">
        <f t="shared" si="0"/>
        <v>1.0105999999999999</v>
      </c>
      <c r="D34">
        <f t="shared" si="1"/>
        <v>1.221790399999382</v>
      </c>
    </row>
    <row r="35" spans="1:4" hidden="1">
      <c r="A35" s="4">
        <v>44682</v>
      </c>
      <c r="B35" s="5">
        <v>0.47</v>
      </c>
      <c r="C35">
        <f t="shared" si="0"/>
        <v>1.0046999999999999</v>
      </c>
      <c r="D35">
        <f t="shared" si="1"/>
        <v>1.2275328148793789</v>
      </c>
    </row>
    <row r="36" spans="1:4" hidden="1">
      <c r="A36" s="4">
        <v>44713</v>
      </c>
      <c r="B36" s="5">
        <v>0.67</v>
      </c>
      <c r="C36">
        <f t="shared" si="0"/>
        <v>1.0066999999999999</v>
      </c>
      <c r="D36">
        <f t="shared" si="1"/>
        <v>1.2357572847390708</v>
      </c>
    </row>
    <row r="37" spans="1:4">
      <c r="A37" s="4">
        <v>44743</v>
      </c>
      <c r="B37" s="5">
        <v>-0.68</v>
      </c>
      <c r="C37">
        <f t="shared" si="0"/>
        <v>0.99319999999999997</v>
      </c>
      <c r="D37">
        <f t="shared" si="1"/>
        <v>1.227354135202845</v>
      </c>
    </row>
    <row r="38" spans="1:4" hidden="1">
      <c r="A38" s="4">
        <v>44774</v>
      </c>
      <c r="B38" s="5">
        <v>-0.36</v>
      </c>
      <c r="C38">
        <f t="shared" si="0"/>
        <v>0.99639999999999995</v>
      </c>
      <c r="D38">
        <f t="shared" si="1"/>
        <v>1.2229356603161148</v>
      </c>
    </row>
    <row r="39" spans="1:4" hidden="1">
      <c r="A39" s="4">
        <v>44805</v>
      </c>
      <c r="B39" s="5">
        <v>-0.28999999999999998</v>
      </c>
      <c r="C39">
        <f t="shared" si="0"/>
        <v>0.99709999999999999</v>
      </c>
      <c r="D39">
        <f t="shared" si="1"/>
        <v>1.2193891469011979</v>
      </c>
    </row>
    <row r="40" spans="1:4" hidden="1">
      <c r="A40" s="4">
        <v>44835</v>
      </c>
      <c r="B40">
        <v>0.33</v>
      </c>
      <c r="C40">
        <f t="shared" si="0"/>
        <v>1.0033000000000001</v>
      </c>
      <c r="D40">
        <f t="shared" si="1"/>
        <v>1.2234131310859719</v>
      </c>
    </row>
    <row r="41" spans="1:4" hidden="1">
      <c r="A41" s="4">
        <v>44866</v>
      </c>
      <c r="B41">
        <v>0.94638500140897963</v>
      </c>
      <c r="C41">
        <f t="shared" si="0"/>
        <v>1.0094638500140898</v>
      </c>
      <c r="D41">
        <f t="shared" si="1"/>
        <v>1.2349913294638375</v>
      </c>
    </row>
    <row r="42" spans="1:4" hidden="1">
      <c r="A42" s="4">
        <v>44896</v>
      </c>
      <c r="B42">
        <v>1.9531775560993834</v>
      </c>
      <c r="C42">
        <f t="shared" si="0"/>
        <v>1.0195317755609938</v>
      </c>
      <c r="D42">
        <f t="shared" si="1"/>
        <v>1.2591129029306987</v>
      </c>
    </row>
    <row r="43" spans="1:4">
      <c r="A43" s="4">
        <v>44927</v>
      </c>
      <c r="B43">
        <v>0.84570574593993919</v>
      </c>
      <c r="C43">
        <f t="shared" si="0"/>
        <v>1.0084570574593994</v>
      </c>
      <c r="D43">
        <f t="shared" si="1"/>
        <v>1.2697612930986548</v>
      </c>
    </row>
    <row r="44" spans="1:4" hidden="1">
      <c r="A44" s="4">
        <v>44958</v>
      </c>
      <c r="B44">
        <v>0.66448308609566664</v>
      </c>
      <c r="C44">
        <f t="shared" si="0"/>
        <v>1.0066448308609566</v>
      </c>
      <c r="D44">
        <f t="shared" si="1"/>
        <v>1.2781986421250848</v>
      </c>
    </row>
    <row r="45" spans="1:4" hidden="1">
      <c r="A45" s="4">
        <v>44986</v>
      </c>
      <c r="B45">
        <v>1.006792554690404</v>
      </c>
      <c r="C45">
        <f t="shared" si="0"/>
        <v>1.0100679255469041</v>
      </c>
      <c r="D45">
        <f t="shared" si="1"/>
        <v>1.2910674508881541</v>
      </c>
    </row>
    <row r="46" spans="1:4" hidden="1">
      <c r="A46" s="4">
        <v>45017</v>
      </c>
      <c r="B46">
        <v>1.1276076612532524</v>
      </c>
      <c r="C46">
        <f t="shared" si="0"/>
        <v>1.0112760766125326</v>
      </c>
      <c r="D46">
        <f t="shared" si="1"/>
        <v>1.3056256263763162</v>
      </c>
    </row>
    <row r="47" spans="1:4" hidden="1">
      <c r="A47" s="4">
        <v>45047</v>
      </c>
      <c r="B47">
        <v>0.41494999999999999</v>
      </c>
      <c r="C47">
        <f t="shared" si="0"/>
        <v>1.0041495</v>
      </c>
      <c r="D47">
        <f t="shared" si="1"/>
        <v>1.3110433199129647</v>
      </c>
    </row>
    <row r="48" spans="1:4" hidden="1">
      <c r="A48" s="4">
        <v>45078</v>
      </c>
      <c r="B48">
        <v>0.38303300000000001</v>
      </c>
      <c r="C48">
        <f t="shared" si="0"/>
        <v>1.00383033</v>
      </c>
      <c r="D48">
        <f t="shared" si="1"/>
        <v>1.3160650484725269</v>
      </c>
    </row>
    <row r="49" spans="1:4">
      <c r="A49" s="4">
        <v>45108</v>
      </c>
      <c r="B49">
        <v>0.35111999999999999</v>
      </c>
      <c r="C49">
        <f t="shared" si="0"/>
        <v>1.0035111999999999</v>
      </c>
      <c r="D49">
        <f t="shared" si="1"/>
        <v>1.3206860160707237</v>
      </c>
    </row>
    <row r="50" spans="1:4" hidden="1">
      <c r="A50" s="4">
        <v>45139</v>
      </c>
      <c r="B50">
        <v>0.17555687203791467</v>
      </c>
      <c r="C50">
        <f t="shared" si="0"/>
        <v>1.0017555687203792</v>
      </c>
      <c r="D50">
        <f t="shared" si="1"/>
        <v>1.3230045711299796</v>
      </c>
    </row>
    <row r="51" spans="1:4" hidden="1">
      <c r="A51" s="4">
        <v>45170</v>
      </c>
      <c r="B51">
        <v>9.5758293838862543E-2</v>
      </c>
      <c r="C51">
        <f t="shared" si="0"/>
        <v>1.0009575829383885</v>
      </c>
      <c r="D51">
        <f t="shared" si="1"/>
        <v>1.3242714577347037</v>
      </c>
    </row>
    <row r="52" spans="1:4" hidden="1">
      <c r="A52" s="4">
        <v>45200</v>
      </c>
      <c r="B52">
        <v>0.12767772511848341</v>
      </c>
      <c r="C52">
        <f t="shared" si="0"/>
        <v>1.0012767772511848</v>
      </c>
      <c r="D52">
        <f t="shared" si="1"/>
        <v>1.3259622574063328</v>
      </c>
    </row>
    <row r="53" spans="1:4" hidden="1">
      <c r="A53" s="4">
        <v>45231</v>
      </c>
      <c r="B53">
        <v>0.66754478672985762</v>
      </c>
      <c r="C53">
        <f t="shared" si="0"/>
        <v>1.0066754478672986</v>
      </c>
      <c r="D53">
        <f t="shared" si="1"/>
        <v>1.3348136493296543</v>
      </c>
    </row>
    <row r="54" spans="1:4" hidden="1">
      <c r="A54" s="4">
        <v>45261</v>
      </c>
      <c r="B54">
        <v>1.3776988151658764</v>
      </c>
      <c r="C54">
        <f t="shared" si="0"/>
        <v>1.0137769881516587</v>
      </c>
      <c r="D54">
        <f t="shared" si="1"/>
        <v>1.3532033611611414</v>
      </c>
    </row>
    <row r="55" spans="1:4">
      <c r="A55" s="4">
        <v>45292</v>
      </c>
      <c r="B55">
        <v>0.59652938388625576</v>
      </c>
      <c r="C55">
        <f t="shared" si="0"/>
        <v>1.0059652938388626</v>
      </c>
      <c r="D55">
        <f t="shared" si="1"/>
        <v>1.3612756168342039</v>
      </c>
    </row>
    <row r="56" spans="1:4" hidden="1">
      <c r="A56" s="4">
        <v>45323</v>
      </c>
      <c r="B56">
        <v>0.46870165876777242</v>
      </c>
      <c r="C56">
        <f t="shared" si="0"/>
        <v>1.0046870165876778</v>
      </c>
      <c r="D56">
        <f t="shared" si="1"/>
        <v>1.3676559382307072</v>
      </c>
    </row>
    <row r="57" spans="1:4" hidden="1">
      <c r="A57" s="4">
        <v>45352</v>
      </c>
      <c r="B57">
        <v>0.71015402843601882</v>
      </c>
      <c r="C57">
        <f t="shared" si="0"/>
        <v>1.0071015402843602</v>
      </c>
      <c r="D57">
        <f t="shared" si="1"/>
        <v>1.3773684019711969</v>
      </c>
    </row>
    <row r="58" spans="1:4" hidden="1">
      <c r="A58" s="4">
        <v>45383</v>
      </c>
      <c r="B58">
        <v>0.79537251184834112</v>
      </c>
      <c r="C58">
        <f t="shared" si="0"/>
        <v>1.0079537251184834</v>
      </c>
      <c r="D58">
        <f t="shared" si="1"/>
        <v>1.3883236116273605</v>
      </c>
    </row>
    <row r="59" spans="1:4" hidden="1">
      <c r="A59" s="4">
        <v>45413</v>
      </c>
      <c r="B59">
        <v>0.3692800947867298</v>
      </c>
      <c r="C59">
        <f t="shared" si="0"/>
        <v>1.0036928009478674</v>
      </c>
      <c r="D59">
        <f t="shared" si="1"/>
        <v>1.3934504143763247</v>
      </c>
    </row>
    <row r="60" spans="1:4" hidden="1">
      <c r="A60" s="4">
        <v>45444</v>
      </c>
      <c r="B60">
        <v>0.34087393364928903</v>
      </c>
      <c r="C60">
        <f t="shared" si="0"/>
        <v>1.003408739336493</v>
      </c>
      <c r="D60">
        <f t="shared" si="1"/>
        <v>1.3982003236172618</v>
      </c>
    </row>
    <row r="61" spans="1:4">
      <c r="A61" s="4">
        <v>45474</v>
      </c>
      <c r="B61">
        <v>0.31246777251184826</v>
      </c>
      <c r="C61">
        <f t="shared" si="0"/>
        <v>1.0031246777251184</v>
      </c>
      <c r="D61">
        <f t="shared" si="1"/>
        <v>1.4025692490237218</v>
      </c>
    </row>
    <row r="62" spans="1:4" hidden="1">
      <c r="A62" s="4">
        <v>45505</v>
      </c>
      <c r="B62">
        <v>0.15623388625592413</v>
      </c>
      <c r="C62">
        <f t="shared" si="0"/>
        <v>1.0015623388625592</v>
      </c>
      <c r="D62">
        <f t="shared" si="1"/>
        <v>1.4047605374689021</v>
      </c>
    </row>
    <row r="63" spans="1:4" hidden="1">
      <c r="A63" s="4">
        <v>45536</v>
      </c>
      <c r="B63">
        <v>8.5218483412322257E-2</v>
      </c>
      <c r="C63">
        <f t="shared" si="0"/>
        <v>1.0008521848341232</v>
      </c>
      <c r="D63">
        <f t="shared" si="1"/>
        <v>1.4059576530945077</v>
      </c>
    </row>
    <row r="64" spans="1:4" hidden="1">
      <c r="A64" s="4">
        <v>45566</v>
      </c>
      <c r="B64">
        <v>0.11362464454976301</v>
      </c>
      <c r="C64">
        <f t="shared" si="0"/>
        <v>1.0011362464454976</v>
      </c>
      <c r="D64">
        <f t="shared" si="1"/>
        <v>1.4075551674803566</v>
      </c>
    </row>
    <row r="65" spans="1:4" hidden="1">
      <c r="A65" s="4">
        <v>45597</v>
      </c>
      <c r="B65">
        <v>0.64748625592417042</v>
      </c>
      <c r="C65">
        <f t="shared" si="0"/>
        <v>1.0064748625592417</v>
      </c>
      <c r="D65">
        <f t="shared" si="1"/>
        <v>1.4166688937343423</v>
      </c>
    </row>
    <row r="66" spans="1:4" hidden="1">
      <c r="A66" s="4">
        <v>45627</v>
      </c>
      <c r="B66">
        <v>1.3363014218009477</v>
      </c>
      <c r="C66">
        <f t="shared" si="0"/>
        <v>1.0133630142180095</v>
      </c>
      <c r="D66">
        <f t="shared" si="1"/>
        <v>1.435599860303526</v>
      </c>
    </row>
    <row r="67" spans="1:4">
      <c r="A67" s="4">
        <v>45658</v>
      </c>
      <c r="B67">
        <v>0.57860473933649281</v>
      </c>
      <c r="C67">
        <f t="shared" ref="C67:C130" si="2">1+B67/100</f>
        <v>1.0057860473933649</v>
      </c>
      <c r="D67">
        <f t="shared" si="1"/>
        <v>1.4439063091331503</v>
      </c>
    </row>
    <row r="68" spans="1:4" hidden="1">
      <c r="A68" s="4">
        <v>45689</v>
      </c>
      <c r="B68">
        <v>0.45461800947867292</v>
      </c>
      <c r="C68">
        <f t="shared" si="2"/>
        <v>1.0045461800947868</v>
      </c>
      <c r="D68">
        <f t="shared" ref="D68:D131" si="3">C68*D67</f>
        <v>1.4504705672544684</v>
      </c>
    </row>
    <row r="69" spans="1:4" hidden="1">
      <c r="A69" s="4">
        <v>45717</v>
      </c>
      <c r="B69">
        <v>0.68881516587677716</v>
      </c>
      <c r="C69">
        <f t="shared" si="2"/>
        <v>1.0068881516587678</v>
      </c>
      <c r="D69">
        <f t="shared" si="3"/>
        <v>1.4604616284982961</v>
      </c>
    </row>
    <row r="70" spans="1:4" hidden="1">
      <c r="A70" s="4">
        <v>45748</v>
      </c>
      <c r="B70">
        <v>0.77147298578199042</v>
      </c>
      <c r="C70">
        <f t="shared" si="2"/>
        <v>1.00771472985782</v>
      </c>
      <c r="D70">
        <f t="shared" si="3"/>
        <v>1.4717286954298723</v>
      </c>
    </row>
    <row r="71" spans="1:4" hidden="1">
      <c r="A71" s="4">
        <v>45778</v>
      </c>
      <c r="B71">
        <v>0.35818388625592412</v>
      </c>
      <c r="C71">
        <f t="shared" si="2"/>
        <v>1.0035818388625593</v>
      </c>
      <c r="D71">
        <f t="shared" si="3"/>
        <v>1.4770001904663066</v>
      </c>
    </row>
    <row r="72" spans="1:4" hidden="1">
      <c r="A72" s="4">
        <v>45809</v>
      </c>
      <c r="B72">
        <v>0.33063127962085304</v>
      </c>
      <c r="C72">
        <f t="shared" si="2"/>
        <v>1.0033063127962085</v>
      </c>
      <c r="D72">
        <f t="shared" si="3"/>
        <v>1.4818836150960477</v>
      </c>
    </row>
    <row r="73" spans="1:4">
      <c r="A73" s="4">
        <v>45839</v>
      </c>
      <c r="B73">
        <v>0.30307867298578195</v>
      </c>
      <c r="C73">
        <f t="shared" si="2"/>
        <v>1.0030307867298578</v>
      </c>
      <c r="D73">
        <f t="shared" si="3"/>
        <v>1.4863748882918746</v>
      </c>
    </row>
    <row r="74" spans="1:4" hidden="1">
      <c r="A74" s="4">
        <v>45870</v>
      </c>
      <c r="B74">
        <v>0.15153933649289097</v>
      </c>
      <c r="C74">
        <f t="shared" si="2"/>
        <v>1.001515393364929</v>
      </c>
      <c r="D74">
        <f t="shared" si="3"/>
        <v>1.4886273309353892</v>
      </c>
    </row>
    <row r="75" spans="1:4" hidden="1">
      <c r="A75" s="4">
        <v>45901</v>
      </c>
      <c r="B75">
        <v>8.2657819905213259E-2</v>
      </c>
      <c r="C75">
        <f t="shared" si="2"/>
        <v>1.0008265781990522</v>
      </c>
      <c r="D75">
        <f t="shared" si="3"/>
        <v>1.4898577978336536</v>
      </c>
    </row>
    <row r="76" spans="1:4" hidden="1">
      <c r="A76" s="4">
        <v>45931</v>
      </c>
      <c r="B76">
        <v>0.11021042654028435</v>
      </c>
      <c r="C76">
        <f t="shared" si="2"/>
        <v>1.0011021042654029</v>
      </c>
      <c r="D76">
        <f t="shared" si="3"/>
        <v>1.4914997764674898</v>
      </c>
    </row>
    <row r="77" spans="1:4" hidden="1">
      <c r="A77" s="4">
        <v>45962</v>
      </c>
      <c r="B77">
        <v>0.64681800947867285</v>
      </c>
      <c r="C77">
        <f t="shared" si="2"/>
        <v>1.0064681800947868</v>
      </c>
      <c r="D77">
        <f t="shared" si="3"/>
        <v>1.5011470656330157</v>
      </c>
    </row>
    <row r="78" spans="1:4" hidden="1">
      <c r="A78" s="4">
        <v>45992</v>
      </c>
      <c r="B78">
        <v>1.3349222748815164</v>
      </c>
      <c r="C78">
        <f t="shared" si="2"/>
        <v>1.0133492227488152</v>
      </c>
      <c r="D78">
        <f t="shared" si="3"/>
        <v>1.5211862121908812</v>
      </c>
    </row>
    <row r="79" spans="1:4">
      <c r="A79" s="4">
        <v>46023</v>
      </c>
      <c r="B79">
        <v>0.5780075829383885</v>
      </c>
      <c r="C79">
        <f t="shared" si="2"/>
        <v>1.0057800758293838</v>
      </c>
      <c r="D79">
        <f t="shared" si="3"/>
        <v>1.5299787838479577</v>
      </c>
    </row>
    <row r="80" spans="1:4" hidden="1">
      <c r="A80" s="4">
        <v>46054</v>
      </c>
      <c r="B80">
        <v>0.45414881516587668</v>
      </c>
      <c r="C80">
        <f t="shared" si="2"/>
        <v>1.0045414881516588</v>
      </c>
      <c r="D80">
        <f t="shared" si="3"/>
        <v>1.5369271643670925</v>
      </c>
    </row>
    <row r="81" spans="1:4" hidden="1">
      <c r="A81" s="4">
        <v>46082</v>
      </c>
      <c r="B81">
        <v>0.68810426540284353</v>
      </c>
      <c r="C81">
        <f t="shared" si="2"/>
        <v>1.0068810426540284</v>
      </c>
      <c r="D81">
        <f t="shared" si="3"/>
        <v>1.5475028257412375</v>
      </c>
    </row>
    <row r="82" spans="1:4" hidden="1">
      <c r="A82" s="4">
        <v>46113</v>
      </c>
      <c r="B82">
        <v>0.77067677725118466</v>
      </c>
      <c r="C82">
        <f t="shared" si="2"/>
        <v>1.0077067677725118</v>
      </c>
      <c r="D82">
        <f t="shared" si="3"/>
        <v>1.559429070646531</v>
      </c>
    </row>
    <row r="83" spans="1:4" hidden="1">
      <c r="A83" s="4">
        <v>46143</v>
      </c>
      <c r="B83">
        <v>0.3578142180094786</v>
      </c>
      <c r="C83">
        <f t="shared" si="2"/>
        <v>1.0035781421800949</v>
      </c>
      <c r="D83">
        <f t="shared" si="3"/>
        <v>1.5650089295810776</v>
      </c>
    </row>
    <row r="84" spans="1:4" hidden="1">
      <c r="A84" s="4">
        <v>46174</v>
      </c>
      <c r="B84">
        <v>0.33029004739336487</v>
      </c>
      <c r="C84">
        <f t="shared" si="2"/>
        <v>1.0033029004739336</v>
      </c>
      <c r="D84">
        <f t="shared" si="3"/>
        <v>1.5701779983163011</v>
      </c>
    </row>
    <row r="85" spans="1:4">
      <c r="A85" s="4">
        <v>46204</v>
      </c>
      <c r="B85">
        <v>0.30276587677725114</v>
      </c>
      <c r="C85">
        <f t="shared" si="2"/>
        <v>1.0030276587677724</v>
      </c>
      <c r="D85">
        <f t="shared" si="3"/>
        <v>1.5749319614998669</v>
      </c>
    </row>
    <row r="86" spans="1:4" hidden="1">
      <c r="A86" s="4">
        <v>46235</v>
      </c>
      <c r="B86">
        <v>0.15138293838862557</v>
      </c>
      <c r="C86">
        <f t="shared" si="2"/>
        <v>1.0015138293838863</v>
      </c>
      <c r="D86">
        <f t="shared" si="3"/>
        <v>1.5773161397808071</v>
      </c>
    </row>
    <row r="87" spans="1:4" hidden="1">
      <c r="A87" s="4">
        <v>46266</v>
      </c>
      <c r="B87">
        <v>8.2572511848341218E-2</v>
      </c>
      <c r="C87">
        <f t="shared" si="2"/>
        <v>1.0008257251184833</v>
      </c>
      <c r="D87">
        <f t="shared" si="3"/>
        <v>1.5786185693372132</v>
      </c>
    </row>
    <row r="88" spans="1:4" hidden="1">
      <c r="A88" s="4">
        <v>46296</v>
      </c>
      <c r="B88">
        <v>0.11009668246445496</v>
      </c>
      <c r="C88">
        <f t="shared" si="2"/>
        <v>1.0011009668246444</v>
      </c>
      <c r="D88">
        <f t="shared" si="3"/>
        <v>1.5803565760108211</v>
      </c>
    </row>
    <row r="89" spans="1:4" hidden="1">
      <c r="A89" s="4">
        <v>46327</v>
      </c>
      <c r="B89">
        <v>0.65048222748815143</v>
      </c>
      <c r="C89">
        <f t="shared" si="2"/>
        <v>1.0065048222748816</v>
      </c>
      <c r="D89">
        <f t="shared" si="3"/>
        <v>1.5906365146687118</v>
      </c>
    </row>
    <row r="90" spans="1:4" hidden="1">
      <c r="A90" s="4">
        <v>46357</v>
      </c>
      <c r="B90">
        <v>1.3424845971563977</v>
      </c>
      <c r="C90">
        <f t="shared" si="2"/>
        <v>1.013424845971564</v>
      </c>
      <c r="D90">
        <f t="shared" si="3"/>
        <v>1.6119905648748847</v>
      </c>
    </row>
    <row r="91" spans="1:4">
      <c r="A91" s="4">
        <v>46388</v>
      </c>
      <c r="B91">
        <v>0.5812819905213269</v>
      </c>
      <c r="C91">
        <f t="shared" si="2"/>
        <v>1.0058128199052132</v>
      </c>
      <c r="D91">
        <f t="shared" si="3"/>
        <v>1.6213607757174053</v>
      </c>
    </row>
    <row r="92" spans="1:4" hidden="1">
      <c r="A92" s="4">
        <v>46419</v>
      </c>
      <c r="B92">
        <v>0.45672156398104258</v>
      </c>
      <c r="C92">
        <f t="shared" si="2"/>
        <v>1.0045672156398104</v>
      </c>
      <c r="D92">
        <f t="shared" si="3"/>
        <v>1.6287658800100371</v>
      </c>
    </row>
    <row r="93" spans="1:4" hidden="1">
      <c r="A93" s="4">
        <v>46447</v>
      </c>
      <c r="B93">
        <v>0.69200236966824635</v>
      </c>
      <c r="C93">
        <f t="shared" si="2"/>
        <v>1.0069200236966824</v>
      </c>
      <c r="D93">
        <f t="shared" si="3"/>
        <v>1.6400369784960545</v>
      </c>
    </row>
    <row r="94" spans="1:4" hidden="1">
      <c r="A94" s="4">
        <v>46478</v>
      </c>
      <c r="B94">
        <v>0.77504265402843586</v>
      </c>
      <c r="C94">
        <f t="shared" si="2"/>
        <v>1.0077504265402843</v>
      </c>
      <c r="D94">
        <f t="shared" si="3"/>
        <v>1.652747964621238</v>
      </c>
    </row>
    <row r="95" spans="1:4" hidden="1">
      <c r="A95" s="4">
        <v>46508</v>
      </c>
      <c r="B95">
        <v>0.35984123222748809</v>
      </c>
      <c r="C95">
        <f t="shared" si="2"/>
        <v>1.003598412322275</v>
      </c>
      <c r="D95">
        <f t="shared" si="3"/>
        <v>1.6586952332627458</v>
      </c>
    </row>
    <row r="96" spans="1:4" hidden="1">
      <c r="A96" s="4">
        <v>46539</v>
      </c>
      <c r="B96">
        <v>0.3321611374407582</v>
      </c>
      <c r="C96">
        <f t="shared" si="2"/>
        <v>1.0033216113744077</v>
      </c>
      <c r="D96">
        <f t="shared" si="3"/>
        <v>1.6642047742162271</v>
      </c>
    </row>
    <row r="97" spans="1:4">
      <c r="A97" s="4">
        <v>46569</v>
      </c>
      <c r="B97">
        <v>0.30448104265402837</v>
      </c>
      <c r="C97">
        <f t="shared" si="2"/>
        <v>1.0030448104265404</v>
      </c>
      <c r="D97">
        <f t="shared" si="3"/>
        <v>1.669271962264659</v>
      </c>
    </row>
    <row r="98" spans="1:4" hidden="1">
      <c r="A98" s="4">
        <v>46600</v>
      </c>
      <c r="B98">
        <v>0.15224052132701418</v>
      </c>
      <c r="C98">
        <f t="shared" si="2"/>
        <v>1.0015224052132701</v>
      </c>
      <c r="D98">
        <f t="shared" si="3"/>
        <v>1.6718132706023763</v>
      </c>
    </row>
    <row r="99" spans="1:4" hidden="1">
      <c r="A99" s="4">
        <v>46631</v>
      </c>
      <c r="B99">
        <v>8.3040284360189551E-2</v>
      </c>
      <c r="C99">
        <f t="shared" si="2"/>
        <v>1.0008304028436019</v>
      </c>
      <c r="D99">
        <f t="shared" si="3"/>
        <v>1.673201549096256</v>
      </c>
    </row>
    <row r="100" spans="1:4" hidden="1">
      <c r="A100" s="4">
        <v>46661</v>
      </c>
      <c r="B100">
        <v>0.11072037914691941</v>
      </c>
      <c r="C100">
        <f t="shared" si="2"/>
        <v>1.0011072037914692</v>
      </c>
      <c r="D100">
        <f t="shared" si="3"/>
        <v>1.6750541241953074</v>
      </c>
    </row>
    <row r="101" spans="1:4" hidden="1">
      <c r="A101" s="4">
        <v>46692</v>
      </c>
      <c r="B101">
        <v>0.65446943127962065</v>
      </c>
      <c r="C101">
        <f t="shared" si="2"/>
        <v>1.0065446943127963</v>
      </c>
      <c r="D101">
        <f t="shared" si="3"/>
        <v>1.6860168413955543</v>
      </c>
    </row>
    <row r="102" spans="1:4" hidden="1">
      <c r="A102" s="4">
        <v>46722</v>
      </c>
      <c r="B102">
        <v>1.3507135071090044</v>
      </c>
      <c r="C102">
        <f t="shared" si="2"/>
        <v>1.01350713507109</v>
      </c>
      <c r="D102">
        <f t="shared" si="3"/>
        <v>1.7087900986044167</v>
      </c>
    </row>
    <row r="103" spans="1:4">
      <c r="A103" s="4">
        <v>46753</v>
      </c>
      <c r="B103">
        <v>0.58484502369668234</v>
      </c>
      <c r="C103">
        <f t="shared" si="2"/>
        <v>1.0058484502369669</v>
      </c>
      <c r="D103">
        <f t="shared" si="3"/>
        <v>1.7187838724615263</v>
      </c>
    </row>
    <row r="104" spans="1:4" hidden="1">
      <c r="A104" s="4">
        <v>46784</v>
      </c>
      <c r="B104">
        <v>0.45952109004739328</v>
      </c>
      <c r="C104">
        <f t="shared" si="2"/>
        <v>1.0045952109004739</v>
      </c>
      <c r="D104">
        <f t="shared" si="3"/>
        <v>1.7266820468478201</v>
      </c>
    </row>
    <row r="105" spans="1:4" hidden="1">
      <c r="A105" s="4">
        <v>46813</v>
      </c>
      <c r="B105">
        <v>0.69624407582938375</v>
      </c>
      <c r="C105">
        <f t="shared" si="2"/>
        <v>1.0069624407582938</v>
      </c>
      <c r="D105">
        <f t="shared" si="3"/>
        <v>1.7387039683074075</v>
      </c>
    </row>
    <row r="106" spans="1:4" hidden="1">
      <c r="A106" s="4">
        <v>46844</v>
      </c>
      <c r="B106">
        <v>0.77979336492890983</v>
      </c>
      <c r="C106">
        <f t="shared" si="2"/>
        <v>1.007797933649289</v>
      </c>
      <c r="D106">
        <f t="shared" si="3"/>
        <v>1.7522622664880243</v>
      </c>
    </row>
    <row r="107" spans="1:4" hidden="1">
      <c r="A107" s="4">
        <v>46874</v>
      </c>
      <c r="B107">
        <v>0.36204691943127953</v>
      </c>
      <c r="C107">
        <f t="shared" si="2"/>
        <v>1.0036204691943127</v>
      </c>
      <c r="D107">
        <f t="shared" si="3"/>
        <v>1.7586062780442007</v>
      </c>
    </row>
    <row r="108" spans="1:4" hidden="1">
      <c r="A108" s="4">
        <v>46905</v>
      </c>
      <c r="B108">
        <v>0.33419715639810421</v>
      </c>
      <c r="C108">
        <f t="shared" si="2"/>
        <v>1.0033419715639811</v>
      </c>
      <c r="D108">
        <f t="shared" si="3"/>
        <v>1.7644834902176629</v>
      </c>
    </row>
    <row r="109" spans="1:4">
      <c r="A109" s="4">
        <v>46935</v>
      </c>
      <c r="B109">
        <v>0.30634739336492883</v>
      </c>
      <c r="C109">
        <f t="shared" si="2"/>
        <v>1.0030634739336493</v>
      </c>
      <c r="D109">
        <f t="shared" si="3"/>
        <v>1.7698889393962991</v>
      </c>
    </row>
    <row r="110" spans="1:4" hidden="1">
      <c r="A110" s="4">
        <v>46966</v>
      </c>
      <c r="B110">
        <v>0.15317369668246442</v>
      </c>
      <c r="C110">
        <f t="shared" si="2"/>
        <v>1.0015317369668246</v>
      </c>
      <c r="D110">
        <f t="shared" si="3"/>
        <v>1.7725999437119464</v>
      </c>
    </row>
    <row r="111" spans="1:4" hidden="1">
      <c r="A111" s="4">
        <v>46997</v>
      </c>
      <c r="B111">
        <v>8.3549289099526053E-2</v>
      </c>
      <c r="C111">
        <f t="shared" si="2"/>
        <v>1.0008354928909953</v>
      </c>
      <c r="D111">
        <f t="shared" si="3"/>
        <v>1.7740809383634963</v>
      </c>
    </row>
    <row r="112" spans="1:4" hidden="1">
      <c r="A112" s="4">
        <v>47027</v>
      </c>
      <c r="B112">
        <v>0.1113990521327014</v>
      </c>
      <c r="C112">
        <f t="shared" si="2"/>
        <v>1.0011139905213271</v>
      </c>
      <c r="D112">
        <f t="shared" si="3"/>
        <v>1.7760572477129004</v>
      </c>
    </row>
    <row r="113" spans="1:4" hidden="1">
      <c r="A113" s="4">
        <v>47058</v>
      </c>
      <c r="B113">
        <v>0.65791090047393341</v>
      </c>
      <c r="C113">
        <f t="shared" si="2"/>
        <v>1.0065791090047393</v>
      </c>
      <c r="D113">
        <f t="shared" si="3"/>
        <v>1.7877421219442609</v>
      </c>
    </row>
    <row r="114" spans="1:4" hidden="1">
      <c r="A114" s="4">
        <v>47088</v>
      </c>
      <c r="B114">
        <v>1.3578161137440754</v>
      </c>
      <c r="C114">
        <f t="shared" si="2"/>
        <v>1.0135781611374408</v>
      </c>
      <c r="D114">
        <f t="shared" si="3"/>
        <v>1.8120163725482104</v>
      </c>
    </row>
    <row r="115" spans="1:4">
      <c r="A115" s="4">
        <v>47119</v>
      </c>
      <c r="B115">
        <v>0.5879203791469193</v>
      </c>
      <c r="C115">
        <f t="shared" si="2"/>
        <v>1.0058792037914692</v>
      </c>
      <c r="D115">
        <f t="shared" si="3"/>
        <v>1.8226695860759001</v>
      </c>
    </row>
    <row r="116" spans="1:4" hidden="1">
      <c r="A116" s="4">
        <v>47150</v>
      </c>
      <c r="B116">
        <v>0.46193744075829374</v>
      </c>
      <c r="C116">
        <f t="shared" si="2"/>
        <v>1.0046193744075829</v>
      </c>
      <c r="D116">
        <f t="shared" si="3"/>
        <v>1.8310891793152988</v>
      </c>
    </row>
    <row r="117" spans="1:4" hidden="1">
      <c r="A117" s="4">
        <v>47178</v>
      </c>
      <c r="B117">
        <v>0.6999052132701421</v>
      </c>
      <c r="C117">
        <f t="shared" si="2"/>
        <v>1.0069990521327015</v>
      </c>
      <c r="D117">
        <f t="shared" si="3"/>
        <v>1.8439050679409521</v>
      </c>
    </row>
    <row r="118" spans="1:4" hidden="1">
      <c r="A118" s="4">
        <v>47209</v>
      </c>
      <c r="B118">
        <v>0.78389383886255903</v>
      </c>
      <c r="C118">
        <f t="shared" si="2"/>
        <v>1.0078389383886255</v>
      </c>
      <c r="D118">
        <f t="shared" si="3"/>
        <v>1.8583593261630156</v>
      </c>
    </row>
    <row r="119" spans="1:4" hidden="1">
      <c r="A119" s="4">
        <v>47239</v>
      </c>
      <c r="B119">
        <v>0.36395071090047387</v>
      </c>
      <c r="C119">
        <f t="shared" si="2"/>
        <v>1.0036395071090047</v>
      </c>
      <c r="D119">
        <f t="shared" si="3"/>
        <v>1.8651228381416711</v>
      </c>
    </row>
    <row r="120" spans="1:4" hidden="1">
      <c r="A120" s="4">
        <v>47270</v>
      </c>
      <c r="B120">
        <v>0.33595450236966817</v>
      </c>
      <c r="C120">
        <f t="shared" si="2"/>
        <v>1.0033595450236967</v>
      </c>
      <c r="D120">
        <f t="shared" si="3"/>
        <v>1.8713888022911331</v>
      </c>
    </row>
    <row r="121" spans="1:4">
      <c r="A121" s="4">
        <v>47300</v>
      </c>
      <c r="B121">
        <v>0.30795829383886247</v>
      </c>
      <c r="C121">
        <f t="shared" si="2"/>
        <v>1.0030795829383887</v>
      </c>
      <c r="D121">
        <f t="shared" si="3"/>
        <v>1.8771518993177607</v>
      </c>
    </row>
    <row r="122" spans="1:4" hidden="1">
      <c r="A122" s="4">
        <v>47331</v>
      </c>
      <c r="B122">
        <v>0.15397914691943124</v>
      </c>
      <c r="C122">
        <f t="shared" si="2"/>
        <v>1.0015397914691944</v>
      </c>
      <c r="D122">
        <f t="shared" si="3"/>
        <v>1.8800423217987121</v>
      </c>
    </row>
    <row r="123" spans="1:4" hidden="1">
      <c r="A123" s="4">
        <v>47362</v>
      </c>
      <c r="B123">
        <v>8.3988625592417043E-2</v>
      </c>
      <c r="C123">
        <f t="shared" si="2"/>
        <v>1.0008398862559242</v>
      </c>
      <c r="D123">
        <f t="shared" si="3"/>
        <v>1.8816213435053468</v>
      </c>
    </row>
    <row r="124" spans="1:4" hidden="1">
      <c r="A124" s="4">
        <v>47392</v>
      </c>
      <c r="B124">
        <v>0.11198483412322273</v>
      </c>
      <c r="C124">
        <f t="shared" si="2"/>
        <v>1.0011198483412322</v>
      </c>
      <c r="D124">
        <f t="shared" si="3"/>
        <v>1.8837284740456985</v>
      </c>
    </row>
    <row r="125" spans="1:4" hidden="1">
      <c r="A125" s="4">
        <v>47423</v>
      </c>
      <c r="B125">
        <v>0.66068412322274861</v>
      </c>
      <c r="C125">
        <f t="shared" si="2"/>
        <v>1.0066068412322275</v>
      </c>
      <c r="D125">
        <f t="shared" si="3"/>
        <v>1.8961739689983448</v>
      </c>
    </row>
    <row r="126" spans="1:4" hidden="1">
      <c r="A126" s="4">
        <v>47453</v>
      </c>
      <c r="B126">
        <v>1.3635395734597153</v>
      </c>
      <c r="C126">
        <f t="shared" si="2"/>
        <v>1.0136353957345972</v>
      </c>
      <c r="D126">
        <f t="shared" si="3"/>
        <v>1.9220290514472789</v>
      </c>
    </row>
    <row r="127" spans="1:4">
      <c r="A127" s="4">
        <v>47484</v>
      </c>
      <c r="B127">
        <v>0.59039857819905206</v>
      </c>
      <c r="C127">
        <f t="shared" si="2"/>
        <v>1.0059039857819905</v>
      </c>
      <c r="D127">
        <f t="shared" si="3"/>
        <v>1.9333766836395962</v>
      </c>
    </row>
    <row r="128" spans="1:4" hidden="1">
      <c r="A128" s="4">
        <v>47515</v>
      </c>
      <c r="B128">
        <v>0.46388459715639807</v>
      </c>
      <c r="C128">
        <f t="shared" si="2"/>
        <v>1.0046388459715641</v>
      </c>
      <c r="D128">
        <f t="shared" si="3"/>
        <v>1.9423453202800136</v>
      </c>
    </row>
    <row r="129" spans="1:4" hidden="1">
      <c r="A129" s="4">
        <v>47543</v>
      </c>
      <c r="B129">
        <v>0.70285545023696683</v>
      </c>
      <c r="C129">
        <f t="shared" si="2"/>
        <v>1.0070285545023696</v>
      </c>
      <c r="D129">
        <f t="shared" si="3"/>
        <v>1.9559972002260242</v>
      </c>
    </row>
    <row r="130" spans="1:4" hidden="1">
      <c r="A130" s="4">
        <v>47574</v>
      </c>
      <c r="B130">
        <v>0.78719810426540271</v>
      </c>
      <c r="C130">
        <f t="shared" si="2"/>
        <v>1.007871981042654</v>
      </c>
      <c r="D130">
        <f t="shared" si="3"/>
        <v>1.9713947731056878</v>
      </c>
    </row>
    <row r="131" spans="1:4" hidden="1">
      <c r="A131" s="4">
        <v>47604</v>
      </c>
      <c r="B131">
        <v>0.36548483412322269</v>
      </c>
      <c r="C131">
        <f t="shared" ref="C131:C194" si="4">1+B131/100</f>
        <v>1.0036548483412322</v>
      </c>
      <c r="D131">
        <f t="shared" si="3"/>
        <v>1.9785999220220869</v>
      </c>
    </row>
    <row r="132" spans="1:4" hidden="1">
      <c r="A132" s="4">
        <v>47635</v>
      </c>
      <c r="B132">
        <v>0.33737061611374403</v>
      </c>
      <c r="C132">
        <f t="shared" si="4"/>
        <v>1.0033737061611374</v>
      </c>
      <c r="D132">
        <f t="shared" ref="D132:D195" si="5">C132*D131</f>
        <v>1.9852751367694388</v>
      </c>
    </row>
    <row r="133" spans="1:4">
      <c r="A133" s="4">
        <v>47665</v>
      </c>
      <c r="B133">
        <v>0.30925639810426536</v>
      </c>
      <c r="C133">
        <f t="shared" si="4"/>
        <v>1.0030925639810426</v>
      </c>
      <c r="D133">
        <f t="shared" si="5"/>
        <v>1.9914147271498714</v>
      </c>
    </row>
    <row r="134" spans="1:4" hidden="1">
      <c r="A134" s="4">
        <v>47696</v>
      </c>
      <c r="B134">
        <v>0.15462819905213268</v>
      </c>
      <c r="C134">
        <f t="shared" si="4"/>
        <v>1.0015462819905214</v>
      </c>
      <c r="D134">
        <f t="shared" si="5"/>
        <v>1.9944940158781224</v>
      </c>
    </row>
    <row r="135" spans="1:4" hidden="1">
      <c r="A135" s="4">
        <v>47727</v>
      </c>
      <c r="B135">
        <v>8.4342654028436007E-2</v>
      </c>
      <c r="C135">
        <f t="shared" si="4"/>
        <v>1.0008434265402844</v>
      </c>
      <c r="D135">
        <f t="shared" si="5"/>
        <v>1.9961762250655524</v>
      </c>
    </row>
    <row r="136" spans="1:4" hidden="1">
      <c r="A136" s="4">
        <v>47757</v>
      </c>
      <c r="B136">
        <v>0.11245687203791468</v>
      </c>
      <c r="C136">
        <f t="shared" si="4"/>
        <v>1.0011245687203791</v>
      </c>
      <c r="D136">
        <f t="shared" si="5"/>
        <v>1.9984210624086256</v>
      </c>
    </row>
    <row r="137" spans="1:4" hidden="1">
      <c r="A137" s="4">
        <v>47788</v>
      </c>
      <c r="B137">
        <v>0.66295616113744049</v>
      </c>
      <c r="C137">
        <f t="shared" si="4"/>
        <v>1.0066295616113745</v>
      </c>
      <c r="D137">
        <f t="shared" si="5"/>
        <v>2.0116697179673322</v>
      </c>
    </row>
    <row r="138" spans="1:4" hidden="1">
      <c r="A138" s="4">
        <v>47818</v>
      </c>
      <c r="B138">
        <v>1.3682286729857818</v>
      </c>
      <c r="C138">
        <f t="shared" si="4"/>
        <v>1.0136822867298578</v>
      </c>
      <c r="D138">
        <f t="shared" si="5"/>
        <v>2.0391939598543334</v>
      </c>
    </row>
    <row r="139" spans="1:4">
      <c r="A139" s="4">
        <v>47849</v>
      </c>
      <c r="B139">
        <v>0.59242890995260655</v>
      </c>
      <c r="C139">
        <f t="shared" si="4"/>
        <v>1.0059242890995261</v>
      </c>
      <c r="D139">
        <f t="shared" si="5"/>
        <v>2.0512747344025177</v>
      </c>
    </row>
    <row r="140" spans="1:4" hidden="1">
      <c r="A140" s="4">
        <v>47880</v>
      </c>
      <c r="B140">
        <v>0.46547985781990514</v>
      </c>
      <c r="C140">
        <f t="shared" si="4"/>
        <v>1.0046547985781991</v>
      </c>
      <c r="D140">
        <f t="shared" si="5"/>
        <v>2.0608230051197101</v>
      </c>
    </row>
    <row r="141" spans="1:4" hidden="1">
      <c r="A141" s="4">
        <v>47908</v>
      </c>
      <c r="B141">
        <v>0.70527251184834117</v>
      </c>
      <c r="C141">
        <f t="shared" si="4"/>
        <v>1.0070527251184833</v>
      </c>
      <c r="D141">
        <f t="shared" si="5"/>
        <v>2.0753574232926661</v>
      </c>
    </row>
    <row r="142" spans="1:4" hidden="1">
      <c r="A142" s="4">
        <v>47939</v>
      </c>
      <c r="B142">
        <v>0.78990521327014207</v>
      </c>
      <c r="C142">
        <f t="shared" si="4"/>
        <v>1.0078990521327014</v>
      </c>
      <c r="D142">
        <f t="shared" si="5"/>
        <v>2.0917507797732435</v>
      </c>
    </row>
    <row r="143" spans="1:4" hidden="1">
      <c r="A143" s="4">
        <v>47969</v>
      </c>
      <c r="B143">
        <v>0.36674170616113738</v>
      </c>
      <c r="C143">
        <f t="shared" si="4"/>
        <v>1.0036674170616113</v>
      </c>
      <c r="D143">
        <f t="shared" si="5"/>
        <v>2.0994221022716228</v>
      </c>
    </row>
    <row r="144" spans="1:4" hidden="1">
      <c r="A144" s="4">
        <v>48000</v>
      </c>
      <c r="B144">
        <v>0.33853080568720373</v>
      </c>
      <c r="C144">
        <f t="shared" si="4"/>
        <v>1.003385308056872</v>
      </c>
      <c r="D144">
        <f t="shared" si="5"/>
        <v>2.1065292928292183</v>
      </c>
    </row>
    <row r="145" spans="1:4">
      <c r="A145" s="4">
        <v>48030</v>
      </c>
      <c r="B145">
        <v>0.31031990521327008</v>
      </c>
      <c r="C145">
        <f t="shared" si="4"/>
        <v>1.0031031990521326</v>
      </c>
      <c r="D145">
        <f t="shared" si="5"/>
        <v>2.1130662725340157</v>
      </c>
    </row>
    <row r="146" spans="1:4" hidden="1">
      <c r="A146" s="4">
        <v>48061</v>
      </c>
      <c r="B146">
        <v>0.15515995260663504</v>
      </c>
      <c r="C146">
        <f t="shared" si="4"/>
        <v>1.0015515995260664</v>
      </c>
      <c r="D146">
        <f t="shared" si="5"/>
        <v>2.1163449051610264</v>
      </c>
    </row>
    <row r="147" spans="1:4" hidden="1">
      <c r="A147" s="4">
        <v>48092</v>
      </c>
      <c r="B147">
        <v>8.4632701421800932E-2</v>
      </c>
      <c r="C147">
        <f t="shared" si="4"/>
        <v>1.0008463270142181</v>
      </c>
      <c r="D147">
        <f t="shared" si="5"/>
        <v>2.1181360250256667</v>
      </c>
    </row>
    <row r="148" spans="1:4" hidden="1">
      <c r="A148" s="4">
        <v>48122</v>
      </c>
      <c r="B148">
        <v>0.11315639810426539</v>
      </c>
      <c r="C148">
        <f t="shared" si="4"/>
        <v>1.0011315639810427</v>
      </c>
      <c r="D148">
        <f t="shared" si="5"/>
        <v>2.1205328314585348</v>
      </c>
    </row>
    <row r="149" spans="1:4" hidden="1">
      <c r="A149" s="4">
        <v>48153</v>
      </c>
      <c r="B149">
        <v>0.66479383886255905</v>
      </c>
      <c r="C149">
        <f t="shared" si="4"/>
        <v>1.0066479383886255</v>
      </c>
      <c r="D149">
        <f t="shared" si="5"/>
        <v>2.1346300030731289</v>
      </c>
    </row>
    <row r="150" spans="1:4" hidden="1">
      <c r="A150" s="4">
        <v>48183</v>
      </c>
      <c r="B150">
        <v>1.3720213270142179</v>
      </c>
      <c r="C150">
        <f t="shared" si="4"/>
        <v>1.0137202132701422</v>
      </c>
      <c r="D150">
        <f t="shared" si="5"/>
        <v>2.1639175819681364</v>
      </c>
    </row>
    <row r="151" spans="1:4">
      <c r="A151" s="4">
        <v>48214</v>
      </c>
      <c r="B151">
        <v>0.59407109004739334</v>
      </c>
      <c r="C151">
        <f t="shared" si="4"/>
        <v>1.0059407109004739</v>
      </c>
      <c r="D151">
        <f t="shared" si="5"/>
        <v>2.1767727907350616</v>
      </c>
    </row>
    <row r="152" spans="1:4" hidden="1">
      <c r="A152" s="4">
        <v>48245</v>
      </c>
      <c r="B152">
        <v>0.46677014218009472</v>
      </c>
      <c r="C152">
        <f t="shared" si="4"/>
        <v>1.0046677014218008</v>
      </c>
      <c r="D152">
        <f t="shared" si="5"/>
        <v>2.1869333161853128</v>
      </c>
    </row>
    <row r="153" spans="1:4" hidden="1">
      <c r="A153" s="4">
        <v>48274</v>
      </c>
      <c r="B153">
        <v>0.7072274881516587</v>
      </c>
      <c r="C153">
        <f t="shared" si="4"/>
        <v>1.0070722748815166</v>
      </c>
      <c r="D153">
        <f t="shared" si="5"/>
        <v>2.2023999097449223</v>
      </c>
    </row>
    <row r="154" spans="1:4" hidden="1">
      <c r="A154" s="4">
        <v>48305</v>
      </c>
      <c r="B154">
        <v>0.79209478672985778</v>
      </c>
      <c r="C154">
        <f t="shared" si="4"/>
        <v>1.0079209478672986</v>
      </c>
      <c r="D154">
        <f t="shared" si="5"/>
        <v>2.2198450046129548</v>
      </c>
    </row>
    <row r="155" spans="1:4" hidden="1">
      <c r="A155" s="4">
        <v>48335</v>
      </c>
      <c r="B155">
        <v>0.36775829383886255</v>
      </c>
      <c r="C155">
        <f t="shared" si="4"/>
        <v>1.0036775829383886</v>
      </c>
      <c r="D155">
        <f t="shared" si="5"/>
        <v>2.2280086687277865</v>
      </c>
    </row>
    <row r="156" spans="1:4" hidden="1">
      <c r="A156" s="4">
        <v>48366</v>
      </c>
      <c r="B156">
        <v>0.33946919431279615</v>
      </c>
      <c r="C156">
        <f t="shared" si="4"/>
        <v>1.003394691943128</v>
      </c>
      <c r="D156">
        <f t="shared" si="5"/>
        <v>2.2355720718047363</v>
      </c>
    </row>
    <row r="157" spans="1:4">
      <c r="A157" s="4">
        <v>48396</v>
      </c>
      <c r="B157">
        <v>0.31118009478672981</v>
      </c>
      <c r="C157">
        <f t="shared" si="4"/>
        <v>1.0031118009478672</v>
      </c>
      <c r="D157">
        <f t="shared" si="5"/>
        <v>2.2425287270968037</v>
      </c>
    </row>
    <row r="158" spans="1:4" hidden="1">
      <c r="A158" s="4">
        <v>48427</v>
      </c>
      <c r="B158">
        <v>0.15559004739336491</v>
      </c>
      <c r="C158">
        <f t="shared" si="4"/>
        <v>1.0015559004739336</v>
      </c>
      <c r="D158">
        <f t="shared" si="5"/>
        <v>2.2460178786061036</v>
      </c>
    </row>
    <row r="159" spans="1:4" hidden="1">
      <c r="A159" s="4">
        <v>48458</v>
      </c>
      <c r="B159">
        <v>8.4867298578199038E-2</v>
      </c>
      <c r="C159">
        <f t="shared" si="4"/>
        <v>1.000848672985782</v>
      </c>
      <c r="D159">
        <f t="shared" si="5"/>
        <v>2.2479240133052598</v>
      </c>
    </row>
    <row r="160" spans="1:4" hidden="1">
      <c r="A160" s="4">
        <v>48488</v>
      </c>
      <c r="B160">
        <v>0.11341207582938387</v>
      </c>
      <c r="C160">
        <f t="shared" si="4"/>
        <v>1.0011341207582938</v>
      </c>
      <c r="D160">
        <f t="shared" si="5"/>
        <v>2.2504734305918164</v>
      </c>
    </row>
    <row r="161" spans="1:4" hidden="1">
      <c r="A161" s="4">
        <v>48519</v>
      </c>
      <c r="B161">
        <v>0.66629594549763016</v>
      </c>
      <c r="C161">
        <f t="shared" si="4"/>
        <v>1.0066629594549763</v>
      </c>
      <c r="D161">
        <f t="shared" si="5"/>
        <v>2.2654682438143512</v>
      </c>
    </row>
    <row r="162" spans="1:4" hidden="1">
      <c r="A162" s="4">
        <v>48549</v>
      </c>
      <c r="B162">
        <v>1.3751214194312793</v>
      </c>
      <c r="C162">
        <f t="shared" si="4"/>
        <v>1.0137512141943128</v>
      </c>
      <c r="D162">
        <f t="shared" si="5"/>
        <v>2.2966211828854561</v>
      </c>
    </row>
    <row r="163" spans="1:4">
      <c r="A163" s="4">
        <v>48580</v>
      </c>
      <c r="B163">
        <v>0.5954133981042653</v>
      </c>
      <c r="C163">
        <f t="shared" si="4"/>
        <v>1.0059541339810427</v>
      </c>
      <c r="D163">
        <f t="shared" si="5"/>
        <v>2.3102955731120569</v>
      </c>
    </row>
    <row r="164" spans="1:4" hidden="1">
      <c r="A164" s="4">
        <v>48611</v>
      </c>
      <c r="B164">
        <v>0.46782481279620847</v>
      </c>
      <c r="C164">
        <f t="shared" si="4"/>
        <v>1.0046782481279621</v>
      </c>
      <c r="D164">
        <f t="shared" si="5"/>
        <v>2.3211037090520077</v>
      </c>
    </row>
    <row r="165" spans="1:4" hidden="1">
      <c r="A165" s="4">
        <v>48639</v>
      </c>
      <c r="B165">
        <v>0.70882547393364925</v>
      </c>
      <c r="C165">
        <f t="shared" si="4"/>
        <v>1.0070882547393365</v>
      </c>
      <c r="D165">
        <f t="shared" si="5"/>
        <v>2.3375562834181869</v>
      </c>
    </row>
    <row r="166" spans="1:4" hidden="1">
      <c r="A166" s="4">
        <v>48670</v>
      </c>
      <c r="B166">
        <v>0.79388453080568711</v>
      </c>
      <c r="C166">
        <f t="shared" si="4"/>
        <v>1.0079388453080569</v>
      </c>
      <c r="D166">
        <f t="shared" si="5"/>
        <v>2.3561137811511204</v>
      </c>
    </row>
    <row r="167" spans="1:4" hidden="1">
      <c r="A167" s="4">
        <v>48700</v>
      </c>
      <c r="B167">
        <v>0.36858924644549756</v>
      </c>
      <c r="C167">
        <f t="shared" si="4"/>
        <v>1.0036858924644549</v>
      </c>
      <c r="D167">
        <f t="shared" si="5"/>
        <v>2.3647981631824635</v>
      </c>
    </row>
    <row r="168" spans="1:4" hidden="1">
      <c r="A168" s="4">
        <v>48731</v>
      </c>
      <c r="B168">
        <v>0.34023622748815158</v>
      </c>
      <c r="C168">
        <f t="shared" si="4"/>
        <v>1.0034023622748816</v>
      </c>
      <c r="D168">
        <f t="shared" si="5"/>
        <v>2.3728440632405845</v>
      </c>
    </row>
    <row r="169" spans="1:4">
      <c r="A169" s="4">
        <v>48761</v>
      </c>
      <c r="B169">
        <v>0.31188320853080564</v>
      </c>
      <c r="C169">
        <f t="shared" si="4"/>
        <v>1.0031188320853082</v>
      </c>
      <c r="D169">
        <f t="shared" si="5"/>
        <v>2.3802445654384523</v>
      </c>
    </row>
    <row r="170" spans="1:4" hidden="1">
      <c r="A170" s="4">
        <v>48792</v>
      </c>
      <c r="B170">
        <v>0.15594160426540282</v>
      </c>
      <c r="C170">
        <f t="shared" si="4"/>
        <v>1.001559416042654</v>
      </c>
      <c r="D170">
        <f t="shared" si="5"/>
        <v>2.3839563569992368</v>
      </c>
    </row>
    <row r="171" spans="1:4" hidden="1">
      <c r="A171" s="4">
        <v>48823</v>
      </c>
      <c r="B171">
        <v>8.5059056872037894E-2</v>
      </c>
      <c r="C171">
        <f t="shared" si="4"/>
        <v>1.0008505905687204</v>
      </c>
      <c r="D171">
        <f t="shared" si="5"/>
        <v>2.3859841277927414</v>
      </c>
    </row>
    <row r="172" spans="1:4" hidden="1">
      <c r="A172" s="4">
        <v>48853</v>
      </c>
      <c r="B172">
        <v>0.11362790521327013</v>
      </c>
      <c r="C172">
        <f t="shared" si="4"/>
        <v>1.0011362790521328</v>
      </c>
      <c r="D172">
        <f t="shared" si="5"/>
        <v>2.3886952715758736</v>
      </c>
    </row>
    <row r="173" spans="1:4" hidden="1">
      <c r="A173" s="4">
        <v>48884</v>
      </c>
      <c r="B173">
        <v>0.66756394312796186</v>
      </c>
      <c r="C173">
        <f t="shared" si="4"/>
        <v>1.0066756394312797</v>
      </c>
      <c r="D173">
        <f t="shared" si="5"/>
        <v>2.4046413399201167</v>
      </c>
    </row>
    <row r="174" spans="1:4" hidden="1">
      <c r="A174" s="4">
        <v>48914</v>
      </c>
      <c r="B174">
        <v>1.3777383507109002</v>
      </c>
      <c r="C174">
        <f t="shared" si="4"/>
        <v>1.0137773835071091</v>
      </c>
      <c r="D174">
        <f t="shared" si="5"/>
        <v>2.437771005857245</v>
      </c>
    </row>
    <row r="175" spans="1:4">
      <c r="A175" s="4">
        <v>48945</v>
      </c>
      <c r="B175">
        <v>0.59654650236966811</v>
      </c>
      <c r="C175">
        <f t="shared" si="4"/>
        <v>1.0059654650236967</v>
      </c>
      <c r="D175">
        <f t="shared" si="5"/>
        <v>2.4523134435284684</v>
      </c>
    </row>
    <row r="176" spans="1:4" hidden="1">
      <c r="A176" s="4">
        <v>48976</v>
      </c>
      <c r="B176">
        <v>0.46871510900473923</v>
      </c>
      <c r="C176">
        <f t="shared" si="4"/>
        <v>1.0046871510900475</v>
      </c>
      <c r="D176">
        <f t="shared" si="5"/>
        <v>2.4638078071584411</v>
      </c>
    </row>
    <row r="177" spans="1:4" hidden="1">
      <c r="A177" s="4">
        <v>49004</v>
      </c>
      <c r="B177">
        <v>0.71017440758293826</v>
      </c>
      <c r="C177">
        <f t="shared" si="4"/>
        <v>1.0071017440758294</v>
      </c>
      <c r="D177">
        <f t="shared" si="5"/>
        <v>2.4813051396569108</v>
      </c>
    </row>
    <row r="178" spans="1:4" hidden="1">
      <c r="A178" s="4">
        <v>49035</v>
      </c>
      <c r="B178">
        <v>0.79539533649289085</v>
      </c>
      <c r="C178">
        <f t="shared" si="4"/>
        <v>1.0079539533649289</v>
      </c>
      <c r="D178">
        <f t="shared" si="5"/>
        <v>2.5010413250219004</v>
      </c>
    </row>
    <row r="179" spans="1:4" hidden="1">
      <c r="A179" s="4">
        <v>49065</v>
      </c>
      <c r="B179">
        <v>0.36929069194312786</v>
      </c>
      <c r="C179">
        <f t="shared" si="4"/>
        <v>1.0036929069194314</v>
      </c>
      <c r="D179">
        <f t="shared" si="5"/>
        <v>2.5102774378368573</v>
      </c>
    </row>
    <row r="180" spans="1:4" hidden="1">
      <c r="A180" s="4">
        <v>49096</v>
      </c>
      <c r="B180">
        <v>0.34088371563981035</v>
      </c>
      <c r="C180">
        <f t="shared" si="4"/>
        <v>1.0034088371563981</v>
      </c>
      <c r="D180">
        <f t="shared" si="5"/>
        <v>2.5188345648398234</v>
      </c>
    </row>
    <row r="181" spans="1:4">
      <c r="A181" s="4">
        <v>49126</v>
      </c>
      <c r="B181">
        <v>0.31247673933649284</v>
      </c>
      <c r="C181">
        <f t="shared" si="4"/>
        <v>1.003124767393365</v>
      </c>
      <c r="D181">
        <f t="shared" si="5"/>
        <v>2.5267053369573156</v>
      </c>
    </row>
    <row r="182" spans="1:4" hidden="1">
      <c r="A182" s="4">
        <v>49157</v>
      </c>
      <c r="B182">
        <v>0.15623836966824642</v>
      </c>
      <c r="C182">
        <f t="shared" si="4"/>
        <v>1.0015623836966825</v>
      </c>
      <c r="D182">
        <f t="shared" si="5"/>
        <v>2.5306530201820983</v>
      </c>
    </row>
    <row r="183" spans="1:4" hidden="1">
      <c r="A183" s="4">
        <v>49188</v>
      </c>
      <c r="B183">
        <v>8.5220928909952587E-2</v>
      </c>
      <c r="C183">
        <f t="shared" si="4"/>
        <v>1.0008522092890995</v>
      </c>
      <c r="D183">
        <f t="shared" si="5"/>
        <v>2.5328096661933852</v>
      </c>
    </row>
    <row r="184" spans="1:4" hidden="1">
      <c r="A184" s="4">
        <v>49218</v>
      </c>
      <c r="B184">
        <v>0.11381074881516587</v>
      </c>
      <c r="C184">
        <f t="shared" si="4"/>
        <v>1.0011381074881516</v>
      </c>
      <c r="D184">
        <f t="shared" si="5"/>
        <v>2.5356922758405425</v>
      </c>
    </row>
    <row r="185" spans="1:4" hidden="1">
      <c r="A185" s="4">
        <v>49249</v>
      </c>
      <c r="B185">
        <v>0.66863814928909937</v>
      </c>
      <c r="C185">
        <f t="shared" si="4"/>
        <v>1.006686381492891</v>
      </c>
      <c r="D185">
        <f t="shared" si="5"/>
        <v>2.5526468817453893</v>
      </c>
    </row>
    <row r="186" spans="1:4" hidden="1">
      <c r="A186" s="4">
        <v>49279</v>
      </c>
      <c r="B186">
        <v>1.3799553293838862</v>
      </c>
      <c r="C186">
        <f t="shared" si="4"/>
        <v>1.0137995532938389</v>
      </c>
      <c r="D186">
        <f t="shared" si="5"/>
        <v>2.5878722684303863</v>
      </c>
    </row>
    <row r="187" spans="1:4">
      <c r="A187" s="4">
        <v>49310</v>
      </c>
      <c r="B187">
        <v>0.59750643127962078</v>
      </c>
      <c r="C187">
        <f t="shared" si="4"/>
        <v>1.0059750643127963</v>
      </c>
      <c r="D187">
        <f t="shared" si="5"/>
        <v>2.60333497166756</v>
      </c>
    </row>
    <row r="188" spans="1:4" hidden="1">
      <c r="A188" s="4">
        <v>49341</v>
      </c>
      <c r="B188">
        <v>0.4694693388625592</v>
      </c>
      <c r="C188">
        <f t="shared" si="4"/>
        <v>1.0046946933886256</v>
      </c>
      <c r="D188">
        <f t="shared" si="5"/>
        <v>2.6155568311474253</v>
      </c>
    </row>
    <row r="189" spans="1:4" hidden="1">
      <c r="A189" s="4">
        <v>49369</v>
      </c>
      <c r="B189">
        <v>0.71131718009478673</v>
      </c>
      <c r="C189">
        <f t="shared" si="4"/>
        <v>1.0071131718009478</v>
      </c>
      <c r="D189">
        <f t="shared" si="5"/>
        <v>2.6341617362425196</v>
      </c>
    </row>
    <row r="190" spans="1:4" hidden="1">
      <c r="A190" s="4">
        <v>49400</v>
      </c>
      <c r="B190">
        <v>0.79667524170616111</v>
      </c>
      <c r="C190">
        <f t="shared" si="4"/>
        <v>1.0079667524170617</v>
      </c>
      <c r="D190">
        <f t="shared" si="5"/>
        <v>2.6551474506216612</v>
      </c>
    </row>
    <row r="191" spans="1:4" hidden="1">
      <c r="A191" s="4">
        <v>49430</v>
      </c>
      <c r="B191">
        <v>0.36988493364928909</v>
      </c>
      <c r="C191">
        <f t="shared" si="4"/>
        <v>1.0036988493364929</v>
      </c>
      <c r="D191">
        <f t="shared" si="5"/>
        <v>2.6649684410076842</v>
      </c>
    </row>
    <row r="192" spans="1:4" hidden="1">
      <c r="A192" s="4">
        <v>49461</v>
      </c>
      <c r="B192">
        <v>0.34143224644549758</v>
      </c>
      <c r="C192">
        <f t="shared" si="4"/>
        <v>1.0034143224644549</v>
      </c>
      <c r="D192">
        <f t="shared" si="5"/>
        <v>2.6740675026228802</v>
      </c>
    </row>
    <row r="193" spans="1:4">
      <c r="A193" s="4">
        <v>49491</v>
      </c>
      <c r="B193">
        <v>0.31297955924170612</v>
      </c>
      <c r="C193">
        <f t="shared" si="4"/>
        <v>1.003129795592417</v>
      </c>
      <c r="D193">
        <f t="shared" si="5"/>
        <v>2.6824367873064148</v>
      </c>
    </row>
    <row r="194" spans="1:4" hidden="1">
      <c r="A194" s="4">
        <v>49522</v>
      </c>
      <c r="B194">
        <v>0.15648977962085306</v>
      </c>
      <c r="C194">
        <f t="shared" si="4"/>
        <v>1.0015648977962086</v>
      </c>
      <c r="D194">
        <f t="shared" si="5"/>
        <v>2.6866345267233394</v>
      </c>
    </row>
    <row r="195" spans="1:4" hidden="1">
      <c r="A195" s="4">
        <v>49553</v>
      </c>
      <c r="B195">
        <v>8.5358061611374395E-2</v>
      </c>
      <c r="C195">
        <f t="shared" ref="C195:C241" si="6">1+B195/100</f>
        <v>1.0008535806161138</v>
      </c>
      <c r="D195">
        <f t="shared" si="5"/>
        <v>2.6889277858779326</v>
      </c>
    </row>
    <row r="196" spans="1:4" hidden="1">
      <c r="A196" s="4">
        <v>49583</v>
      </c>
      <c r="B196">
        <v>0.11396756398104264</v>
      </c>
      <c r="C196">
        <f t="shared" si="6"/>
        <v>1.0011396756398103</v>
      </c>
      <c r="D196">
        <f t="shared" ref="D196:D241" si="7">C196*D195</f>
        <v>2.6919922913727068</v>
      </c>
    </row>
    <row r="197" spans="1:4" hidden="1">
      <c r="A197" s="4">
        <v>49614</v>
      </c>
      <c r="B197">
        <v>0.66955943838862542</v>
      </c>
      <c r="C197">
        <f t="shared" si="6"/>
        <v>1.0066955943838862</v>
      </c>
      <c r="D197">
        <f t="shared" si="7"/>
        <v>2.710016779840287</v>
      </c>
    </row>
    <row r="198" spans="1:4" hidden="1">
      <c r="A198" s="4">
        <v>49644</v>
      </c>
      <c r="B198">
        <v>1.381856713270142</v>
      </c>
      <c r="C198">
        <f t="shared" si="6"/>
        <v>1.0138185671327014</v>
      </c>
      <c r="D198">
        <f t="shared" si="7"/>
        <v>2.7474653286432571</v>
      </c>
    </row>
    <row r="199" spans="1:4">
      <c r="A199" s="4">
        <v>49675</v>
      </c>
      <c r="B199">
        <v>0.59832971090047393</v>
      </c>
      <c r="C199">
        <f t="shared" si="6"/>
        <v>1.0059832971090048</v>
      </c>
      <c r="D199">
        <f t="shared" si="7"/>
        <v>2.7639042300012191</v>
      </c>
    </row>
    <row r="200" spans="1:4" hidden="1">
      <c r="A200" s="4">
        <v>49706</v>
      </c>
      <c r="B200">
        <v>0.47011620142180088</v>
      </c>
      <c r="C200">
        <f t="shared" si="6"/>
        <v>1.0047011620142181</v>
      </c>
      <c r="D200">
        <f t="shared" si="7"/>
        <v>2.7768977915782376</v>
      </c>
    </row>
    <row r="201" spans="1:4" hidden="1">
      <c r="A201" s="4">
        <v>49735</v>
      </c>
      <c r="B201">
        <v>0.71229727488151651</v>
      </c>
      <c r="C201">
        <f t="shared" si="6"/>
        <v>1.0071229727488151</v>
      </c>
      <c r="D201">
        <f t="shared" si="7"/>
        <v>2.7966775588738941</v>
      </c>
    </row>
    <row r="202" spans="1:4" hidden="1">
      <c r="A202" s="4">
        <v>49766</v>
      </c>
      <c r="B202">
        <v>0.79777294786729847</v>
      </c>
      <c r="C202">
        <f t="shared" si="6"/>
        <v>1.0079777294786729</v>
      </c>
      <c r="D202">
        <f t="shared" si="7"/>
        <v>2.8189886958776653</v>
      </c>
    </row>
    <row r="203" spans="1:4" hidden="1">
      <c r="A203" s="4">
        <v>49796</v>
      </c>
      <c r="B203">
        <v>0.37039458293838856</v>
      </c>
      <c r="C203">
        <f t="shared" si="6"/>
        <v>1.0037039458293839</v>
      </c>
      <c r="D203">
        <f t="shared" si="7"/>
        <v>2.8294300773008421</v>
      </c>
    </row>
    <row r="204" spans="1:4" hidden="1">
      <c r="A204" s="4">
        <v>49827</v>
      </c>
      <c r="B204">
        <v>0.34190269194312795</v>
      </c>
      <c r="C204">
        <f t="shared" si="6"/>
        <v>1.0034190269194312</v>
      </c>
      <c r="D204">
        <f t="shared" si="7"/>
        <v>2.8391039749017821</v>
      </c>
    </row>
    <row r="205" spans="1:4">
      <c r="A205" s="4">
        <v>49857</v>
      </c>
      <c r="B205">
        <v>0.31341080094786727</v>
      </c>
      <c r="C205">
        <f t="shared" si="6"/>
        <v>1.0031341080094787</v>
      </c>
      <c r="D205">
        <f t="shared" si="7"/>
        <v>2.8480020334092644</v>
      </c>
    </row>
    <row r="206" spans="1:4" hidden="1">
      <c r="A206" s="4">
        <v>49888</v>
      </c>
      <c r="B206">
        <v>0.15670540047393364</v>
      </c>
      <c r="C206">
        <f t="shared" si="6"/>
        <v>1.0015670540047394</v>
      </c>
      <c r="D206">
        <f t="shared" si="7"/>
        <v>2.8524650064012245</v>
      </c>
    </row>
    <row r="207" spans="1:4" hidden="1">
      <c r="A207" s="4">
        <v>49919</v>
      </c>
      <c r="B207">
        <v>8.5475672985781986E-2</v>
      </c>
      <c r="C207">
        <f t="shared" si="6"/>
        <v>1.0008547567298578</v>
      </c>
      <c r="D207">
        <f t="shared" si="7"/>
        <v>2.8549031700621299</v>
      </c>
    </row>
    <row r="208" spans="1:4" hidden="1">
      <c r="A208" s="4">
        <v>49949</v>
      </c>
      <c r="B208">
        <v>0.11410348815165874</v>
      </c>
      <c r="C208">
        <f t="shared" si="6"/>
        <v>1.0011410348815166</v>
      </c>
      <c r="D208">
        <f t="shared" si="7"/>
        <v>2.8581607141625232</v>
      </c>
    </row>
    <row r="209" spans="1:4" hidden="1">
      <c r="A209" s="4">
        <v>49980</v>
      </c>
      <c r="B209">
        <v>0.67035799289099507</v>
      </c>
      <c r="C209">
        <f t="shared" si="6"/>
        <v>1.0067035799289099</v>
      </c>
      <c r="D209">
        <f t="shared" si="7"/>
        <v>2.8773206229595818</v>
      </c>
    </row>
    <row r="210" spans="1:4" hidden="1">
      <c r="A210" s="4">
        <v>50010</v>
      </c>
      <c r="B210">
        <v>1.3835047938388623</v>
      </c>
      <c r="C210">
        <f t="shared" si="6"/>
        <v>1.0138350479383886</v>
      </c>
      <c r="D210">
        <f t="shared" si="7"/>
        <v>2.9171284917123419</v>
      </c>
    </row>
    <row r="211" spans="1:4">
      <c r="A211" s="4">
        <v>50041</v>
      </c>
      <c r="B211">
        <v>0.59904331279620837</v>
      </c>
      <c r="C211">
        <f t="shared" si="6"/>
        <v>1.0059904331279621</v>
      </c>
      <c r="D211">
        <f t="shared" si="7"/>
        <v>2.9346033548676176</v>
      </c>
    </row>
    <row r="212" spans="1:4" hidden="1">
      <c r="A212" s="4">
        <v>50072</v>
      </c>
      <c r="B212">
        <v>0.47067688862559232</v>
      </c>
      <c r="C212">
        <f t="shared" si="6"/>
        <v>1.0047067688862559</v>
      </c>
      <c r="D212">
        <f t="shared" si="7"/>
        <v>2.9484158546318104</v>
      </c>
    </row>
    <row r="213" spans="1:4" hidden="1">
      <c r="A213" s="4">
        <v>50100</v>
      </c>
      <c r="B213">
        <v>0.7131468009478672</v>
      </c>
      <c r="C213">
        <f t="shared" si="6"/>
        <v>1.0071314680094787</v>
      </c>
      <c r="D213">
        <f t="shared" si="7"/>
        <v>2.9694423879777569</v>
      </c>
    </row>
    <row r="214" spans="1:4" hidden="1">
      <c r="A214" s="4">
        <v>50131</v>
      </c>
      <c r="B214">
        <v>0.79872441706161124</v>
      </c>
      <c r="C214">
        <f t="shared" si="6"/>
        <v>1.0079872441706161</v>
      </c>
      <c r="D214">
        <f t="shared" si="7"/>
        <v>2.9931600493811126</v>
      </c>
    </row>
    <row r="215" spans="1:4" hidden="1">
      <c r="A215" s="4">
        <v>50161</v>
      </c>
      <c r="B215">
        <v>0.37083633649289094</v>
      </c>
      <c r="C215">
        <f t="shared" si="6"/>
        <v>1.0037083633649289</v>
      </c>
      <c r="D215">
        <f t="shared" si="7"/>
        <v>3.0042597744536059</v>
      </c>
    </row>
    <row r="216" spans="1:4" hidden="1">
      <c r="A216" s="4">
        <v>50192</v>
      </c>
      <c r="B216">
        <v>0.3423104644549762</v>
      </c>
      <c r="C216">
        <f t="shared" si="6"/>
        <v>1.0034231046445499</v>
      </c>
      <c r="D216">
        <f t="shared" si="7"/>
        <v>3.0145436700409722</v>
      </c>
    </row>
    <row r="217" spans="1:4">
      <c r="A217" s="4">
        <v>50222</v>
      </c>
      <c r="B217">
        <v>0.31378459241706153</v>
      </c>
      <c r="C217">
        <f t="shared" si="6"/>
        <v>1.0031378459241707</v>
      </c>
      <c r="D217">
        <f t="shared" si="7"/>
        <v>3.0240028436092445</v>
      </c>
    </row>
    <row r="218" spans="1:4" hidden="1">
      <c r="A218" s="4">
        <v>50253</v>
      </c>
      <c r="B218">
        <v>0.15689229620853076</v>
      </c>
      <c r="C218">
        <f t="shared" si="6"/>
        <v>1.0015689229620852</v>
      </c>
      <c r="D218">
        <f t="shared" si="7"/>
        <v>3.0287472711079939</v>
      </c>
    </row>
    <row r="219" spans="1:4" hidden="1">
      <c r="A219" s="4">
        <v>50284</v>
      </c>
      <c r="B219">
        <v>8.5577616113744051E-2</v>
      </c>
      <c r="C219">
        <f t="shared" si="6"/>
        <v>1.0008557761611374</v>
      </c>
      <c r="D219">
        <f t="shared" si="7"/>
        <v>3.0313392008207183</v>
      </c>
    </row>
    <row r="220" spans="1:4" hidden="1">
      <c r="A220" s="4">
        <v>50314</v>
      </c>
      <c r="B220">
        <v>0.11422240758293838</v>
      </c>
      <c r="C220">
        <f t="shared" si="6"/>
        <v>1.0011422240758294</v>
      </c>
      <c r="D220">
        <f t="shared" si="7"/>
        <v>3.0348016694379014</v>
      </c>
    </row>
    <row r="221" spans="1:4" hidden="1">
      <c r="A221" s="4">
        <v>50345</v>
      </c>
      <c r="B221">
        <v>0.67105664454976288</v>
      </c>
      <c r="C221">
        <f t="shared" si="6"/>
        <v>1.0067105664454976</v>
      </c>
      <c r="D221">
        <f t="shared" si="7"/>
        <v>3.0551669076895713</v>
      </c>
    </row>
    <row r="222" spans="1:4" hidden="1">
      <c r="A222" s="4">
        <v>50375</v>
      </c>
      <c r="B222">
        <v>1.3849466919431277</v>
      </c>
      <c r="C222">
        <f t="shared" si="6"/>
        <v>1.0138494669194313</v>
      </c>
      <c r="D222">
        <f t="shared" si="7"/>
        <v>3.0974793407109593</v>
      </c>
    </row>
    <row r="223" spans="1:4">
      <c r="A223" s="4">
        <v>50406</v>
      </c>
      <c r="B223">
        <v>0.59966763981042648</v>
      </c>
      <c r="C223">
        <f t="shared" si="6"/>
        <v>1.0059966763981043</v>
      </c>
      <c r="D223">
        <f t="shared" si="7"/>
        <v>3.1160539219670165</v>
      </c>
    </row>
    <row r="224" spans="1:4" hidden="1">
      <c r="A224" s="4">
        <v>50437</v>
      </c>
      <c r="B224">
        <v>0.4711674312796208</v>
      </c>
      <c r="C224">
        <f t="shared" si="6"/>
        <v>1.0047116743127962</v>
      </c>
      <c r="D224">
        <f t="shared" si="7"/>
        <v>3.1307357531884361</v>
      </c>
    </row>
    <row r="225" spans="1:4" hidden="1">
      <c r="A225" s="4">
        <v>50465</v>
      </c>
      <c r="B225">
        <v>0.71389004739336481</v>
      </c>
      <c r="C225">
        <f t="shared" si="6"/>
        <v>1.0071389004739337</v>
      </c>
      <c r="D225">
        <f t="shared" si="7"/>
        <v>3.1530857641406342</v>
      </c>
    </row>
    <row r="226" spans="1:4" hidden="1">
      <c r="A226" s="4">
        <v>50496</v>
      </c>
      <c r="B226">
        <v>0.79955685308056856</v>
      </c>
      <c r="C226">
        <f t="shared" si="6"/>
        <v>1.0079955685308057</v>
      </c>
      <c r="D226">
        <f t="shared" si="7"/>
        <v>3.1782964774513287</v>
      </c>
    </row>
    <row r="227" spans="1:4" hidden="1">
      <c r="A227" s="4">
        <v>50526</v>
      </c>
      <c r="B227">
        <v>0.3712228246445497</v>
      </c>
      <c r="C227">
        <f t="shared" si="6"/>
        <v>1.0037122282464455</v>
      </c>
      <c r="D227">
        <f t="shared" si="7"/>
        <v>3.1900950394105014</v>
      </c>
    </row>
    <row r="228" spans="1:4" hidden="1">
      <c r="A228" s="4">
        <v>50557</v>
      </c>
      <c r="B228">
        <v>0.34266722274881511</v>
      </c>
      <c r="C228">
        <f t="shared" si="6"/>
        <v>1.003426672227488</v>
      </c>
      <c r="D228">
        <f t="shared" si="7"/>
        <v>3.2010264494850968</v>
      </c>
    </row>
    <row r="229" spans="1:4">
      <c r="A229" s="4">
        <v>50587</v>
      </c>
      <c r="B229">
        <v>0.31411162085308053</v>
      </c>
      <c r="C229">
        <f t="shared" si="6"/>
        <v>1.0031411162085309</v>
      </c>
      <c r="D229">
        <f t="shared" si="7"/>
        <v>3.2110812455495106</v>
      </c>
    </row>
    <row r="230" spans="1:4" hidden="1">
      <c r="A230" s="4">
        <v>50618</v>
      </c>
      <c r="B230">
        <v>0.15705581042654027</v>
      </c>
      <c r="C230">
        <f t="shared" si="6"/>
        <v>1.0015705581042653</v>
      </c>
      <c r="D230">
        <f t="shared" si="7"/>
        <v>3.2161244352231626</v>
      </c>
    </row>
    <row r="231" spans="1:4" hidden="1">
      <c r="A231" s="4">
        <v>50649</v>
      </c>
      <c r="B231">
        <v>8.5666805687203779E-2</v>
      </c>
      <c r="C231">
        <f t="shared" si="6"/>
        <v>1.000856668056872</v>
      </c>
      <c r="D231">
        <f t="shared" si="7"/>
        <v>3.218879586293744</v>
      </c>
    </row>
    <row r="232" spans="1:4" hidden="1">
      <c r="A232" s="4">
        <v>50679</v>
      </c>
      <c r="B232">
        <v>0.11432733649289098</v>
      </c>
      <c r="C232">
        <f t="shared" si="6"/>
        <v>1.0011432733649288</v>
      </c>
      <c r="D232">
        <f t="shared" si="7"/>
        <v>3.2225596455896666</v>
      </c>
    </row>
    <row r="233" spans="1:4" hidden="1">
      <c r="A233" s="4">
        <v>50710</v>
      </c>
      <c r="B233">
        <v>0.67167310189573437</v>
      </c>
      <c r="C233">
        <f t="shared" si="6"/>
        <v>1.0067167310189573</v>
      </c>
      <c r="D233">
        <f t="shared" si="7"/>
        <v>3.2442047119216388</v>
      </c>
    </row>
    <row r="234" spans="1:4" hidden="1">
      <c r="A234" s="4">
        <v>50740</v>
      </c>
      <c r="B234">
        <v>1.3862189549763031</v>
      </c>
      <c r="C234">
        <f t="shared" si="6"/>
        <v>1.013862189549763</v>
      </c>
      <c r="D234">
        <f t="shared" si="7"/>
        <v>3.289176492576531</v>
      </c>
    </row>
    <row r="235" spans="1:4">
      <c r="A235" s="4">
        <v>50771</v>
      </c>
      <c r="B235">
        <v>0.60021851658767766</v>
      </c>
      <c r="C235">
        <f t="shared" si="6"/>
        <v>1.0060021851658767</v>
      </c>
      <c r="D235">
        <f t="shared" si="7"/>
        <v>3.3089187389282242</v>
      </c>
    </row>
    <row r="236" spans="1:4" hidden="1">
      <c r="A236" s="4">
        <v>50802</v>
      </c>
      <c r="B236">
        <v>0.47160026303317526</v>
      </c>
      <c r="C236">
        <f t="shared" si="6"/>
        <v>1.0047160026303317</v>
      </c>
      <c r="D236">
        <f t="shared" si="7"/>
        <v>3.3245236084045633</v>
      </c>
    </row>
    <row r="237" spans="1:4" hidden="1">
      <c r="A237" s="4">
        <v>50830</v>
      </c>
      <c r="B237">
        <v>0.71454585308056862</v>
      </c>
      <c r="C237">
        <f t="shared" si="6"/>
        <v>1.0071454585308057</v>
      </c>
      <c r="D237">
        <f t="shared" si="7"/>
        <v>3.3482788539831025</v>
      </c>
    </row>
    <row r="238" spans="1:4" hidden="1">
      <c r="A238" s="4">
        <v>50861</v>
      </c>
      <c r="B238">
        <v>0.80029135545023689</v>
      </c>
      <c r="C238">
        <f t="shared" si="6"/>
        <v>1.0080029135545023</v>
      </c>
      <c r="D238">
        <f t="shared" si="7"/>
        <v>3.3750748402078976</v>
      </c>
    </row>
    <row r="239" spans="1:4" hidden="1">
      <c r="A239" s="4">
        <v>50891</v>
      </c>
      <c r="B239">
        <v>0.3715638436018957</v>
      </c>
      <c r="C239">
        <f t="shared" si="6"/>
        <v>1.0037156384360189</v>
      </c>
      <c r="D239">
        <f t="shared" si="7"/>
        <v>3.3876153980086143</v>
      </c>
    </row>
    <row r="240" spans="1:4" hidden="1">
      <c r="A240" s="4">
        <v>50922</v>
      </c>
      <c r="B240">
        <v>0.34298200947867291</v>
      </c>
      <c r="C240">
        <f t="shared" si="6"/>
        <v>1.0034298200947867</v>
      </c>
      <c r="D240">
        <f t="shared" si="7"/>
        <v>3.3992343093741129</v>
      </c>
    </row>
    <row r="241" spans="1:4">
      <c r="A241" s="4">
        <v>50952</v>
      </c>
      <c r="B241">
        <v>0.31440017535545017</v>
      </c>
      <c r="C241">
        <f t="shared" si="6"/>
        <v>1.0031440017535544</v>
      </c>
      <c r="D241">
        <f t="shared" si="7"/>
        <v>3.4099215080035274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FE1DD-8E16-4A8E-8E93-FCE6FE232BAC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B3484-99C0-46A7-BD80-47B0C6C6D77C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D33FA-9B19-48F3-BC99-012137D01F97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1F1F5-4809-4F6E-BEB3-5D248DF54C30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0A339-3737-4A11-92C6-9EDDB01A90B3}">
  <dimension ref="A1:D122"/>
  <sheetViews>
    <sheetView workbookViewId="0">
      <selection sqref="A1:D1"/>
    </sheetView>
  </sheetViews>
  <sheetFormatPr defaultRowHeight="15"/>
  <cols>
    <col min="1" max="1" width="11.140625" customWidth="1"/>
    <col min="2" max="2" width="10.140625" customWidth="1"/>
    <col min="4" max="4" width="13" customWidth="1"/>
  </cols>
  <sheetData>
    <row r="1" spans="1:4">
      <c r="A1" t="s">
        <v>21</v>
      </c>
      <c r="B1" t="s">
        <v>150</v>
      </c>
      <c r="C1" t="s">
        <v>22</v>
      </c>
      <c r="D1" t="s">
        <v>149</v>
      </c>
    </row>
    <row r="2" spans="1:4">
      <c r="A2" s="4">
        <v>43586</v>
      </c>
      <c r="B2" s="5">
        <v>0.13</v>
      </c>
      <c r="C2">
        <f>1+B2/100</f>
        <v>1.0013000000000001</v>
      </c>
      <c r="D2">
        <v>1.0013000000000001</v>
      </c>
    </row>
    <row r="3" spans="1:4">
      <c r="A3" s="4">
        <v>43617</v>
      </c>
      <c r="B3" s="5">
        <v>0.01</v>
      </c>
      <c r="C3">
        <f t="shared" ref="C3:C66" si="0">1+B3/100</f>
        <v>1.0001</v>
      </c>
      <c r="D3">
        <f>Tabela10[[#This Row],[1+i]]*D2</f>
        <v>1.0014001300000002</v>
      </c>
    </row>
    <row r="4" spans="1:4">
      <c r="A4" s="4">
        <v>43647</v>
      </c>
      <c r="B4" s="5">
        <v>0.19</v>
      </c>
      <c r="C4">
        <f t="shared" si="0"/>
        <v>1.0019</v>
      </c>
      <c r="D4">
        <f t="shared" ref="D4:D67" si="1">C4*D3</f>
        <v>1.0033027902470002</v>
      </c>
    </row>
    <row r="5" spans="1:4">
      <c r="A5" s="4">
        <v>43678</v>
      </c>
      <c r="B5" s="5">
        <v>0.11</v>
      </c>
      <c r="C5">
        <f t="shared" si="0"/>
        <v>1.0011000000000001</v>
      </c>
      <c r="D5">
        <f t="shared" si="1"/>
        <v>1.0044064233162719</v>
      </c>
    </row>
    <row r="6" spans="1:4">
      <c r="A6" s="4">
        <v>43709</v>
      </c>
      <c r="B6">
        <v>-0.04</v>
      </c>
      <c r="C6">
        <f t="shared" si="0"/>
        <v>0.99960000000000004</v>
      </c>
      <c r="D6">
        <f t="shared" si="1"/>
        <v>1.0040046607469455</v>
      </c>
    </row>
    <row r="7" spans="1:4">
      <c r="A7" s="4">
        <v>43739</v>
      </c>
      <c r="B7">
        <v>0.1</v>
      </c>
      <c r="C7">
        <f t="shared" si="0"/>
        <v>1.0009999999999999</v>
      </c>
      <c r="D7">
        <f t="shared" si="1"/>
        <v>1.0050086654076924</v>
      </c>
    </row>
    <row r="8" spans="1:4">
      <c r="A8" s="4">
        <v>43770</v>
      </c>
      <c r="B8">
        <v>0.51</v>
      </c>
      <c r="C8">
        <f t="shared" si="0"/>
        <v>1.0051000000000001</v>
      </c>
      <c r="D8">
        <f t="shared" si="1"/>
        <v>1.0101342096012718</v>
      </c>
    </row>
    <row r="9" spans="1:4">
      <c r="A9" s="4">
        <v>43800</v>
      </c>
      <c r="B9">
        <v>1.1499999999999999</v>
      </c>
      <c r="C9">
        <f t="shared" si="0"/>
        <v>1.0115000000000001</v>
      </c>
      <c r="D9">
        <f t="shared" si="1"/>
        <v>1.0217507530116865</v>
      </c>
    </row>
    <row r="10" spans="1:4">
      <c r="A10" s="4">
        <v>43831</v>
      </c>
      <c r="B10">
        <v>0.21</v>
      </c>
      <c r="C10">
        <f t="shared" si="0"/>
        <v>1.0021</v>
      </c>
      <c r="D10">
        <f t="shared" si="1"/>
        <v>1.0238964295930111</v>
      </c>
    </row>
    <row r="11" spans="1:4">
      <c r="A11" s="4">
        <v>43862</v>
      </c>
      <c r="B11">
        <v>0.25</v>
      </c>
      <c r="C11">
        <f t="shared" si="0"/>
        <v>1.0024999999999999</v>
      </c>
      <c r="D11">
        <f t="shared" si="1"/>
        <v>1.0264561706669935</v>
      </c>
    </row>
    <row r="12" spans="1:4">
      <c r="A12" s="4">
        <v>43891</v>
      </c>
      <c r="B12">
        <v>7.0000000000000007E-2</v>
      </c>
      <c r="C12">
        <f t="shared" si="0"/>
        <v>1.0006999999999999</v>
      </c>
      <c r="D12">
        <f t="shared" si="1"/>
        <v>1.0271746899864602</v>
      </c>
    </row>
    <row r="13" spans="1:4">
      <c r="A13" s="4">
        <v>43922</v>
      </c>
      <c r="B13">
        <v>-0.31</v>
      </c>
      <c r="C13">
        <f t="shared" si="0"/>
        <v>0.99690000000000001</v>
      </c>
      <c r="D13">
        <f t="shared" si="1"/>
        <v>1.0239904484475022</v>
      </c>
    </row>
    <row r="14" spans="1:4">
      <c r="A14" s="4">
        <v>43952</v>
      </c>
      <c r="B14">
        <v>-0.38</v>
      </c>
      <c r="C14">
        <f t="shared" si="0"/>
        <v>0.99619999999999997</v>
      </c>
      <c r="D14">
        <f t="shared" si="1"/>
        <v>1.0200992847434016</v>
      </c>
    </row>
    <row r="15" spans="1:4">
      <c r="A15" s="4">
        <v>43983</v>
      </c>
      <c r="B15">
        <v>0.26</v>
      </c>
      <c r="C15">
        <f t="shared" si="0"/>
        <v>1.0025999999999999</v>
      </c>
      <c r="D15">
        <f t="shared" si="1"/>
        <v>1.0227515428837344</v>
      </c>
    </row>
    <row r="16" spans="1:4">
      <c r="A16" s="4">
        <v>44013</v>
      </c>
      <c r="B16">
        <v>0.36</v>
      </c>
      <c r="C16">
        <f t="shared" si="0"/>
        <v>1.0036</v>
      </c>
      <c r="D16">
        <f t="shared" si="1"/>
        <v>1.0264334484381159</v>
      </c>
    </row>
    <row r="17" spans="1:4">
      <c r="A17" s="4">
        <v>44044</v>
      </c>
      <c r="B17">
        <v>0.24</v>
      </c>
      <c r="C17">
        <f t="shared" si="0"/>
        <v>1.0024</v>
      </c>
      <c r="D17">
        <f t="shared" si="1"/>
        <v>1.0288968887143672</v>
      </c>
    </row>
    <row r="18" spans="1:4">
      <c r="A18" s="4">
        <v>44075</v>
      </c>
      <c r="B18">
        <v>0.64</v>
      </c>
      <c r="C18">
        <f t="shared" si="0"/>
        <v>1.0064</v>
      </c>
      <c r="D18">
        <f t="shared" si="1"/>
        <v>1.0354818288021392</v>
      </c>
    </row>
    <row r="19" spans="1:4">
      <c r="A19" s="4">
        <v>44105</v>
      </c>
      <c r="B19">
        <v>0.86</v>
      </c>
      <c r="C19">
        <f t="shared" si="0"/>
        <v>1.0085999999999999</v>
      </c>
      <c r="D19">
        <f t="shared" si="1"/>
        <v>1.0443869725298376</v>
      </c>
    </row>
    <row r="20" spans="1:4">
      <c r="A20" s="4">
        <v>44136</v>
      </c>
      <c r="B20">
        <v>0.89</v>
      </c>
      <c r="C20">
        <f t="shared" si="0"/>
        <v>1.0088999999999999</v>
      </c>
      <c r="D20">
        <f t="shared" si="1"/>
        <v>1.0536820165853531</v>
      </c>
    </row>
    <row r="21" spans="1:4">
      <c r="A21" s="4">
        <v>44166</v>
      </c>
      <c r="B21">
        <v>1.35</v>
      </c>
      <c r="C21">
        <f t="shared" si="0"/>
        <v>1.0135000000000001</v>
      </c>
      <c r="D21">
        <f t="shared" si="1"/>
        <v>1.0679067238092554</v>
      </c>
    </row>
    <row r="22" spans="1:4">
      <c r="A22" s="4">
        <v>44197</v>
      </c>
      <c r="B22">
        <v>0.25</v>
      </c>
      <c r="C22">
        <f t="shared" si="0"/>
        <v>1.0024999999999999</v>
      </c>
      <c r="D22">
        <f t="shared" si="1"/>
        <v>1.0705764906187785</v>
      </c>
    </row>
    <row r="23" spans="1:4">
      <c r="A23" s="4">
        <v>44228</v>
      </c>
      <c r="B23">
        <v>0.86</v>
      </c>
      <c r="C23">
        <f t="shared" si="0"/>
        <v>1.0085999999999999</v>
      </c>
      <c r="D23">
        <f t="shared" si="1"/>
        <v>1.0797834484380999</v>
      </c>
    </row>
    <row r="24" spans="1:4">
      <c r="A24" s="4">
        <v>44256</v>
      </c>
      <c r="B24">
        <v>0.93</v>
      </c>
      <c r="C24">
        <f t="shared" si="0"/>
        <v>1.0093000000000001</v>
      </c>
      <c r="D24">
        <f t="shared" si="1"/>
        <v>1.0898254345085743</v>
      </c>
    </row>
    <row r="25" spans="1:4">
      <c r="A25" s="4">
        <v>44287</v>
      </c>
      <c r="B25">
        <v>0.31</v>
      </c>
      <c r="C25">
        <f t="shared" si="0"/>
        <v>1.0031000000000001</v>
      </c>
      <c r="D25">
        <f t="shared" si="1"/>
        <v>1.093203893355551</v>
      </c>
    </row>
    <row r="26" spans="1:4">
      <c r="A26" s="4">
        <v>44317</v>
      </c>
      <c r="B26">
        <v>0.83</v>
      </c>
      <c r="C26">
        <f t="shared" si="0"/>
        <v>1.0083</v>
      </c>
      <c r="D26">
        <f t="shared" si="1"/>
        <v>1.1022774856704021</v>
      </c>
    </row>
    <row r="27" spans="1:4">
      <c r="A27" s="4">
        <v>44348</v>
      </c>
      <c r="B27">
        <v>0.53</v>
      </c>
      <c r="C27">
        <f t="shared" si="0"/>
        <v>1.0053000000000001</v>
      </c>
      <c r="D27">
        <f t="shared" si="1"/>
        <v>1.1081195563444552</v>
      </c>
    </row>
    <row r="28" spans="1:4">
      <c r="A28" s="4">
        <v>44378</v>
      </c>
      <c r="B28">
        <v>0.96</v>
      </c>
      <c r="C28">
        <f t="shared" si="0"/>
        <v>1.0096000000000001</v>
      </c>
      <c r="D28">
        <f t="shared" si="1"/>
        <v>1.1187575040853621</v>
      </c>
    </row>
    <row r="29" spans="1:4">
      <c r="A29" s="4">
        <v>44409</v>
      </c>
      <c r="B29">
        <v>0.87</v>
      </c>
      <c r="C29">
        <f t="shared" si="0"/>
        <v>1.0086999999999999</v>
      </c>
      <c r="D29">
        <f t="shared" si="1"/>
        <v>1.1284906943709048</v>
      </c>
    </row>
    <row r="30" spans="1:4">
      <c r="A30" s="4">
        <v>44440</v>
      </c>
      <c r="B30">
        <v>1.1599999999999999</v>
      </c>
      <c r="C30">
        <f t="shared" si="0"/>
        <v>1.0116000000000001</v>
      </c>
      <c r="D30">
        <f t="shared" si="1"/>
        <v>1.1415811864256074</v>
      </c>
    </row>
    <row r="31" spans="1:4">
      <c r="A31" s="4">
        <v>44470</v>
      </c>
      <c r="B31">
        <v>1.25</v>
      </c>
      <c r="C31">
        <f t="shared" si="0"/>
        <v>1.0125</v>
      </c>
      <c r="D31">
        <f t="shared" si="1"/>
        <v>1.1558509512559274</v>
      </c>
    </row>
    <row r="32" spans="1:4">
      <c r="A32" s="4">
        <v>44501</v>
      </c>
      <c r="B32">
        <v>0.95</v>
      </c>
      <c r="C32">
        <f t="shared" si="0"/>
        <v>1.0095000000000001</v>
      </c>
      <c r="D32">
        <f t="shared" si="1"/>
        <v>1.1668315352928589</v>
      </c>
    </row>
    <row r="33" spans="1:4">
      <c r="A33" s="4">
        <v>44531</v>
      </c>
      <c r="B33">
        <v>0.73</v>
      </c>
      <c r="C33">
        <f t="shared" si="0"/>
        <v>1.0073000000000001</v>
      </c>
      <c r="D33">
        <f t="shared" si="1"/>
        <v>1.1753494055004969</v>
      </c>
    </row>
    <row r="34" spans="1:4">
      <c r="A34" s="4">
        <v>44562</v>
      </c>
      <c r="B34">
        <v>0.54</v>
      </c>
      <c r="C34">
        <f t="shared" si="0"/>
        <v>1.0054000000000001</v>
      </c>
      <c r="D34">
        <f t="shared" si="1"/>
        <v>1.1816962922901997</v>
      </c>
    </row>
    <row r="35" spans="1:4">
      <c r="A35" s="4">
        <v>44593</v>
      </c>
      <c r="B35">
        <v>1.01</v>
      </c>
      <c r="C35">
        <f t="shared" si="0"/>
        <v>1.0101</v>
      </c>
      <c r="D35">
        <f t="shared" si="1"/>
        <v>1.1936314248423308</v>
      </c>
    </row>
    <row r="36" spans="1:4">
      <c r="A36" s="4">
        <v>44621</v>
      </c>
      <c r="B36">
        <v>1.62</v>
      </c>
      <c r="C36">
        <f t="shared" si="0"/>
        <v>1.0162</v>
      </c>
      <c r="D36">
        <f t="shared" si="1"/>
        <v>1.2129682539247766</v>
      </c>
    </row>
    <row r="37" spans="1:4">
      <c r="A37" s="4">
        <v>44652</v>
      </c>
      <c r="B37">
        <v>1.06</v>
      </c>
      <c r="C37">
        <f t="shared" si="0"/>
        <v>1.0105999999999999</v>
      </c>
      <c r="D37">
        <f t="shared" si="1"/>
        <v>1.2258257174163791</v>
      </c>
    </row>
    <row r="38" spans="1:4">
      <c r="A38" s="4">
        <v>44682</v>
      </c>
      <c r="B38">
        <v>0.47</v>
      </c>
      <c r="C38">
        <f t="shared" si="0"/>
        <v>1.0046999999999999</v>
      </c>
      <c r="D38">
        <f t="shared" si="1"/>
        <v>1.231587098288236</v>
      </c>
    </row>
    <row r="39" spans="1:4">
      <c r="A39" s="4">
        <v>44713</v>
      </c>
      <c r="B39">
        <v>0.67</v>
      </c>
      <c r="C39">
        <f t="shared" si="0"/>
        <v>1.0066999999999999</v>
      </c>
      <c r="D39">
        <f t="shared" si="1"/>
        <v>1.2398387318467672</v>
      </c>
    </row>
    <row r="40" spans="1:4">
      <c r="A40" s="4">
        <v>44743</v>
      </c>
      <c r="B40">
        <v>-0.68</v>
      </c>
      <c r="C40">
        <f t="shared" si="0"/>
        <v>0.99319999999999997</v>
      </c>
      <c r="D40">
        <f t="shared" si="1"/>
        <v>1.2314078284702092</v>
      </c>
    </row>
    <row r="41" spans="1:4">
      <c r="A41" s="4">
        <v>44774</v>
      </c>
      <c r="B41">
        <v>-0.36</v>
      </c>
      <c r="C41">
        <f t="shared" si="0"/>
        <v>0.99639999999999995</v>
      </c>
      <c r="D41">
        <f t="shared" si="1"/>
        <v>1.2269747602877163</v>
      </c>
    </row>
    <row r="42" spans="1:4">
      <c r="A42" s="4">
        <v>44805</v>
      </c>
      <c r="B42">
        <v>-0.28999999999999998</v>
      </c>
      <c r="C42">
        <f t="shared" si="0"/>
        <v>0.99709999999999999</v>
      </c>
      <c r="D42">
        <f t="shared" si="1"/>
        <v>1.2234165334828819</v>
      </c>
    </row>
    <row r="43" spans="1:4">
      <c r="A43" s="4">
        <v>44835</v>
      </c>
      <c r="B43">
        <v>0.33</v>
      </c>
      <c r="C43">
        <f t="shared" si="0"/>
        <v>1.0033000000000001</v>
      </c>
      <c r="D43">
        <f t="shared" si="1"/>
        <v>1.2274538080433754</v>
      </c>
    </row>
    <row r="44" spans="1:4">
      <c r="A44" s="4">
        <v>44866</v>
      </c>
      <c r="B44">
        <v>0.94638500140897963</v>
      </c>
      <c r="C44">
        <f t="shared" si="0"/>
        <v>1.0094638500140898</v>
      </c>
      <c r="D44">
        <f t="shared" si="1"/>
        <v>1.2390702467819212</v>
      </c>
    </row>
    <row r="45" spans="1:4">
      <c r="A45" s="4">
        <v>44896</v>
      </c>
      <c r="B45">
        <v>1.9531775560993834</v>
      </c>
      <c r="C45">
        <f t="shared" si="0"/>
        <v>1.0195317755609938</v>
      </c>
      <c r="D45">
        <f t="shared" si="1"/>
        <v>1.263271488746371</v>
      </c>
    </row>
    <row r="46" spans="1:4">
      <c r="A46" s="4">
        <v>44927</v>
      </c>
      <c r="B46">
        <v>0.84570574593993919</v>
      </c>
      <c r="C46">
        <f t="shared" si="0"/>
        <v>1.0084570574593994</v>
      </c>
      <c r="D46">
        <f t="shared" si="1"/>
        <v>1.27395504831352</v>
      </c>
    </row>
    <row r="47" spans="1:4">
      <c r="A47" s="4">
        <v>44958</v>
      </c>
      <c r="B47">
        <v>0.66448308609566664</v>
      </c>
      <c r="C47">
        <f t="shared" si="0"/>
        <v>1.0066448308609566</v>
      </c>
      <c r="D47">
        <f t="shared" si="1"/>
        <v>1.2824202641340252</v>
      </c>
    </row>
    <row r="48" spans="1:4">
      <c r="A48" s="4">
        <v>44986</v>
      </c>
      <c r="B48">
        <v>1.006792554690404</v>
      </c>
      <c r="C48">
        <f t="shared" si="0"/>
        <v>1.0100679255469041</v>
      </c>
      <c r="D48">
        <f t="shared" si="1"/>
        <v>1.2953315758731676</v>
      </c>
    </row>
    <row r="49" spans="1:4">
      <c r="A49" s="4">
        <v>45017</v>
      </c>
      <c r="B49">
        <v>1.1276076612532524</v>
      </c>
      <c r="C49">
        <f t="shared" si="0"/>
        <v>1.0112760766125326</v>
      </c>
      <c r="D49">
        <f t="shared" si="1"/>
        <v>1.3099378339613461</v>
      </c>
    </row>
    <row r="50" spans="1:4">
      <c r="A50" s="4">
        <v>45047</v>
      </c>
      <c r="B50">
        <v>0.41494999999999999</v>
      </c>
      <c r="C50">
        <f t="shared" si="0"/>
        <v>1.0041495</v>
      </c>
      <c r="D50">
        <f t="shared" si="1"/>
        <v>1.3153734210033687</v>
      </c>
    </row>
    <row r="51" spans="1:4">
      <c r="A51" s="4">
        <v>45078</v>
      </c>
      <c r="B51">
        <v>0.38303300000000001</v>
      </c>
      <c r="C51">
        <f t="shared" si="0"/>
        <v>1.00383033</v>
      </c>
      <c r="D51">
        <f t="shared" si="1"/>
        <v>1.3204117352790405</v>
      </c>
    </row>
    <row r="52" spans="1:4">
      <c r="A52" s="4">
        <v>45108</v>
      </c>
      <c r="B52">
        <v>0.35111999999999999</v>
      </c>
      <c r="C52">
        <f t="shared" si="0"/>
        <v>1.0035111999999999</v>
      </c>
      <c r="D52">
        <f t="shared" si="1"/>
        <v>1.3250479649639522</v>
      </c>
    </row>
    <row r="53" spans="1:4">
      <c r="A53" s="4">
        <v>45139</v>
      </c>
      <c r="B53">
        <v>0.17555687203791467</v>
      </c>
      <c r="C53">
        <f t="shared" si="0"/>
        <v>1.0017555687203792</v>
      </c>
      <c r="D53">
        <f t="shared" si="1"/>
        <v>1.3273741777242449</v>
      </c>
    </row>
    <row r="54" spans="1:4">
      <c r="A54" s="4">
        <v>45170</v>
      </c>
      <c r="B54">
        <v>9.5758293838862543E-2</v>
      </c>
      <c r="C54">
        <f t="shared" si="0"/>
        <v>1.0009575829383885</v>
      </c>
      <c r="D54">
        <f t="shared" si="1"/>
        <v>1.3286452485896911</v>
      </c>
    </row>
    <row r="55" spans="1:4">
      <c r="A55" s="4">
        <v>45200</v>
      </c>
      <c r="B55">
        <v>0.12767772511848341</v>
      </c>
      <c r="C55">
        <f t="shared" si="0"/>
        <v>1.0012767772511848</v>
      </c>
      <c r="D55">
        <f t="shared" si="1"/>
        <v>1.3303416326179853</v>
      </c>
    </row>
    <row r="56" spans="1:4">
      <c r="A56" s="4">
        <v>45231</v>
      </c>
      <c r="B56">
        <v>0.66754478672985762</v>
      </c>
      <c r="C56">
        <f t="shared" si="0"/>
        <v>1.0066754478672986</v>
      </c>
      <c r="D56">
        <f t="shared" si="1"/>
        <v>1.3392222588322236</v>
      </c>
    </row>
    <row r="57" spans="1:4">
      <c r="A57" s="4">
        <v>45261</v>
      </c>
      <c r="B57">
        <v>1.3776988151658764</v>
      </c>
      <c r="C57">
        <f t="shared" si="0"/>
        <v>1.0137769881516587</v>
      </c>
      <c r="D57">
        <f t="shared" si="1"/>
        <v>1.3576727080245927</v>
      </c>
    </row>
    <row r="58" spans="1:4">
      <c r="A58" s="4">
        <v>45292</v>
      </c>
      <c r="B58">
        <v>0.59652938388625576</v>
      </c>
      <c r="C58">
        <f t="shared" si="0"/>
        <v>1.0059652938388626</v>
      </c>
      <c r="D58">
        <f t="shared" si="1"/>
        <v>1.3657716246649636</v>
      </c>
    </row>
    <row r="59" spans="1:4">
      <c r="A59" s="4">
        <v>45323</v>
      </c>
      <c r="B59">
        <v>0.46870165876777242</v>
      </c>
      <c r="C59">
        <f t="shared" si="0"/>
        <v>1.0046870165876778</v>
      </c>
      <c r="D59">
        <f t="shared" si="1"/>
        <v>1.3721730189247479</v>
      </c>
    </row>
    <row r="60" spans="1:4">
      <c r="A60" s="4">
        <v>45352</v>
      </c>
      <c r="B60">
        <v>0.71015402843601882</v>
      </c>
      <c r="C60">
        <f t="shared" si="0"/>
        <v>1.0071015402843602</v>
      </c>
      <c r="D60">
        <f t="shared" si="1"/>
        <v>1.3819175608957541</v>
      </c>
    </row>
    <row r="61" spans="1:4">
      <c r="A61" s="4">
        <v>45383</v>
      </c>
      <c r="B61">
        <v>0.79537251184834112</v>
      </c>
      <c r="C61">
        <f t="shared" si="0"/>
        <v>1.0079537251184834</v>
      </c>
      <c r="D61">
        <f t="shared" si="1"/>
        <v>1.392908953311524</v>
      </c>
    </row>
    <row r="62" spans="1:4">
      <c r="A62" s="4">
        <v>45413</v>
      </c>
      <c r="B62">
        <v>0.3692800947867298</v>
      </c>
      <c r="C62">
        <f t="shared" si="0"/>
        <v>1.0036928009478674</v>
      </c>
      <c r="D62">
        <f t="shared" si="1"/>
        <v>1.3980526888146056</v>
      </c>
    </row>
    <row r="63" spans="1:4">
      <c r="A63" s="4">
        <v>45444</v>
      </c>
      <c r="B63">
        <v>0.34087393364928903</v>
      </c>
      <c r="C63">
        <f t="shared" si="0"/>
        <v>1.003408739336493</v>
      </c>
      <c r="D63">
        <f t="shared" si="1"/>
        <v>1.4028182860094578</v>
      </c>
    </row>
    <row r="64" spans="1:4">
      <c r="A64" s="4">
        <v>45474</v>
      </c>
      <c r="B64">
        <v>0.31246777251184826</v>
      </c>
      <c r="C64">
        <f t="shared" si="0"/>
        <v>1.0031246777251184</v>
      </c>
      <c r="D64">
        <f t="shared" si="1"/>
        <v>1.4072016410601402</v>
      </c>
    </row>
    <row r="65" spans="1:4">
      <c r="A65" s="4">
        <v>45505</v>
      </c>
      <c r="B65">
        <v>0.15623388625592413</v>
      </c>
      <c r="C65">
        <f t="shared" si="0"/>
        <v>1.0015623388625592</v>
      </c>
      <c r="D65">
        <f t="shared" si="1"/>
        <v>1.4094001668714256</v>
      </c>
    </row>
    <row r="66" spans="1:4">
      <c r="A66" s="4">
        <v>45536</v>
      </c>
      <c r="B66">
        <v>8.5218483412322257E-2</v>
      </c>
      <c r="C66">
        <f t="shared" si="0"/>
        <v>1.0008521848341232</v>
      </c>
      <c r="D66">
        <f t="shared" si="1"/>
        <v>1.410601236318844</v>
      </c>
    </row>
    <row r="67" spans="1:4">
      <c r="A67" s="4">
        <v>45566</v>
      </c>
      <c r="B67">
        <v>0.11362464454976301</v>
      </c>
      <c r="C67">
        <f t="shared" ref="C67:C122" si="2">1+B67/100</f>
        <v>1.0011362464454976</v>
      </c>
      <c r="D67">
        <f t="shared" si="1"/>
        <v>1.4122040269596259</v>
      </c>
    </row>
    <row r="68" spans="1:4">
      <c r="A68" s="4">
        <v>45597</v>
      </c>
      <c r="B68">
        <v>0.64748625592417042</v>
      </c>
      <c r="C68">
        <f t="shared" si="2"/>
        <v>1.0064748625592417</v>
      </c>
      <c r="D68">
        <f t="shared" ref="D68:D122" si="3">C68*D67</f>
        <v>1.421347853939797</v>
      </c>
    </row>
    <row r="69" spans="1:4">
      <c r="A69" s="4">
        <v>45627</v>
      </c>
      <c r="B69">
        <v>1.3363014218009477</v>
      </c>
      <c r="C69">
        <f t="shared" si="2"/>
        <v>1.0133630142180095</v>
      </c>
      <c r="D69">
        <f t="shared" si="3"/>
        <v>1.4403413455207317</v>
      </c>
    </row>
    <row r="70" spans="1:4">
      <c r="A70" s="4">
        <v>45658</v>
      </c>
      <c r="B70">
        <v>0.57860473933649281</v>
      </c>
      <c r="C70">
        <f t="shared" si="2"/>
        <v>1.0057860473933649</v>
      </c>
      <c r="D70">
        <f t="shared" si="3"/>
        <v>1.4486752288085376</v>
      </c>
    </row>
    <row r="71" spans="1:4">
      <c r="A71" s="4">
        <v>45689</v>
      </c>
      <c r="B71">
        <v>0.45461800947867292</v>
      </c>
      <c r="C71">
        <f t="shared" si="2"/>
        <v>1.0045461800947868</v>
      </c>
      <c r="D71">
        <f t="shared" si="3"/>
        <v>1.4552611672975577</v>
      </c>
    </row>
    <row r="72" spans="1:4">
      <c r="A72" s="4">
        <v>45717</v>
      </c>
      <c r="B72">
        <v>0.68881516587677716</v>
      </c>
      <c r="C72">
        <f t="shared" si="2"/>
        <v>1.0068881516587678</v>
      </c>
      <c r="D72">
        <f t="shared" si="3"/>
        <v>1.4652852269210188</v>
      </c>
    </row>
    <row r="73" spans="1:4">
      <c r="A73" s="4">
        <v>45748</v>
      </c>
      <c r="B73">
        <v>0.77147298578199042</v>
      </c>
      <c r="C73">
        <f t="shared" si="2"/>
        <v>1.00771472985782</v>
      </c>
      <c r="D73">
        <f t="shared" si="3"/>
        <v>1.4765895066113688</v>
      </c>
    </row>
    <row r="74" spans="1:4">
      <c r="A74" s="4">
        <v>45778</v>
      </c>
      <c r="B74">
        <v>0.35818388625592412</v>
      </c>
      <c r="C74">
        <f t="shared" si="2"/>
        <v>1.0035818388625593</v>
      </c>
      <c r="D74">
        <f t="shared" si="3"/>
        <v>1.4818784122901967</v>
      </c>
    </row>
    <row r="75" spans="1:4">
      <c r="A75" s="4">
        <v>45809</v>
      </c>
      <c r="B75">
        <v>0.33063127962085304</v>
      </c>
      <c r="C75">
        <f>1+B75/100</f>
        <v>1.0033063127962085</v>
      </c>
      <c r="D75">
        <f t="shared" si="3"/>
        <v>1.4867779658471769</v>
      </c>
    </row>
    <row r="76" spans="1:4">
      <c r="A76" s="4">
        <v>45839</v>
      </c>
      <c r="B76">
        <v>0.30307867298578195</v>
      </c>
      <c r="C76">
        <f t="shared" si="2"/>
        <v>1.0030307867298578</v>
      </c>
      <c r="D76">
        <f t="shared" si="3"/>
        <v>1.4912840727763115</v>
      </c>
    </row>
    <row r="77" spans="1:4">
      <c r="A77" s="4">
        <v>45870</v>
      </c>
      <c r="B77">
        <v>0.15153933649289097</v>
      </c>
      <c r="C77">
        <f t="shared" si="2"/>
        <v>1.001515393364929</v>
      </c>
      <c r="D77">
        <f t="shared" si="3"/>
        <v>1.493543954765421</v>
      </c>
    </row>
    <row r="78" spans="1:4">
      <c r="A78" s="4">
        <v>45901</v>
      </c>
      <c r="B78">
        <v>8.2657819905213259E-2</v>
      </c>
      <c r="C78">
        <f t="shared" si="2"/>
        <v>1.0008265781990522</v>
      </c>
      <c r="D78">
        <f t="shared" si="3"/>
        <v>1.4947784856377564</v>
      </c>
    </row>
    <row r="79" spans="1:4">
      <c r="A79" s="4">
        <v>45931</v>
      </c>
      <c r="B79">
        <v>0.11021042654028435</v>
      </c>
      <c r="C79">
        <f t="shared" si="2"/>
        <v>1.0011021042654029</v>
      </c>
      <c r="D79">
        <f t="shared" si="3"/>
        <v>1.4964258873826102</v>
      </c>
    </row>
    <row r="80" spans="1:4">
      <c r="A80" s="4">
        <v>45962</v>
      </c>
      <c r="B80">
        <v>0.64681800947867285</v>
      </c>
      <c r="C80">
        <f t="shared" si="2"/>
        <v>1.0064681800947868</v>
      </c>
      <c r="D80">
        <f t="shared" si="3"/>
        <v>1.5061050395207021</v>
      </c>
    </row>
    <row r="81" spans="1:4">
      <c r="A81" s="4">
        <v>45992</v>
      </c>
      <c r="B81">
        <v>1.3349222748815164</v>
      </c>
      <c r="C81">
        <f t="shared" si="2"/>
        <v>1.0133492227488152</v>
      </c>
      <c r="D81">
        <f t="shared" si="3"/>
        <v>1.526210371176377</v>
      </c>
    </row>
    <row r="82" spans="1:4">
      <c r="A82" s="4">
        <v>46023</v>
      </c>
      <c r="B82">
        <v>0.5780075829383885</v>
      </c>
      <c r="C82">
        <f t="shared" si="2"/>
        <v>1.0057800758293838</v>
      </c>
      <c r="D82">
        <f t="shared" si="3"/>
        <v>1.5350319828533685</v>
      </c>
    </row>
    <row r="83" spans="1:4">
      <c r="A83" s="4">
        <v>46054</v>
      </c>
      <c r="B83">
        <v>0.45414881516587668</v>
      </c>
      <c r="C83">
        <f t="shared" si="2"/>
        <v>1.0045414881516588</v>
      </c>
      <c r="D83">
        <f t="shared" si="3"/>
        <v>1.5420033124159143</v>
      </c>
    </row>
    <row r="84" spans="1:4">
      <c r="A84" s="4">
        <v>46082</v>
      </c>
      <c r="B84">
        <v>0.68810426540284353</v>
      </c>
      <c r="C84">
        <f t="shared" si="2"/>
        <v>1.0068810426540284</v>
      </c>
      <c r="D84">
        <f t="shared" si="3"/>
        <v>1.5526139029813013</v>
      </c>
    </row>
    <row r="85" spans="1:4">
      <c r="A85" s="4">
        <v>46113</v>
      </c>
      <c r="B85">
        <v>0.77067677725118466</v>
      </c>
      <c r="C85">
        <f t="shared" si="2"/>
        <v>1.0077067677725118</v>
      </c>
      <c r="D85">
        <f t="shared" si="3"/>
        <v>1.5645795377719514</v>
      </c>
    </row>
    <row r="86" spans="1:4">
      <c r="A86" s="4">
        <v>46143</v>
      </c>
      <c r="B86">
        <v>0.3578142180094786</v>
      </c>
      <c r="C86">
        <f t="shared" si="2"/>
        <v>1.0035781421800949</v>
      </c>
      <c r="D86">
        <f t="shared" si="3"/>
        <v>1.5701778258101666</v>
      </c>
    </row>
    <row r="87" spans="1:4">
      <c r="A87" s="4">
        <v>46174</v>
      </c>
      <c r="B87">
        <v>0.33029004739336487</v>
      </c>
      <c r="C87">
        <f t="shared" si="2"/>
        <v>1.0033029004739336</v>
      </c>
      <c r="D87">
        <f t="shared" si="3"/>
        <v>1.5753639668951951</v>
      </c>
    </row>
    <row r="88" spans="1:4">
      <c r="A88" s="4">
        <v>46204</v>
      </c>
      <c r="B88">
        <v>0.30276587677725114</v>
      </c>
      <c r="C88">
        <f t="shared" si="2"/>
        <v>1.0030276587677724</v>
      </c>
      <c r="D88">
        <f t="shared" si="3"/>
        <v>1.580133631421998</v>
      </c>
    </row>
    <row r="89" spans="1:4">
      <c r="A89" s="4">
        <v>46235</v>
      </c>
      <c r="B89">
        <v>0.15138293838862557</v>
      </c>
      <c r="C89">
        <f t="shared" si="2"/>
        <v>1.0015138293838863</v>
      </c>
      <c r="D89">
        <f t="shared" si="3"/>
        <v>1.5825256841437116</v>
      </c>
    </row>
    <row r="90" spans="1:4">
      <c r="A90" s="4">
        <v>46266</v>
      </c>
      <c r="B90">
        <v>8.2572511848341218E-2</v>
      </c>
      <c r="C90">
        <f t="shared" si="2"/>
        <v>1.0008257251184833</v>
      </c>
      <c r="D90">
        <f t="shared" si="3"/>
        <v>1.5838324153517542</v>
      </c>
    </row>
    <row r="91" spans="1:4">
      <c r="A91" s="4">
        <v>46296</v>
      </c>
      <c r="B91">
        <v>0.11009668246445496</v>
      </c>
      <c r="C91">
        <f t="shared" si="2"/>
        <v>1.0011009668246444</v>
      </c>
      <c r="D91">
        <f t="shared" si="3"/>
        <v>1.5855761622968529</v>
      </c>
    </row>
    <row r="92" spans="1:4">
      <c r="A92" s="4">
        <v>46327</v>
      </c>
      <c r="B92">
        <v>0.65048222748815143</v>
      </c>
      <c r="C92">
        <f t="shared" si="2"/>
        <v>1.0065048222748816</v>
      </c>
      <c r="D92">
        <f t="shared" si="3"/>
        <v>1.5958900534358829</v>
      </c>
    </row>
    <row r="93" spans="1:4">
      <c r="A93" s="4">
        <v>46357</v>
      </c>
      <c r="B93">
        <v>1.3424845971563977</v>
      </c>
      <c r="C93">
        <f t="shared" si="2"/>
        <v>1.013424845971564</v>
      </c>
      <c r="D93">
        <f t="shared" si="3"/>
        <v>1.6173146315908107</v>
      </c>
    </row>
    <row r="94" spans="1:4">
      <c r="A94" s="4">
        <v>46388</v>
      </c>
      <c r="B94">
        <v>0.5812819905213269</v>
      </c>
      <c r="C94">
        <f t="shared" si="2"/>
        <v>1.0058128199052132</v>
      </c>
      <c r="D94">
        <f t="shared" si="3"/>
        <v>1.6267157902743143</v>
      </c>
    </row>
    <row r="95" spans="1:4">
      <c r="A95" s="4">
        <v>46419</v>
      </c>
      <c r="B95">
        <v>0.45672156398104258</v>
      </c>
      <c r="C95">
        <f t="shared" si="2"/>
        <v>1.0045672156398104</v>
      </c>
      <c r="D95">
        <f t="shared" si="3"/>
        <v>1.6341453520731819</v>
      </c>
    </row>
    <row r="96" spans="1:4">
      <c r="A96" s="4">
        <v>46447</v>
      </c>
      <c r="B96">
        <v>0.69200236966824635</v>
      </c>
      <c r="C96">
        <f t="shared" si="2"/>
        <v>1.0069200236966824</v>
      </c>
      <c r="D96">
        <f t="shared" si="3"/>
        <v>1.6454536766333518</v>
      </c>
    </row>
    <row r="97" spans="1:4">
      <c r="A97" s="4">
        <v>46478</v>
      </c>
      <c r="B97">
        <v>0.77504265402843586</v>
      </c>
      <c r="C97">
        <f t="shared" si="2"/>
        <v>1.0077504265402843</v>
      </c>
      <c r="D97">
        <f t="shared" si="3"/>
        <v>1.6582066444795394</v>
      </c>
    </row>
    <row r="98" spans="1:4">
      <c r="A98" s="4">
        <v>46508</v>
      </c>
      <c r="B98">
        <v>0.35984123222748809</v>
      </c>
      <c r="C98">
        <f t="shared" si="2"/>
        <v>1.003598412322275</v>
      </c>
      <c r="D98">
        <f t="shared" si="3"/>
        <v>1.6641735557019128</v>
      </c>
    </row>
    <row r="99" spans="1:4">
      <c r="A99" s="4">
        <v>46539</v>
      </c>
      <c r="B99">
        <v>0.3321611374407582</v>
      </c>
      <c r="C99">
        <f t="shared" si="2"/>
        <v>1.0033216113744077</v>
      </c>
      <c r="D99">
        <f t="shared" si="3"/>
        <v>1.6697012935135207</v>
      </c>
    </row>
    <row r="100" spans="1:4">
      <c r="A100" s="4">
        <v>46569</v>
      </c>
      <c r="B100">
        <v>0.30448104265402837</v>
      </c>
      <c r="C100">
        <f t="shared" si="2"/>
        <v>1.0030448104265404</v>
      </c>
      <c r="D100">
        <f t="shared" si="3"/>
        <v>1.6747852174212186</v>
      </c>
    </row>
    <row r="101" spans="1:4">
      <c r="A101" s="4">
        <v>46600</v>
      </c>
      <c r="B101">
        <v>0.15224052132701418</v>
      </c>
      <c r="C101">
        <f t="shared" si="2"/>
        <v>1.0015224052132701</v>
      </c>
      <c r="D101">
        <f t="shared" si="3"/>
        <v>1.6773349191673284</v>
      </c>
    </row>
    <row r="102" spans="1:4">
      <c r="A102" s="4">
        <v>46631</v>
      </c>
      <c r="B102">
        <v>8.3040284360189551E-2</v>
      </c>
      <c r="C102">
        <f t="shared" si="2"/>
        <v>1.0008304028436019</v>
      </c>
      <c r="D102">
        <f t="shared" si="3"/>
        <v>1.6787277828538778</v>
      </c>
    </row>
    <row r="103" spans="1:4">
      <c r="A103" s="4">
        <v>46661</v>
      </c>
      <c r="B103">
        <v>0.11072037914691941</v>
      </c>
      <c r="C103">
        <f t="shared" si="2"/>
        <v>1.0011072037914692</v>
      </c>
      <c r="D103">
        <f t="shared" si="3"/>
        <v>1.6805864766198984</v>
      </c>
    </row>
    <row r="104" spans="1:4">
      <c r="A104" s="4">
        <v>46692</v>
      </c>
      <c r="B104">
        <v>0.65446943127962065</v>
      </c>
      <c r="C104">
        <f t="shared" si="2"/>
        <v>1.0065446943127963</v>
      </c>
      <c r="D104">
        <f t="shared" si="3"/>
        <v>1.6915854013755949</v>
      </c>
    </row>
    <row r="105" spans="1:4">
      <c r="A105" s="4">
        <v>46722</v>
      </c>
      <c r="B105">
        <v>1.3507135071090044</v>
      </c>
      <c r="C105">
        <f t="shared" si="2"/>
        <v>1.01350713507109</v>
      </c>
      <c r="D105">
        <f t="shared" si="3"/>
        <v>1.714433873876259</v>
      </c>
    </row>
    <row r="106" spans="1:4">
      <c r="A106" s="4">
        <v>46753</v>
      </c>
      <c r="B106">
        <v>0.58484502369668234</v>
      </c>
      <c r="C106">
        <f t="shared" si="2"/>
        <v>1.0058484502369669</v>
      </c>
      <c r="D106">
        <f t="shared" si="3"/>
        <v>1.7244606550721946</v>
      </c>
    </row>
    <row r="107" spans="1:4">
      <c r="A107" s="4">
        <v>46784</v>
      </c>
      <c r="B107">
        <v>0.45952109004739328</v>
      </c>
      <c r="C107">
        <f t="shared" si="2"/>
        <v>1.0045952109004739</v>
      </c>
      <c r="D107">
        <f t="shared" si="3"/>
        <v>1.7323849154718207</v>
      </c>
    </row>
    <row r="108" spans="1:4">
      <c r="A108" s="4">
        <v>46813</v>
      </c>
      <c r="B108">
        <v>0.69624407582938375</v>
      </c>
      <c r="C108">
        <f t="shared" si="2"/>
        <v>1.0069624407582938</v>
      </c>
      <c r="D108">
        <f t="shared" si="3"/>
        <v>1.7444465428163551</v>
      </c>
    </row>
    <row r="109" spans="1:4">
      <c r="A109" s="4">
        <v>46844</v>
      </c>
      <c r="B109">
        <v>0.77979336492890983</v>
      </c>
      <c r="C109">
        <f t="shared" si="2"/>
        <v>1.007797933649289</v>
      </c>
      <c r="D109">
        <f t="shared" si="3"/>
        <v>1.7580496212119687</v>
      </c>
    </row>
    <row r="110" spans="1:4">
      <c r="A110" s="4">
        <v>46874</v>
      </c>
      <c r="B110">
        <v>0.36204691943127953</v>
      </c>
      <c r="C110">
        <f t="shared" si="2"/>
        <v>1.0036204691943127</v>
      </c>
      <c r="D110">
        <f t="shared" si="3"/>
        <v>1.7644145857076396</v>
      </c>
    </row>
    <row r="111" spans="1:4">
      <c r="A111" s="4">
        <v>46905</v>
      </c>
      <c r="B111">
        <v>0.33419715639810421</v>
      </c>
      <c r="C111">
        <f t="shared" si="2"/>
        <v>1.0033419715639811</v>
      </c>
      <c r="D111">
        <f t="shared" si="3"/>
        <v>1.7703112090801481</v>
      </c>
    </row>
    <row r="112" spans="1:4">
      <c r="A112" s="4">
        <v>46935</v>
      </c>
      <c r="B112">
        <v>0.30634739336492883</v>
      </c>
      <c r="C112">
        <f t="shared" si="2"/>
        <v>1.0030634739336493</v>
      </c>
      <c r="D112">
        <f t="shared" si="3"/>
        <v>1.7757345113236123</v>
      </c>
    </row>
    <row r="113" spans="1:4">
      <c r="A113" s="4">
        <v>46966</v>
      </c>
      <c r="B113">
        <v>0.15317369668246442</v>
      </c>
      <c r="C113">
        <f t="shared" si="2"/>
        <v>1.0015317369668246</v>
      </c>
      <c r="D113">
        <f t="shared" si="3"/>
        <v>1.778454469517873</v>
      </c>
    </row>
    <row r="114" spans="1:4">
      <c r="A114" s="4">
        <v>46997</v>
      </c>
      <c r="B114">
        <v>8.3549289099526053E-2</v>
      </c>
      <c r="C114">
        <f t="shared" si="2"/>
        <v>1.0008354928909953</v>
      </c>
      <c r="D114">
        <f t="shared" si="3"/>
        <v>1.779940355584114</v>
      </c>
    </row>
    <row r="115" spans="1:4">
      <c r="A115" s="4">
        <v>47027</v>
      </c>
      <c r="B115">
        <v>0.1113990521327014</v>
      </c>
      <c r="C115">
        <f t="shared" si="2"/>
        <v>1.0011139905213271</v>
      </c>
      <c r="D115">
        <f t="shared" si="3"/>
        <v>1.7819231922687624</v>
      </c>
    </row>
    <row r="116" spans="1:4">
      <c r="A116" s="4">
        <v>47058</v>
      </c>
      <c r="B116">
        <v>0.65791090047393341</v>
      </c>
      <c r="C116">
        <f t="shared" si="2"/>
        <v>1.0065791090047393</v>
      </c>
      <c r="D116">
        <f t="shared" si="3"/>
        <v>1.7936466591887716</v>
      </c>
    </row>
    <row r="117" spans="1:4">
      <c r="A117" s="4">
        <v>47088</v>
      </c>
      <c r="B117">
        <v>1.3578161137440754</v>
      </c>
      <c r="C117">
        <f t="shared" si="2"/>
        <v>1.0135781611374408</v>
      </c>
      <c r="D117">
        <f t="shared" si="3"/>
        <v>1.8180010825508692</v>
      </c>
    </row>
    <row r="118" spans="1:4">
      <c r="A118" s="4">
        <v>47119</v>
      </c>
      <c r="B118">
        <v>0.5879203791469193</v>
      </c>
      <c r="C118">
        <f t="shared" si="2"/>
        <v>1.0058792037914692</v>
      </c>
      <c r="D118">
        <f t="shared" si="3"/>
        <v>1.8286894814082975</v>
      </c>
    </row>
    <row r="119" spans="1:4">
      <c r="A119" s="4">
        <v>47150</v>
      </c>
      <c r="B119">
        <v>0.46193744075829374</v>
      </c>
      <c r="C119">
        <f t="shared" si="2"/>
        <v>1.0046193744075829</v>
      </c>
      <c r="D119">
        <f t="shared" si="3"/>
        <v>1.8371368827981309</v>
      </c>
    </row>
    <row r="120" spans="1:4">
      <c r="A120" s="4">
        <v>47178</v>
      </c>
      <c r="B120">
        <v>0.6999052132701421</v>
      </c>
      <c r="C120">
        <f t="shared" si="2"/>
        <v>1.0069990521327015</v>
      </c>
      <c r="D120">
        <f t="shared" si="3"/>
        <v>1.8499950996157437</v>
      </c>
    </row>
    <row r="121" spans="1:4">
      <c r="A121" s="4">
        <v>47209</v>
      </c>
      <c r="B121">
        <v>0.78389383886255903</v>
      </c>
      <c r="C121">
        <f t="shared" si="2"/>
        <v>1.0078389383886255</v>
      </c>
      <c r="D121">
        <f t="shared" si="3"/>
        <v>1.8644970972208905</v>
      </c>
    </row>
    <row r="122" spans="1:4">
      <c r="A122" s="4">
        <v>47239</v>
      </c>
      <c r="B122">
        <v>0.36395071090047387</v>
      </c>
      <c r="C122">
        <f t="shared" si="2"/>
        <v>1.0036395071090047</v>
      </c>
      <c r="D122">
        <f t="shared" si="3"/>
        <v>1.8712829476609447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47666-73E3-4116-B72D-E48687C866F9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3B531-E99B-4BFE-B350-850809946138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8F6F-D83E-4A0A-800B-1FA30B7323FF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B7722-2992-4D19-B550-98168428D3A9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0CDA4-9C0C-4F8E-8CBE-5EAC59CDC000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B282F-EA81-4EC2-A41C-78451D4E8AA6}">
  <dimension ref="A1:D121"/>
  <sheetViews>
    <sheetView workbookViewId="0">
      <selection activeCell="B2" sqref="B2:B119"/>
    </sheetView>
  </sheetViews>
  <sheetFormatPr defaultRowHeight="15"/>
  <cols>
    <col min="1" max="1" width="11.140625" customWidth="1"/>
    <col min="2" max="2" width="10.140625" customWidth="1"/>
    <col min="4" max="4" width="13" customWidth="1"/>
  </cols>
  <sheetData>
    <row r="1" spans="1:4">
      <c r="A1" t="s">
        <v>21</v>
      </c>
      <c r="B1" t="s">
        <v>150</v>
      </c>
      <c r="C1" t="s">
        <v>22</v>
      </c>
      <c r="D1" t="s">
        <v>149</v>
      </c>
    </row>
    <row r="2" spans="1:4">
      <c r="A2" s="4">
        <v>43678</v>
      </c>
      <c r="B2">
        <v>0.11</v>
      </c>
      <c r="C2">
        <f>1+B2/100</f>
        <v>1.0011000000000001</v>
      </c>
      <c r="D2">
        <f>1.0011</f>
        <v>1.0011000000000001</v>
      </c>
    </row>
    <row r="3" spans="1:4">
      <c r="A3" s="4">
        <v>43709</v>
      </c>
      <c r="B3">
        <v>-0.04</v>
      </c>
      <c r="C3">
        <f t="shared" ref="C3:C66" si="0">1+B3/100</f>
        <v>0.99960000000000004</v>
      </c>
      <c r="D3">
        <f>C3*D2</f>
        <v>1.0006995600000002</v>
      </c>
    </row>
    <row r="4" spans="1:4">
      <c r="A4" s="4">
        <v>43739</v>
      </c>
      <c r="B4">
        <v>0.1</v>
      </c>
      <c r="C4">
        <f t="shared" si="0"/>
        <v>1.0009999999999999</v>
      </c>
      <c r="D4">
        <f t="shared" ref="D4:D67" si="1">C4*D3</f>
        <v>1.00170025956</v>
      </c>
    </row>
    <row r="5" spans="1:4">
      <c r="A5" s="4">
        <v>43770</v>
      </c>
      <c r="B5">
        <v>0.51</v>
      </c>
      <c r="C5">
        <f t="shared" si="0"/>
        <v>1.0051000000000001</v>
      </c>
      <c r="D5">
        <f t="shared" si="1"/>
        <v>1.006808930883756</v>
      </c>
    </row>
    <row r="6" spans="1:4">
      <c r="A6" s="4">
        <v>43800</v>
      </c>
      <c r="B6">
        <v>1.1499999999999999</v>
      </c>
      <c r="C6">
        <f t="shared" si="0"/>
        <v>1.0115000000000001</v>
      </c>
      <c r="D6">
        <f t="shared" si="1"/>
        <v>1.0183872335889192</v>
      </c>
    </row>
    <row r="7" spans="1:4">
      <c r="A7" s="4">
        <v>43831</v>
      </c>
      <c r="B7">
        <v>0.21</v>
      </c>
      <c r="C7">
        <f t="shared" si="0"/>
        <v>1.0021</v>
      </c>
      <c r="D7">
        <f t="shared" si="1"/>
        <v>1.020525846779456</v>
      </c>
    </row>
    <row r="8" spans="1:4">
      <c r="A8" s="4">
        <v>43862</v>
      </c>
      <c r="B8">
        <v>0.25</v>
      </c>
      <c r="C8">
        <f t="shared" si="0"/>
        <v>1.0024999999999999</v>
      </c>
      <c r="D8">
        <f t="shared" si="1"/>
        <v>1.0230771613964047</v>
      </c>
    </row>
    <row r="9" spans="1:4">
      <c r="A9" s="4">
        <v>43891</v>
      </c>
      <c r="B9">
        <v>7.0000000000000007E-2</v>
      </c>
      <c r="C9">
        <f t="shared" si="0"/>
        <v>1.0006999999999999</v>
      </c>
      <c r="D9">
        <f t="shared" si="1"/>
        <v>1.0237933154093821</v>
      </c>
    </row>
    <row r="10" spans="1:4">
      <c r="A10" s="4">
        <v>43922</v>
      </c>
      <c r="B10">
        <v>-0.31</v>
      </c>
      <c r="C10">
        <f t="shared" si="0"/>
        <v>0.99690000000000001</v>
      </c>
      <c r="D10">
        <f t="shared" si="1"/>
        <v>1.0206195561316131</v>
      </c>
    </row>
    <row r="11" spans="1:4">
      <c r="A11" s="4">
        <v>43952</v>
      </c>
      <c r="B11">
        <v>-0.38</v>
      </c>
      <c r="C11">
        <f t="shared" si="0"/>
        <v>0.99619999999999997</v>
      </c>
      <c r="D11">
        <f t="shared" si="1"/>
        <v>1.0167412018183131</v>
      </c>
    </row>
    <row r="12" spans="1:4">
      <c r="A12" s="4">
        <v>43983</v>
      </c>
      <c r="B12">
        <v>0.26</v>
      </c>
      <c r="C12">
        <f t="shared" si="0"/>
        <v>1.0025999999999999</v>
      </c>
      <c r="D12">
        <f t="shared" si="1"/>
        <v>1.0193847289430407</v>
      </c>
    </row>
    <row r="13" spans="1:4">
      <c r="A13" s="4">
        <v>44013</v>
      </c>
      <c r="B13">
        <v>0.36</v>
      </c>
      <c r="C13">
        <f t="shared" si="0"/>
        <v>1.0036</v>
      </c>
      <c r="D13">
        <f t="shared" si="1"/>
        <v>1.0230545139672356</v>
      </c>
    </row>
    <row r="14" spans="1:4">
      <c r="A14" s="4">
        <v>44044</v>
      </c>
      <c r="B14">
        <v>0.24</v>
      </c>
      <c r="C14">
        <f t="shared" si="0"/>
        <v>1.0024</v>
      </c>
      <c r="D14">
        <f t="shared" si="1"/>
        <v>1.0255098448007569</v>
      </c>
    </row>
    <row r="15" spans="1:4">
      <c r="A15" s="4">
        <v>44075</v>
      </c>
      <c r="B15">
        <v>0.64</v>
      </c>
      <c r="C15">
        <f t="shared" si="0"/>
        <v>1.0064</v>
      </c>
      <c r="D15">
        <f t="shared" si="1"/>
        <v>1.0320731078074816</v>
      </c>
    </row>
    <row r="16" spans="1:4">
      <c r="A16" s="4">
        <v>44105</v>
      </c>
      <c r="B16">
        <v>0.86</v>
      </c>
      <c r="C16">
        <f t="shared" si="0"/>
        <v>1.0085999999999999</v>
      </c>
      <c r="D16">
        <f t="shared" si="1"/>
        <v>1.0409489365346258</v>
      </c>
    </row>
    <row r="17" spans="1:4">
      <c r="A17" s="4">
        <v>44136</v>
      </c>
      <c r="B17">
        <v>0.89</v>
      </c>
      <c r="C17">
        <f t="shared" si="0"/>
        <v>1.0088999999999999</v>
      </c>
      <c r="D17">
        <f t="shared" si="1"/>
        <v>1.0502133820697839</v>
      </c>
    </row>
    <row r="18" spans="1:4">
      <c r="A18" s="4">
        <v>44166</v>
      </c>
      <c r="B18">
        <v>1.35</v>
      </c>
      <c r="C18">
        <f t="shared" si="0"/>
        <v>1.0135000000000001</v>
      </c>
      <c r="D18">
        <f t="shared" si="1"/>
        <v>1.0643912627277261</v>
      </c>
    </row>
    <row r="19" spans="1:4">
      <c r="A19" s="4">
        <v>44197</v>
      </c>
      <c r="B19">
        <v>0.25</v>
      </c>
      <c r="C19">
        <f t="shared" si="0"/>
        <v>1.0024999999999999</v>
      </c>
      <c r="D19">
        <f t="shared" si="1"/>
        <v>1.0670522408845453</v>
      </c>
    </row>
    <row r="20" spans="1:4">
      <c r="A20" s="4">
        <v>44228</v>
      </c>
      <c r="B20">
        <v>0.86</v>
      </c>
      <c r="C20">
        <f t="shared" si="0"/>
        <v>1.0085999999999999</v>
      </c>
      <c r="D20">
        <f t="shared" si="1"/>
        <v>1.0762288901561523</v>
      </c>
    </row>
    <row r="21" spans="1:4">
      <c r="A21" s="4">
        <v>44256</v>
      </c>
      <c r="B21">
        <v>0.93</v>
      </c>
      <c r="C21">
        <f t="shared" si="0"/>
        <v>1.0093000000000001</v>
      </c>
      <c r="D21">
        <f t="shared" si="1"/>
        <v>1.0862378188346047</v>
      </c>
    </row>
    <row r="22" spans="1:4">
      <c r="A22" s="4">
        <v>44287</v>
      </c>
      <c r="B22">
        <v>0.31</v>
      </c>
      <c r="C22">
        <f t="shared" si="0"/>
        <v>1.0031000000000001</v>
      </c>
      <c r="D22">
        <f t="shared" si="1"/>
        <v>1.089605156072992</v>
      </c>
    </row>
    <row r="23" spans="1:4">
      <c r="A23" s="4">
        <v>44317</v>
      </c>
      <c r="B23">
        <v>0.83</v>
      </c>
      <c r="C23">
        <f t="shared" si="0"/>
        <v>1.0083</v>
      </c>
      <c r="D23">
        <f t="shared" si="1"/>
        <v>1.0986488788683979</v>
      </c>
    </row>
    <row r="24" spans="1:4">
      <c r="A24" s="4">
        <v>44348</v>
      </c>
      <c r="B24">
        <v>0.53</v>
      </c>
      <c r="C24">
        <f t="shared" si="0"/>
        <v>1.0053000000000001</v>
      </c>
      <c r="D24">
        <f t="shared" si="1"/>
        <v>1.1044717179264005</v>
      </c>
    </row>
    <row r="25" spans="1:4">
      <c r="A25" s="4">
        <v>44378</v>
      </c>
      <c r="B25">
        <v>0.96</v>
      </c>
      <c r="C25">
        <f t="shared" si="0"/>
        <v>1.0096000000000001</v>
      </c>
      <c r="D25">
        <f t="shared" si="1"/>
        <v>1.115074646418494</v>
      </c>
    </row>
    <row r="26" spans="1:4">
      <c r="A26" s="4">
        <v>44409</v>
      </c>
      <c r="B26">
        <v>0.87</v>
      </c>
      <c r="C26">
        <f t="shared" si="0"/>
        <v>1.0086999999999999</v>
      </c>
      <c r="D26">
        <f t="shared" si="1"/>
        <v>1.1247757958423348</v>
      </c>
    </row>
    <row r="27" spans="1:4">
      <c r="A27" s="4">
        <v>44440</v>
      </c>
      <c r="B27">
        <v>1.1599999999999999</v>
      </c>
      <c r="C27">
        <f t="shared" si="0"/>
        <v>1.0116000000000001</v>
      </c>
      <c r="D27">
        <f t="shared" si="1"/>
        <v>1.137823195074106</v>
      </c>
    </row>
    <row r="28" spans="1:4">
      <c r="A28" s="4">
        <v>44470</v>
      </c>
      <c r="B28">
        <v>1.25</v>
      </c>
      <c r="C28">
        <f t="shared" si="0"/>
        <v>1.0125</v>
      </c>
      <c r="D28">
        <f t="shared" si="1"/>
        <v>1.1520459850125322</v>
      </c>
    </row>
    <row r="29" spans="1:4">
      <c r="A29" s="4">
        <v>44501</v>
      </c>
      <c r="B29">
        <v>0.95</v>
      </c>
      <c r="C29">
        <f t="shared" si="0"/>
        <v>1.0095000000000001</v>
      </c>
      <c r="D29">
        <f t="shared" si="1"/>
        <v>1.1629904218701512</v>
      </c>
    </row>
    <row r="30" spans="1:4">
      <c r="A30" s="4">
        <v>44531</v>
      </c>
      <c r="B30">
        <v>0.73</v>
      </c>
      <c r="C30">
        <f t="shared" si="0"/>
        <v>1.0073000000000001</v>
      </c>
      <c r="D30">
        <f t="shared" si="1"/>
        <v>1.1714802519498033</v>
      </c>
    </row>
    <row r="31" spans="1:4">
      <c r="A31" s="4">
        <v>44562</v>
      </c>
      <c r="B31">
        <v>0.54</v>
      </c>
      <c r="C31">
        <f t="shared" si="0"/>
        <v>1.0054000000000001</v>
      </c>
      <c r="D31">
        <f t="shared" si="1"/>
        <v>1.1778062453103324</v>
      </c>
    </row>
    <row r="32" spans="1:4">
      <c r="A32" s="4">
        <v>44593</v>
      </c>
      <c r="B32">
        <v>1.01</v>
      </c>
      <c r="C32">
        <f t="shared" si="0"/>
        <v>1.0101</v>
      </c>
      <c r="D32">
        <f t="shared" si="1"/>
        <v>1.1897020883879668</v>
      </c>
    </row>
    <row r="33" spans="1:4">
      <c r="A33" s="4">
        <v>44621</v>
      </c>
      <c r="B33">
        <v>1.62</v>
      </c>
      <c r="C33">
        <f t="shared" si="0"/>
        <v>1.0162</v>
      </c>
      <c r="D33">
        <f t="shared" si="1"/>
        <v>1.2089752622198517</v>
      </c>
    </row>
    <row r="34" spans="1:4">
      <c r="A34" s="4">
        <v>44652</v>
      </c>
      <c r="B34">
        <v>1.06</v>
      </c>
      <c r="C34">
        <f t="shared" si="0"/>
        <v>1.0105999999999999</v>
      </c>
      <c r="D34">
        <f t="shared" si="1"/>
        <v>1.221790399999382</v>
      </c>
    </row>
    <row r="35" spans="1:4">
      <c r="A35" s="4">
        <v>44682</v>
      </c>
      <c r="B35">
        <v>0.47</v>
      </c>
      <c r="C35">
        <f t="shared" si="0"/>
        <v>1.0046999999999999</v>
      </c>
      <c r="D35">
        <f t="shared" si="1"/>
        <v>1.2275328148793789</v>
      </c>
    </row>
    <row r="36" spans="1:4">
      <c r="A36" s="4">
        <v>44713</v>
      </c>
      <c r="B36">
        <v>0.67</v>
      </c>
      <c r="C36">
        <f t="shared" si="0"/>
        <v>1.0066999999999999</v>
      </c>
      <c r="D36">
        <f t="shared" si="1"/>
        <v>1.2357572847390708</v>
      </c>
    </row>
    <row r="37" spans="1:4">
      <c r="A37" s="4">
        <v>44743</v>
      </c>
      <c r="B37">
        <v>-0.68</v>
      </c>
      <c r="C37">
        <f t="shared" si="0"/>
        <v>0.99319999999999997</v>
      </c>
      <c r="D37">
        <f t="shared" si="1"/>
        <v>1.227354135202845</v>
      </c>
    </row>
    <row r="38" spans="1:4">
      <c r="A38" s="4">
        <v>44774</v>
      </c>
      <c r="B38">
        <v>-0.36</v>
      </c>
      <c r="C38">
        <f t="shared" si="0"/>
        <v>0.99639999999999995</v>
      </c>
      <c r="D38">
        <f t="shared" si="1"/>
        <v>1.2229356603161148</v>
      </c>
    </row>
    <row r="39" spans="1:4">
      <c r="A39" s="4">
        <v>44805</v>
      </c>
      <c r="B39">
        <v>-0.28999999999999998</v>
      </c>
      <c r="C39">
        <f t="shared" si="0"/>
        <v>0.99709999999999999</v>
      </c>
      <c r="D39">
        <f t="shared" si="1"/>
        <v>1.2193891469011979</v>
      </c>
    </row>
    <row r="40" spans="1:4">
      <c r="A40" s="4">
        <v>44835</v>
      </c>
      <c r="B40">
        <v>0.33</v>
      </c>
      <c r="C40">
        <f t="shared" si="0"/>
        <v>1.0033000000000001</v>
      </c>
      <c r="D40">
        <f t="shared" si="1"/>
        <v>1.2234131310859719</v>
      </c>
    </row>
    <row r="41" spans="1:4">
      <c r="A41" s="4">
        <v>44866</v>
      </c>
      <c r="B41">
        <v>0.94638500140897963</v>
      </c>
      <c r="C41">
        <f t="shared" si="0"/>
        <v>1.0094638500140898</v>
      </c>
      <c r="D41">
        <f t="shared" si="1"/>
        <v>1.2349913294638375</v>
      </c>
    </row>
    <row r="42" spans="1:4">
      <c r="A42" s="4">
        <v>44896</v>
      </c>
      <c r="B42">
        <v>1.9531775560993834</v>
      </c>
      <c r="C42">
        <f t="shared" si="0"/>
        <v>1.0195317755609938</v>
      </c>
      <c r="D42">
        <f t="shared" si="1"/>
        <v>1.2591129029306987</v>
      </c>
    </row>
    <row r="43" spans="1:4">
      <c r="A43" s="4">
        <v>44927</v>
      </c>
      <c r="B43">
        <v>0.84570574593993919</v>
      </c>
      <c r="C43">
        <f t="shared" si="0"/>
        <v>1.0084570574593994</v>
      </c>
      <c r="D43">
        <f t="shared" si="1"/>
        <v>1.2697612930986548</v>
      </c>
    </row>
    <row r="44" spans="1:4">
      <c r="A44" s="4">
        <v>44958</v>
      </c>
      <c r="B44">
        <v>0.66448308609566664</v>
      </c>
      <c r="C44">
        <f t="shared" si="0"/>
        <v>1.0066448308609566</v>
      </c>
      <c r="D44">
        <f t="shared" si="1"/>
        <v>1.2781986421250848</v>
      </c>
    </row>
    <row r="45" spans="1:4">
      <c r="A45" s="4">
        <v>44986</v>
      </c>
      <c r="B45">
        <v>1.006792554690404</v>
      </c>
      <c r="C45">
        <f t="shared" si="0"/>
        <v>1.0100679255469041</v>
      </c>
      <c r="D45">
        <f t="shared" si="1"/>
        <v>1.2910674508881541</v>
      </c>
    </row>
    <row r="46" spans="1:4">
      <c r="A46" s="4">
        <v>45017</v>
      </c>
      <c r="B46">
        <v>1.1276076612532524</v>
      </c>
      <c r="C46">
        <f t="shared" si="0"/>
        <v>1.0112760766125326</v>
      </c>
      <c r="D46">
        <f t="shared" si="1"/>
        <v>1.3056256263763162</v>
      </c>
    </row>
    <row r="47" spans="1:4">
      <c r="A47" s="4">
        <v>45047</v>
      </c>
      <c r="B47">
        <v>0.41494999999999999</v>
      </c>
      <c r="C47">
        <f t="shared" si="0"/>
        <v>1.0041495</v>
      </c>
      <c r="D47">
        <f t="shared" si="1"/>
        <v>1.3110433199129647</v>
      </c>
    </row>
    <row r="48" spans="1:4">
      <c r="A48" s="4">
        <v>45078</v>
      </c>
      <c r="B48">
        <v>0.38303300000000001</v>
      </c>
      <c r="C48">
        <f t="shared" si="0"/>
        <v>1.00383033</v>
      </c>
      <c r="D48">
        <f t="shared" si="1"/>
        <v>1.3160650484725269</v>
      </c>
    </row>
    <row r="49" spans="1:4">
      <c r="A49" s="4">
        <v>45108</v>
      </c>
      <c r="B49">
        <v>0.35111999999999999</v>
      </c>
      <c r="C49">
        <f t="shared" si="0"/>
        <v>1.0035111999999999</v>
      </c>
      <c r="D49">
        <f t="shared" si="1"/>
        <v>1.3206860160707237</v>
      </c>
    </row>
    <row r="50" spans="1:4">
      <c r="A50" s="4">
        <v>45139</v>
      </c>
      <c r="B50">
        <v>0.17555687203791467</v>
      </c>
      <c r="C50">
        <f t="shared" si="0"/>
        <v>1.0017555687203792</v>
      </c>
      <c r="D50">
        <f t="shared" si="1"/>
        <v>1.3230045711299796</v>
      </c>
    </row>
    <row r="51" spans="1:4">
      <c r="A51" s="4">
        <v>45170</v>
      </c>
      <c r="B51">
        <v>9.5758293838862543E-2</v>
      </c>
      <c r="C51">
        <f t="shared" si="0"/>
        <v>1.0009575829383885</v>
      </c>
      <c r="D51">
        <f t="shared" si="1"/>
        <v>1.3242714577347037</v>
      </c>
    </row>
    <row r="52" spans="1:4">
      <c r="A52" s="4">
        <v>45200</v>
      </c>
      <c r="B52">
        <v>0.12767772511848341</v>
      </c>
      <c r="C52">
        <f t="shared" si="0"/>
        <v>1.0012767772511848</v>
      </c>
      <c r="D52">
        <f t="shared" si="1"/>
        <v>1.3259622574063328</v>
      </c>
    </row>
    <row r="53" spans="1:4">
      <c r="A53" s="4">
        <v>45231</v>
      </c>
      <c r="B53">
        <v>0.66754478672985762</v>
      </c>
      <c r="C53">
        <f t="shared" si="0"/>
        <v>1.0066754478672986</v>
      </c>
      <c r="D53">
        <f t="shared" si="1"/>
        <v>1.3348136493296543</v>
      </c>
    </row>
    <row r="54" spans="1:4">
      <c r="A54" s="4">
        <v>45261</v>
      </c>
      <c r="B54">
        <v>1.3776988151658764</v>
      </c>
      <c r="C54">
        <f t="shared" si="0"/>
        <v>1.0137769881516587</v>
      </c>
      <c r="D54">
        <f t="shared" si="1"/>
        <v>1.3532033611611414</v>
      </c>
    </row>
    <row r="55" spans="1:4">
      <c r="A55" s="4">
        <v>45292</v>
      </c>
      <c r="B55">
        <v>0.59652938388625576</v>
      </c>
      <c r="C55">
        <f t="shared" si="0"/>
        <v>1.0059652938388626</v>
      </c>
      <c r="D55">
        <f t="shared" si="1"/>
        <v>1.3612756168342039</v>
      </c>
    </row>
    <row r="56" spans="1:4">
      <c r="A56" s="4">
        <v>45323</v>
      </c>
      <c r="B56">
        <v>0.46870165876777242</v>
      </c>
      <c r="C56">
        <f t="shared" si="0"/>
        <v>1.0046870165876778</v>
      </c>
      <c r="D56">
        <f t="shared" si="1"/>
        <v>1.3676559382307072</v>
      </c>
    </row>
    <row r="57" spans="1:4">
      <c r="A57" s="4">
        <v>45352</v>
      </c>
      <c r="B57">
        <v>0.71015402843601882</v>
      </c>
      <c r="C57">
        <f t="shared" si="0"/>
        <v>1.0071015402843602</v>
      </c>
      <c r="D57">
        <f t="shared" si="1"/>
        <v>1.3773684019711969</v>
      </c>
    </row>
    <row r="58" spans="1:4">
      <c r="A58" s="4">
        <v>45383</v>
      </c>
      <c r="B58">
        <v>0.79537251184834112</v>
      </c>
      <c r="C58">
        <f t="shared" si="0"/>
        <v>1.0079537251184834</v>
      </c>
      <c r="D58">
        <f t="shared" si="1"/>
        <v>1.3883236116273605</v>
      </c>
    </row>
    <row r="59" spans="1:4">
      <c r="A59" s="4">
        <v>45413</v>
      </c>
      <c r="B59">
        <v>0.3692800947867298</v>
      </c>
      <c r="C59">
        <f t="shared" si="0"/>
        <v>1.0036928009478674</v>
      </c>
      <c r="D59">
        <f t="shared" si="1"/>
        <v>1.3934504143763247</v>
      </c>
    </row>
    <row r="60" spans="1:4">
      <c r="A60" s="4">
        <v>45444</v>
      </c>
      <c r="B60">
        <v>0.34087393364928903</v>
      </c>
      <c r="C60">
        <f t="shared" si="0"/>
        <v>1.003408739336493</v>
      </c>
      <c r="D60">
        <f t="shared" si="1"/>
        <v>1.3982003236172618</v>
      </c>
    </row>
    <row r="61" spans="1:4">
      <c r="A61" s="4">
        <v>45474</v>
      </c>
      <c r="B61">
        <v>0.31246777251184826</v>
      </c>
      <c r="C61">
        <f t="shared" si="0"/>
        <v>1.0031246777251184</v>
      </c>
      <c r="D61">
        <f t="shared" si="1"/>
        <v>1.4025692490237218</v>
      </c>
    </row>
    <row r="62" spans="1:4">
      <c r="A62" s="4">
        <v>45505</v>
      </c>
      <c r="B62">
        <v>0.15623388625592413</v>
      </c>
      <c r="C62">
        <f t="shared" si="0"/>
        <v>1.0015623388625592</v>
      </c>
      <c r="D62">
        <f t="shared" si="1"/>
        <v>1.4047605374689021</v>
      </c>
    </row>
    <row r="63" spans="1:4">
      <c r="A63" s="4">
        <v>45536</v>
      </c>
      <c r="B63">
        <v>8.5218483412322257E-2</v>
      </c>
      <c r="C63">
        <f t="shared" si="0"/>
        <v>1.0008521848341232</v>
      </c>
      <c r="D63">
        <f t="shared" si="1"/>
        <v>1.4059576530945077</v>
      </c>
    </row>
    <row r="64" spans="1:4">
      <c r="A64" s="4">
        <v>45566</v>
      </c>
      <c r="B64">
        <v>0.11362464454976301</v>
      </c>
      <c r="C64">
        <f t="shared" si="0"/>
        <v>1.0011362464454976</v>
      </c>
      <c r="D64">
        <f t="shared" si="1"/>
        <v>1.4075551674803566</v>
      </c>
    </row>
    <row r="65" spans="1:4">
      <c r="A65" s="4">
        <v>45597</v>
      </c>
      <c r="B65">
        <v>0.64748625592417042</v>
      </c>
      <c r="C65">
        <f t="shared" si="0"/>
        <v>1.0064748625592417</v>
      </c>
      <c r="D65">
        <f t="shared" si="1"/>
        <v>1.4166688937343423</v>
      </c>
    </row>
    <row r="66" spans="1:4">
      <c r="A66" s="4">
        <v>45627</v>
      </c>
      <c r="B66">
        <v>1.3363014218009477</v>
      </c>
      <c r="C66">
        <f t="shared" si="0"/>
        <v>1.0133630142180095</v>
      </c>
      <c r="D66">
        <f t="shared" si="1"/>
        <v>1.435599860303526</v>
      </c>
    </row>
    <row r="67" spans="1:4">
      <c r="A67" s="4">
        <v>45658</v>
      </c>
      <c r="B67">
        <v>0.57860473933649281</v>
      </c>
      <c r="C67">
        <f t="shared" ref="C67:C121" si="2">1+B67/100</f>
        <v>1.0057860473933649</v>
      </c>
      <c r="D67">
        <f t="shared" si="1"/>
        <v>1.4439063091331503</v>
      </c>
    </row>
    <row r="68" spans="1:4">
      <c r="A68" s="4">
        <v>45689</v>
      </c>
      <c r="B68">
        <v>0.45461800947867292</v>
      </c>
      <c r="C68">
        <f t="shared" si="2"/>
        <v>1.0045461800947868</v>
      </c>
      <c r="D68">
        <f t="shared" ref="D68:D121" si="3">C68*D67</f>
        <v>1.4504705672544684</v>
      </c>
    </row>
    <row r="69" spans="1:4">
      <c r="A69" s="4">
        <v>45717</v>
      </c>
      <c r="B69">
        <v>0.68881516587677716</v>
      </c>
      <c r="C69">
        <f t="shared" si="2"/>
        <v>1.0068881516587678</v>
      </c>
      <c r="D69">
        <f t="shared" si="3"/>
        <v>1.4604616284982961</v>
      </c>
    </row>
    <row r="70" spans="1:4">
      <c r="A70" s="4">
        <v>45748</v>
      </c>
      <c r="B70">
        <v>0.77147298578199042</v>
      </c>
      <c r="C70">
        <f t="shared" si="2"/>
        <v>1.00771472985782</v>
      </c>
      <c r="D70">
        <f t="shared" si="3"/>
        <v>1.4717286954298723</v>
      </c>
    </row>
    <row r="71" spans="1:4">
      <c r="A71" s="4">
        <v>45778</v>
      </c>
      <c r="B71">
        <v>0.35818388625592412</v>
      </c>
      <c r="C71">
        <f t="shared" si="2"/>
        <v>1.0035818388625593</v>
      </c>
      <c r="D71">
        <f t="shared" si="3"/>
        <v>1.4770001904663066</v>
      </c>
    </row>
    <row r="72" spans="1:4">
      <c r="A72" s="4">
        <v>45809</v>
      </c>
      <c r="B72">
        <v>0.33063127962085304</v>
      </c>
      <c r="C72">
        <f t="shared" si="2"/>
        <v>1.0033063127962085</v>
      </c>
      <c r="D72">
        <f t="shared" si="3"/>
        <v>1.4818836150960477</v>
      </c>
    </row>
    <row r="73" spans="1:4">
      <c r="A73" s="4">
        <v>45839</v>
      </c>
      <c r="B73">
        <v>0.30307867298578195</v>
      </c>
      <c r="C73">
        <f t="shared" si="2"/>
        <v>1.0030307867298578</v>
      </c>
      <c r="D73">
        <f t="shared" si="3"/>
        <v>1.4863748882918746</v>
      </c>
    </row>
    <row r="74" spans="1:4">
      <c r="A74" s="4">
        <v>45870</v>
      </c>
      <c r="B74">
        <v>0.15153933649289097</v>
      </c>
      <c r="C74">
        <f t="shared" si="2"/>
        <v>1.001515393364929</v>
      </c>
      <c r="D74">
        <f t="shared" si="3"/>
        <v>1.4886273309353892</v>
      </c>
    </row>
    <row r="75" spans="1:4">
      <c r="A75" s="4">
        <v>45901</v>
      </c>
      <c r="B75">
        <v>8.2657819905213259E-2</v>
      </c>
      <c r="C75">
        <f t="shared" si="2"/>
        <v>1.0008265781990522</v>
      </c>
      <c r="D75">
        <f t="shared" si="3"/>
        <v>1.4898577978336536</v>
      </c>
    </row>
    <row r="76" spans="1:4">
      <c r="A76" s="4">
        <v>45931</v>
      </c>
      <c r="B76">
        <v>0.11021042654028435</v>
      </c>
      <c r="C76">
        <f t="shared" si="2"/>
        <v>1.0011021042654029</v>
      </c>
      <c r="D76">
        <f t="shared" si="3"/>
        <v>1.4914997764674898</v>
      </c>
    </row>
    <row r="77" spans="1:4">
      <c r="A77" s="4">
        <v>45962</v>
      </c>
      <c r="B77">
        <v>0.64681800947867285</v>
      </c>
      <c r="C77">
        <f t="shared" si="2"/>
        <v>1.0064681800947868</v>
      </c>
      <c r="D77">
        <f t="shared" si="3"/>
        <v>1.5011470656330157</v>
      </c>
    </row>
    <row r="78" spans="1:4">
      <c r="A78" s="4">
        <v>45992</v>
      </c>
      <c r="B78">
        <v>1.3349222748815164</v>
      </c>
      <c r="C78">
        <f t="shared" si="2"/>
        <v>1.0133492227488152</v>
      </c>
      <c r="D78">
        <f t="shared" si="3"/>
        <v>1.5211862121908812</v>
      </c>
    </row>
    <row r="79" spans="1:4">
      <c r="A79" s="4">
        <v>46023</v>
      </c>
      <c r="B79">
        <v>0.5780075829383885</v>
      </c>
      <c r="C79">
        <f t="shared" si="2"/>
        <v>1.0057800758293838</v>
      </c>
      <c r="D79">
        <f t="shared" si="3"/>
        <v>1.5299787838479577</v>
      </c>
    </row>
    <row r="80" spans="1:4">
      <c r="A80" s="4">
        <v>46054</v>
      </c>
      <c r="B80">
        <v>0.45414881516587668</v>
      </c>
      <c r="C80">
        <f t="shared" si="2"/>
        <v>1.0045414881516588</v>
      </c>
      <c r="D80">
        <f t="shared" si="3"/>
        <v>1.5369271643670925</v>
      </c>
    </row>
    <row r="81" spans="1:4">
      <c r="A81" s="4">
        <v>46082</v>
      </c>
      <c r="B81">
        <v>0.68810426540284353</v>
      </c>
      <c r="C81">
        <f t="shared" si="2"/>
        <v>1.0068810426540284</v>
      </c>
      <c r="D81">
        <f t="shared" si="3"/>
        <v>1.5475028257412375</v>
      </c>
    </row>
    <row r="82" spans="1:4">
      <c r="A82" s="4">
        <v>46113</v>
      </c>
      <c r="B82">
        <v>0.77067677725118466</v>
      </c>
      <c r="C82">
        <f t="shared" si="2"/>
        <v>1.0077067677725118</v>
      </c>
      <c r="D82">
        <f t="shared" si="3"/>
        <v>1.559429070646531</v>
      </c>
    </row>
    <row r="83" spans="1:4">
      <c r="A83" s="4">
        <v>46143</v>
      </c>
      <c r="B83">
        <v>0.3578142180094786</v>
      </c>
      <c r="C83">
        <f t="shared" si="2"/>
        <v>1.0035781421800949</v>
      </c>
      <c r="D83">
        <f t="shared" si="3"/>
        <v>1.5650089295810776</v>
      </c>
    </row>
    <row r="84" spans="1:4">
      <c r="A84" s="4">
        <v>46174</v>
      </c>
      <c r="B84">
        <v>0.33029004739336487</v>
      </c>
      <c r="C84">
        <f t="shared" si="2"/>
        <v>1.0033029004739336</v>
      </c>
      <c r="D84">
        <f t="shared" si="3"/>
        <v>1.5701779983163011</v>
      </c>
    </row>
    <row r="85" spans="1:4">
      <c r="A85" s="4">
        <v>46204</v>
      </c>
      <c r="B85">
        <v>0.30276587677725114</v>
      </c>
      <c r="C85">
        <f t="shared" si="2"/>
        <v>1.0030276587677724</v>
      </c>
      <c r="D85">
        <f t="shared" si="3"/>
        <v>1.5749319614998669</v>
      </c>
    </row>
    <row r="86" spans="1:4">
      <c r="A86" s="4">
        <v>46235</v>
      </c>
      <c r="B86">
        <v>0.15138293838862557</v>
      </c>
      <c r="C86">
        <f t="shared" si="2"/>
        <v>1.0015138293838863</v>
      </c>
      <c r="D86">
        <f t="shared" si="3"/>
        <v>1.5773161397808071</v>
      </c>
    </row>
    <row r="87" spans="1:4">
      <c r="A87" s="4">
        <v>46266</v>
      </c>
      <c r="B87">
        <v>8.2572511848341218E-2</v>
      </c>
      <c r="C87">
        <f t="shared" si="2"/>
        <v>1.0008257251184833</v>
      </c>
      <c r="D87">
        <f t="shared" si="3"/>
        <v>1.5786185693372132</v>
      </c>
    </row>
    <row r="88" spans="1:4">
      <c r="A88" s="4">
        <v>46296</v>
      </c>
      <c r="B88">
        <v>0.11009668246445496</v>
      </c>
      <c r="C88">
        <f t="shared" si="2"/>
        <v>1.0011009668246444</v>
      </c>
      <c r="D88">
        <f t="shared" si="3"/>
        <v>1.5803565760108211</v>
      </c>
    </row>
    <row r="89" spans="1:4">
      <c r="A89" s="4">
        <v>46327</v>
      </c>
      <c r="B89">
        <v>0.65048222748815143</v>
      </c>
      <c r="C89">
        <f t="shared" si="2"/>
        <v>1.0065048222748816</v>
      </c>
      <c r="D89">
        <f t="shared" si="3"/>
        <v>1.5906365146687118</v>
      </c>
    </row>
    <row r="90" spans="1:4">
      <c r="A90" s="4">
        <v>46357</v>
      </c>
      <c r="B90">
        <v>1.3424845971563977</v>
      </c>
      <c r="C90">
        <f t="shared" si="2"/>
        <v>1.013424845971564</v>
      </c>
      <c r="D90">
        <f t="shared" si="3"/>
        <v>1.6119905648748847</v>
      </c>
    </row>
    <row r="91" spans="1:4">
      <c r="A91" s="4">
        <v>46388</v>
      </c>
      <c r="B91">
        <v>0.5812819905213269</v>
      </c>
      <c r="C91">
        <f t="shared" si="2"/>
        <v>1.0058128199052132</v>
      </c>
      <c r="D91">
        <f t="shared" si="3"/>
        <v>1.6213607757174053</v>
      </c>
    </row>
    <row r="92" spans="1:4">
      <c r="A92" s="4">
        <v>46419</v>
      </c>
      <c r="B92">
        <v>0.45672156398104258</v>
      </c>
      <c r="C92">
        <f t="shared" si="2"/>
        <v>1.0045672156398104</v>
      </c>
      <c r="D92">
        <f t="shared" si="3"/>
        <v>1.6287658800100371</v>
      </c>
    </row>
    <row r="93" spans="1:4">
      <c r="A93" s="4">
        <v>46447</v>
      </c>
      <c r="B93">
        <v>0.69200236966824635</v>
      </c>
      <c r="C93">
        <f t="shared" si="2"/>
        <v>1.0069200236966824</v>
      </c>
      <c r="D93">
        <f t="shared" si="3"/>
        <v>1.6400369784960545</v>
      </c>
    </row>
    <row r="94" spans="1:4">
      <c r="A94" s="4">
        <v>46478</v>
      </c>
      <c r="B94">
        <v>0.77504265402843586</v>
      </c>
      <c r="C94">
        <f t="shared" si="2"/>
        <v>1.0077504265402843</v>
      </c>
      <c r="D94">
        <f t="shared" si="3"/>
        <v>1.652747964621238</v>
      </c>
    </row>
    <row r="95" spans="1:4">
      <c r="A95" s="4">
        <v>46508</v>
      </c>
      <c r="B95">
        <v>0.35984123222748809</v>
      </c>
      <c r="C95">
        <f t="shared" si="2"/>
        <v>1.003598412322275</v>
      </c>
      <c r="D95">
        <f t="shared" si="3"/>
        <v>1.6586952332627458</v>
      </c>
    </row>
    <row r="96" spans="1:4">
      <c r="A96" s="4">
        <v>46539</v>
      </c>
      <c r="B96">
        <v>0.3321611374407582</v>
      </c>
      <c r="C96">
        <f t="shared" si="2"/>
        <v>1.0033216113744077</v>
      </c>
      <c r="D96">
        <f t="shared" si="3"/>
        <v>1.6642047742162271</v>
      </c>
    </row>
    <row r="97" spans="1:4">
      <c r="A97" s="4">
        <v>46569</v>
      </c>
      <c r="B97">
        <v>0.30448104265402837</v>
      </c>
      <c r="C97">
        <f t="shared" si="2"/>
        <v>1.0030448104265404</v>
      </c>
      <c r="D97">
        <f t="shared" si="3"/>
        <v>1.669271962264659</v>
      </c>
    </row>
    <row r="98" spans="1:4">
      <c r="A98" s="4">
        <v>46600</v>
      </c>
      <c r="B98">
        <v>0.15224052132701418</v>
      </c>
      <c r="C98">
        <f t="shared" si="2"/>
        <v>1.0015224052132701</v>
      </c>
      <c r="D98">
        <f t="shared" si="3"/>
        <v>1.6718132706023763</v>
      </c>
    </row>
    <row r="99" spans="1:4">
      <c r="A99" s="4">
        <v>46631</v>
      </c>
      <c r="B99">
        <v>8.3040284360189551E-2</v>
      </c>
      <c r="C99">
        <f t="shared" si="2"/>
        <v>1.0008304028436019</v>
      </c>
      <c r="D99">
        <f t="shared" si="3"/>
        <v>1.673201549096256</v>
      </c>
    </row>
    <row r="100" spans="1:4">
      <c r="A100" s="4">
        <v>46661</v>
      </c>
      <c r="B100">
        <v>0.11072037914691941</v>
      </c>
      <c r="C100">
        <f t="shared" si="2"/>
        <v>1.0011072037914692</v>
      </c>
      <c r="D100">
        <f t="shared" si="3"/>
        <v>1.6750541241953074</v>
      </c>
    </row>
    <row r="101" spans="1:4">
      <c r="A101" s="4">
        <v>46692</v>
      </c>
      <c r="B101">
        <v>0.65446943127962065</v>
      </c>
      <c r="C101">
        <f t="shared" si="2"/>
        <v>1.0065446943127963</v>
      </c>
      <c r="D101">
        <f t="shared" si="3"/>
        <v>1.6860168413955543</v>
      </c>
    </row>
    <row r="102" spans="1:4">
      <c r="A102" s="4">
        <v>46722</v>
      </c>
      <c r="B102">
        <v>1.3507135071090044</v>
      </c>
      <c r="C102">
        <f t="shared" si="2"/>
        <v>1.01350713507109</v>
      </c>
      <c r="D102">
        <f t="shared" si="3"/>
        <v>1.7087900986044167</v>
      </c>
    </row>
    <row r="103" spans="1:4">
      <c r="A103" s="4">
        <v>46753</v>
      </c>
      <c r="B103">
        <v>0.58484502369668234</v>
      </c>
      <c r="C103">
        <f t="shared" si="2"/>
        <v>1.0058484502369669</v>
      </c>
      <c r="D103">
        <f t="shared" si="3"/>
        <v>1.7187838724615263</v>
      </c>
    </row>
    <row r="104" spans="1:4">
      <c r="A104" s="4">
        <v>46784</v>
      </c>
      <c r="B104">
        <v>0.45952109004739328</v>
      </c>
      <c r="C104">
        <f t="shared" si="2"/>
        <v>1.0045952109004739</v>
      </c>
      <c r="D104">
        <f t="shared" si="3"/>
        <v>1.7266820468478201</v>
      </c>
    </row>
    <row r="105" spans="1:4">
      <c r="A105" s="4">
        <v>46813</v>
      </c>
      <c r="B105">
        <v>0.69624407582938375</v>
      </c>
      <c r="C105">
        <f t="shared" si="2"/>
        <v>1.0069624407582938</v>
      </c>
      <c r="D105">
        <f t="shared" si="3"/>
        <v>1.7387039683074075</v>
      </c>
    </row>
    <row r="106" spans="1:4">
      <c r="A106" s="4">
        <v>46844</v>
      </c>
      <c r="B106">
        <v>0.77979336492890983</v>
      </c>
      <c r="C106">
        <f t="shared" si="2"/>
        <v>1.007797933649289</v>
      </c>
      <c r="D106">
        <f t="shared" si="3"/>
        <v>1.7522622664880243</v>
      </c>
    </row>
    <row r="107" spans="1:4">
      <c r="A107" s="4">
        <v>46874</v>
      </c>
      <c r="B107">
        <v>0.36204691943127953</v>
      </c>
      <c r="C107">
        <f t="shared" si="2"/>
        <v>1.0036204691943127</v>
      </c>
      <c r="D107">
        <f t="shared" si="3"/>
        <v>1.7586062780442007</v>
      </c>
    </row>
    <row r="108" spans="1:4">
      <c r="A108" s="4">
        <v>46905</v>
      </c>
      <c r="B108">
        <v>0.33419715639810421</v>
      </c>
      <c r="C108">
        <f t="shared" si="2"/>
        <v>1.0033419715639811</v>
      </c>
      <c r="D108">
        <f t="shared" si="3"/>
        <v>1.7644834902176629</v>
      </c>
    </row>
    <row r="109" spans="1:4">
      <c r="A109" s="4">
        <v>46935</v>
      </c>
      <c r="B109">
        <v>0.30634739336492883</v>
      </c>
      <c r="C109">
        <f t="shared" si="2"/>
        <v>1.0030634739336493</v>
      </c>
      <c r="D109">
        <f t="shared" si="3"/>
        <v>1.7698889393962991</v>
      </c>
    </row>
    <row r="110" spans="1:4">
      <c r="A110" s="4">
        <v>46966</v>
      </c>
      <c r="B110">
        <v>0.15317369668246442</v>
      </c>
      <c r="C110">
        <f t="shared" si="2"/>
        <v>1.0015317369668246</v>
      </c>
      <c r="D110">
        <f t="shared" si="3"/>
        <v>1.7725999437119464</v>
      </c>
    </row>
    <row r="111" spans="1:4">
      <c r="A111" s="4">
        <v>46997</v>
      </c>
      <c r="B111">
        <v>8.3549289099526053E-2</v>
      </c>
      <c r="C111">
        <f t="shared" si="2"/>
        <v>1.0008354928909953</v>
      </c>
      <c r="D111">
        <f t="shared" si="3"/>
        <v>1.7740809383634963</v>
      </c>
    </row>
    <row r="112" spans="1:4">
      <c r="A112" s="4">
        <v>47027</v>
      </c>
      <c r="B112">
        <v>0.1113990521327014</v>
      </c>
      <c r="C112">
        <f t="shared" si="2"/>
        <v>1.0011139905213271</v>
      </c>
      <c r="D112">
        <f t="shared" si="3"/>
        <v>1.7760572477129004</v>
      </c>
    </row>
    <row r="113" spans="1:4">
      <c r="A113" s="4">
        <v>47058</v>
      </c>
      <c r="B113">
        <v>0.65791090047393341</v>
      </c>
      <c r="C113">
        <f t="shared" si="2"/>
        <v>1.0065791090047393</v>
      </c>
      <c r="D113">
        <f t="shared" si="3"/>
        <v>1.7877421219442609</v>
      </c>
    </row>
    <row r="114" spans="1:4">
      <c r="A114" s="4">
        <v>47088</v>
      </c>
      <c r="B114">
        <v>1.3578161137440754</v>
      </c>
      <c r="C114">
        <f t="shared" si="2"/>
        <v>1.0135781611374408</v>
      </c>
      <c r="D114">
        <f t="shared" si="3"/>
        <v>1.8120163725482104</v>
      </c>
    </row>
    <row r="115" spans="1:4">
      <c r="A115" s="4">
        <v>47119</v>
      </c>
      <c r="B115">
        <v>0.5879203791469193</v>
      </c>
      <c r="C115">
        <f t="shared" si="2"/>
        <v>1.0058792037914692</v>
      </c>
      <c r="D115">
        <f t="shared" si="3"/>
        <v>1.8226695860759001</v>
      </c>
    </row>
    <row r="116" spans="1:4">
      <c r="A116" s="4">
        <v>47150</v>
      </c>
      <c r="B116">
        <v>0.46193744075829374</v>
      </c>
      <c r="C116">
        <f t="shared" si="2"/>
        <v>1.0046193744075829</v>
      </c>
      <c r="D116">
        <f t="shared" si="3"/>
        <v>1.8310891793152988</v>
      </c>
    </row>
    <row r="117" spans="1:4">
      <c r="A117" s="4">
        <v>47178</v>
      </c>
      <c r="B117">
        <v>0.6999052132701421</v>
      </c>
      <c r="C117">
        <f t="shared" si="2"/>
        <v>1.0069990521327015</v>
      </c>
      <c r="D117">
        <f t="shared" si="3"/>
        <v>1.8439050679409521</v>
      </c>
    </row>
    <row r="118" spans="1:4">
      <c r="A118" s="4">
        <v>47209</v>
      </c>
      <c r="B118">
        <v>0.78389383886255903</v>
      </c>
      <c r="C118">
        <f t="shared" si="2"/>
        <v>1.0078389383886255</v>
      </c>
      <c r="D118">
        <f t="shared" si="3"/>
        <v>1.8583593261630156</v>
      </c>
    </row>
    <row r="119" spans="1:4">
      <c r="A119" s="4">
        <v>47239</v>
      </c>
      <c r="B119">
        <v>0.36395071090047387</v>
      </c>
      <c r="C119">
        <f t="shared" si="2"/>
        <v>1.0036395071090047</v>
      </c>
      <c r="D119">
        <f t="shared" si="3"/>
        <v>1.8651228381416711</v>
      </c>
    </row>
    <row r="120" spans="1:4">
      <c r="A120" s="4">
        <v>47270</v>
      </c>
      <c r="B120">
        <v>0.33595450236966817</v>
      </c>
      <c r="C120">
        <f t="shared" si="2"/>
        <v>1.0033595450236967</v>
      </c>
      <c r="D120">
        <f t="shared" si="3"/>
        <v>1.8713888022911331</v>
      </c>
    </row>
    <row r="121" spans="1:4">
      <c r="A121" s="4">
        <v>47300</v>
      </c>
      <c r="B121">
        <v>0.30795829383886247</v>
      </c>
      <c r="C121">
        <f t="shared" si="2"/>
        <v>1.0030795829383887</v>
      </c>
      <c r="D121">
        <f t="shared" si="3"/>
        <v>1.8771518993177607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F9219-6B49-4EFA-A650-E581CA4C26A3}">
  <dimension ref="A1:D85"/>
  <sheetViews>
    <sheetView workbookViewId="0">
      <selection sqref="A1:D1"/>
    </sheetView>
  </sheetViews>
  <sheetFormatPr defaultRowHeight="15"/>
  <cols>
    <col min="1" max="1" width="11.140625" customWidth="1"/>
    <col min="2" max="2" width="10.140625" customWidth="1"/>
    <col min="4" max="4" width="13" customWidth="1"/>
  </cols>
  <sheetData>
    <row r="1" spans="1:4">
      <c r="A1" t="s">
        <v>21</v>
      </c>
      <c r="B1" t="s">
        <v>150</v>
      </c>
      <c r="C1" t="s">
        <v>22</v>
      </c>
      <c r="D1" t="s">
        <v>149</v>
      </c>
    </row>
    <row r="2" spans="1:4">
      <c r="A2" s="4">
        <v>43678</v>
      </c>
      <c r="B2">
        <v>0.11</v>
      </c>
      <c r="C2">
        <f>1+B2/100</f>
        <v>1.0011000000000001</v>
      </c>
      <c r="D2">
        <v>1.0011000000000001</v>
      </c>
    </row>
    <row r="3" spans="1:4">
      <c r="A3" s="4">
        <v>43709</v>
      </c>
      <c r="B3">
        <v>-0.04</v>
      </c>
      <c r="C3">
        <f t="shared" ref="C3:C66" si="0">1+B3/100</f>
        <v>0.99960000000000004</v>
      </c>
      <c r="D3">
        <f>C3*D2</f>
        <v>1.0006995600000002</v>
      </c>
    </row>
    <row r="4" spans="1:4">
      <c r="A4" s="4">
        <v>43739</v>
      </c>
      <c r="B4">
        <v>0.1</v>
      </c>
      <c r="C4">
        <f t="shared" si="0"/>
        <v>1.0009999999999999</v>
      </c>
      <c r="D4">
        <f t="shared" ref="D4:D67" si="1">C4*D3</f>
        <v>1.00170025956</v>
      </c>
    </row>
    <row r="5" spans="1:4">
      <c r="A5" s="4">
        <v>43770</v>
      </c>
      <c r="B5">
        <v>0.51</v>
      </c>
      <c r="C5">
        <f t="shared" si="0"/>
        <v>1.0051000000000001</v>
      </c>
      <c r="D5">
        <f t="shared" si="1"/>
        <v>1.006808930883756</v>
      </c>
    </row>
    <row r="6" spans="1:4">
      <c r="A6" s="4">
        <v>43800</v>
      </c>
      <c r="B6">
        <v>1.1499999999999999</v>
      </c>
      <c r="C6">
        <f t="shared" si="0"/>
        <v>1.0115000000000001</v>
      </c>
      <c r="D6">
        <f t="shared" si="1"/>
        <v>1.0183872335889192</v>
      </c>
    </row>
    <row r="7" spans="1:4">
      <c r="A7" s="4">
        <v>43831</v>
      </c>
      <c r="B7">
        <v>0.21</v>
      </c>
      <c r="C7">
        <f t="shared" si="0"/>
        <v>1.0021</v>
      </c>
      <c r="D7">
        <f t="shared" si="1"/>
        <v>1.020525846779456</v>
      </c>
    </row>
    <row r="8" spans="1:4">
      <c r="A8" s="4">
        <v>43862</v>
      </c>
      <c r="B8">
        <v>0.25</v>
      </c>
      <c r="C8">
        <f t="shared" si="0"/>
        <v>1.0024999999999999</v>
      </c>
      <c r="D8">
        <f t="shared" si="1"/>
        <v>1.0230771613964047</v>
      </c>
    </row>
    <row r="9" spans="1:4">
      <c r="A9" s="4">
        <v>43891</v>
      </c>
      <c r="B9">
        <v>7.0000000000000007E-2</v>
      </c>
      <c r="C9">
        <f t="shared" si="0"/>
        <v>1.0006999999999999</v>
      </c>
      <c r="D9">
        <f t="shared" si="1"/>
        <v>1.0237933154093821</v>
      </c>
    </row>
    <row r="10" spans="1:4">
      <c r="A10" s="4">
        <v>43922</v>
      </c>
      <c r="B10">
        <v>-0.31</v>
      </c>
      <c r="C10">
        <f t="shared" si="0"/>
        <v>0.99690000000000001</v>
      </c>
      <c r="D10">
        <f t="shared" si="1"/>
        <v>1.0206195561316131</v>
      </c>
    </row>
    <row r="11" spans="1:4">
      <c r="A11" s="4">
        <v>43952</v>
      </c>
      <c r="B11">
        <v>-0.38</v>
      </c>
      <c r="C11">
        <f t="shared" si="0"/>
        <v>0.99619999999999997</v>
      </c>
      <c r="D11">
        <f t="shared" si="1"/>
        <v>1.0167412018183131</v>
      </c>
    </row>
    <row r="12" spans="1:4">
      <c r="A12" s="4">
        <v>43983</v>
      </c>
      <c r="B12">
        <v>0.26</v>
      </c>
      <c r="C12">
        <f t="shared" si="0"/>
        <v>1.0025999999999999</v>
      </c>
      <c r="D12">
        <f t="shared" si="1"/>
        <v>1.0193847289430407</v>
      </c>
    </row>
    <row r="13" spans="1:4">
      <c r="A13" s="4">
        <v>44013</v>
      </c>
      <c r="B13">
        <v>0.36</v>
      </c>
      <c r="C13">
        <f t="shared" si="0"/>
        <v>1.0036</v>
      </c>
      <c r="D13">
        <f t="shared" si="1"/>
        <v>1.0230545139672356</v>
      </c>
    </row>
    <row r="14" spans="1:4">
      <c r="A14" s="4">
        <v>44044</v>
      </c>
      <c r="B14">
        <v>0.24</v>
      </c>
      <c r="C14">
        <f t="shared" si="0"/>
        <v>1.0024</v>
      </c>
      <c r="D14">
        <f t="shared" si="1"/>
        <v>1.0255098448007569</v>
      </c>
    </row>
    <row r="15" spans="1:4">
      <c r="A15" s="4">
        <v>44075</v>
      </c>
      <c r="B15">
        <v>0.64</v>
      </c>
      <c r="C15">
        <f t="shared" si="0"/>
        <v>1.0064</v>
      </c>
      <c r="D15">
        <f t="shared" si="1"/>
        <v>1.0320731078074816</v>
      </c>
    </row>
    <row r="16" spans="1:4">
      <c r="A16" s="4">
        <v>44105</v>
      </c>
      <c r="B16">
        <v>0.86</v>
      </c>
      <c r="C16">
        <f t="shared" si="0"/>
        <v>1.0085999999999999</v>
      </c>
      <c r="D16">
        <f t="shared" si="1"/>
        <v>1.0409489365346258</v>
      </c>
    </row>
    <row r="17" spans="1:4">
      <c r="A17" s="4">
        <v>44136</v>
      </c>
      <c r="B17">
        <v>0.89</v>
      </c>
      <c r="C17">
        <f t="shared" si="0"/>
        <v>1.0088999999999999</v>
      </c>
      <c r="D17">
        <f t="shared" si="1"/>
        <v>1.0502133820697839</v>
      </c>
    </row>
    <row r="18" spans="1:4">
      <c r="A18" s="4">
        <v>44166</v>
      </c>
      <c r="B18">
        <v>1.35</v>
      </c>
      <c r="C18">
        <f t="shared" si="0"/>
        <v>1.0135000000000001</v>
      </c>
      <c r="D18">
        <f t="shared" si="1"/>
        <v>1.0643912627277261</v>
      </c>
    </row>
    <row r="19" spans="1:4">
      <c r="A19" s="4">
        <v>44197</v>
      </c>
      <c r="B19">
        <v>0.25</v>
      </c>
      <c r="C19">
        <f t="shared" si="0"/>
        <v>1.0024999999999999</v>
      </c>
      <c r="D19">
        <f t="shared" si="1"/>
        <v>1.0670522408845453</v>
      </c>
    </row>
    <row r="20" spans="1:4">
      <c r="A20" s="4">
        <v>44228</v>
      </c>
      <c r="B20">
        <v>0.86</v>
      </c>
      <c r="C20">
        <f t="shared" si="0"/>
        <v>1.0085999999999999</v>
      </c>
      <c r="D20">
        <f t="shared" si="1"/>
        <v>1.0762288901561523</v>
      </c>
    </row>
    <row r="21" spans="1:4">
      <c r="A21" s="4">
        <v>44256</v>
      </c>
      <c r="B21">
        <v>0.93</v>
      </c>
      <c r="C21">
        <f t="shared" si="0"/>
        <v>1.0093000000000001</v>
      </c>
      <c r="D21">
        <f t="shared" si="1"/>
        <v>1.0862378188346047</v>
      </c>
    </row>
    <row r="22" spans="1:4">
      <c r="A22" s="4">
        <v>44287</v>
      </c>
      <c r="B22">
        <v>0.31</v>
      </c>
      <c r="C22">
        <f t="shared" si="0"/>
        <v>1.0031000000000001</v>
      </c>
      <c r="D22">
        <f t="shared" si="1"/>
        <v>1.089605156072992</v>
      </c>
    </row>
    <row r="23" spans="1:4">
      <c r="A23" s="4">
        <v>44317</v>
      </c>
      <c r="B23">
        <v>0.83</v>
      </c>
      <c r="C23">
        <f t="shared" si="0"/>
        <v>1.0083</v>
      </c>
      <c r="D23">
        <f t="shared" si="1"/>
        <v>1.0986488788683979</v>
      </c>
    </row>
    <row r="24" spans="1:4">
      <c r="A24" s="4">
        <v>44348</v>
      </c>
      <c r="B24">
        <v>0.53</v>
      </c>
      <c r="C24">
        <f t="shared" si="0"/>
        <v>1.0053000000000001</v>
      </c>
      <c r="D24">
        <f t="shared" si="1"/>
        <v>1.1044717179264005</v>
      </c>
    </row>
    <row r="25" spans="1:4">
      <c r="A25" s="4">
        <v>44378</v>
      </c>
      <c r="B25">
        <v>0.96</v>
      </c>
      <c r="C25">
        <f t="shared" si="0"/>
        <v>1.0096000000000001</v>
      </c>
      <c r="D25">
        <f t="shared" si="1"/>
        <v>1.115074646418494</v>
      </c>
    </row>
    <row r="26" spans="1:4">
      <c r="A26" s="4">
        <v>44409</v>
      </c>
      <c r="B26">
        <v>0.87</v>
      </c>
      <c r="C26">
        <f t="shared" si="0"/>
        <v>1.0086999999999999</v>
      </c>
      <c r="D26">
        <f t="shared" si="1"/>
        <v>1.1247757958423348</v>
      </c>
    </row>
    <row r="27" spans="1:4">
      <c r="A27" s="4">
        <v>44440</v>
      </c>
      <c r="B27">
        <v>1.1599999999999999</v>
      </c>
      <c r="C27">
        <f t="shared" si="0"/>
        <v>1.0116000000000001</v>
      </c>
      <c r="D27">
        <f t="shared" si="1"/>
        <v>1.137823195074106</v>
      </c>
    </row>
    <row r="28" spans="1:4">
      <c r="A28" s="4">
        <v>44470</v>
      </c>
      <c r="B28">
        <v>1.25</v>
      </c>
      <c r="C28">
        <f t="shared" si="0"/>
        <v>1.0125</v>
      </c>
      <c r="D28">
        <f t="shared" si="1"/>
        <v>1.1520459850125322</v>
      </c>
    </row>
    <row r="29" spans="1:4">
      <c r="A29" s="4">
        <v>44501</v>
      </c>
      <c r="B29">
        <v>0.95</v>
      </c>
      <c r="C29">
        <f t="shared" si="0"/>
        <v>1.0095000000000001</v>
      </c>
      <c r="D29">
        <f t="shared" si="1"/>
        <v>1.1629904218701512</v>
      </c>
    </row>
    <row r="30" spans="1:4">
      <c r="A30" s="4">
        <v>44531</v>
      </c>
      <c r="B30">
        <v>0.73</v>
      </c>
      <c r="C30">
        <f t="shared" si="0"/>
        <v>1.0073000000000001</v>
      </c>
      <c r="D30">
        <f t="shared" si="1"/>
        <v>1.1714802519498033</v>
      </c>
    </row>
    <row r="31" spans="1:4">
      <c r="A31" s="4">
        <v>44562</v>
      </c>
      <c r="B31">
        <v>0.54</v>
      </c>
      <c r="C31">
        <f t="shared" si="0"/>
        <v>1.0054000000000001</v>
      </c>
      <c r="D31">
        <f t="shared" si="1"/>
        <v>1.1778062453103324</v>
      </c>
    </row>
    <row r="32" spans="1:4">
      <c r="A32" s="4">
        <v>44593</v>
      </c>
      <c r="B32">
        <v>1.01</v>
      </c>
      <c r="C32">
        <f t="shared" si="0"/>
        <v>1.0101</v>
      </c>
      <c r="D32">
        <f t="shared" si="1"/>
        <v>1.1897020883879668</v>
      </c>
    </row>
    <row r="33" spans="1:4">
      <c r="A33" s="4">
        <v>44621</v>
      </c>
      <c r="B33">
        <v>1.62</v>
      </c>
      <c r="C33">
        <f t="shared" si="0"/>
        <v>1.0162</v>
      </c>
      <c r="D33">
        <f t="shared" si="1"/>
        <v>1.2089752622198517</v>
      </c>
    </row>
    <row r="34" spans="1:4">
      <c r="A34" s="4">
        <v>44652</v>
      </c>
      <c r="B34">
        <v>1.06</v>
      </c>
      <c r="C34">
        <f t="shared" si="0"/>
        <v>1.0105999999999999</v>
      </c>
      <c r="D34">
        <f t="shared" si="1"/>
        <v>1.221790399999382</v>
      </c>
    </row>
    <row r="35" spans="1:4">
      <c r="A35" s="4">
        <v>44682</v>
      </c>
      <c r="B35">
        <v>0.47</v>
      </c>
      <c r="C35">
        <f t="shared" si="0"/>
        <v>1.0046999999999999</v>
      </c>
      <c r="D35">
        <f t="shared" si="1"/>
        <v>1.2275328148793789</v>
      </c>
    </row>
    <row r="36" spans="1:4">
      <c r="A36" s="4">
        <v>44713</v>
      </c>
      <c r="B36">
        <v>0.67</v>
      </c>
      <c r="C36">
        <f t="shared" si="0"/>
        <v>1.0066999999999999</v>
      </c>
      <c r="D36">
        <f t="shared" si="1"/>
        <v>1.2357572847390708</v>
      </c>
    </row>
    <row r="37" spans="1:4">
      <c r="A37" s="4">
        <v>44743</v>
      </c>
      <c r="B37">
        <v>-0.68</v>
      </c>
      <c r="C37">
        <f t="shared" si="0"/>
        <v>0.99319999999999997</v>
      </c>
      <c r="D37">
        <f t="shared" si="1"/>
        <v>1.227354135202845</v>
      </c>
    </row>
    <row r="38" spans="1:4">
      <c r="A38" s="4">
        <v>44774</v>
      </c>
      <c r="B38">
        <v>-0.36</v>
      </c>
      <c r="C38">
        <f t="shared" si="0"/>
        <v>0.99639999999999995</v>
      </c>
      <c r="D38">
        <f t="shared" si="1"/>
        <v>1.2229356603161148</v>
      </c>
    </row>
    <row r="39" spans="1:4">
      <c r="A39" s="4">
        <v>44805</v>
      </c>
      <c r="B39">
        <v>-0.28999999999999998</v>
      </c>
      <c r="C39">
        <f t="shared" si="0"/>
        <v>0.99709999999999999</v>
      </c>
      <c r="D39">
        <f t="shared" si="1"/>
        <v>1.2193891469011979</v>
      </c>
    </row>
    <row r="40" spans="1:4">
      <c r="A40" s="4">
        <v>44835</v>
      </c>
      <c r="B40">
        <v>0.33</v>
      </c>
      <c r="C40">
        <f t="shared" si="0"/>
        <v>1.0033000000000001</v>
      </c>
      <c r="D40">
        <f t="shared" si="1"/>
        <v>1.2234131310859719</v>
      </c>
    </row>
    <row r="41" spans="1:4">
      <c r="A41" s="4">
        <v>44866</v>
      </c>
      <c r="B41">
        <v>0.94638500140897963</v>
      </c>
      <c r="C41">
        <f t="shared" si="0"/>
        <v>1.0094638500140898</v>
      </c>
      <c r="D41">
        <f t="shared" si="1"/>
        <v>1.2349913294638375</v>
      </c>
    </row>
    <row r="42" spans="1:4">
      <c r="A42" s="4">
        <v>44896</v>
      </c>
      <c r="B42">
        <v>1.9531775560993834</v>
      </c>
      <c r="C42">
        <f t="shared" si="0"/>
        <v>1.0195317755609938</v>
      </c>
      <c r="D42">
        <f t="shared" si="1"/>
        <v>1.2591129029306987</v>
      </c>
    </row>
    <row r="43" spans="1:4">
      <c r="A43" s="4">
        <v>44927</v>
      </c>
      <c r="B43">
        <v>0.84570574593993919</v>
      </c>
      <c r="C43">
        <f t="shared" si="0"/>
        <v>1.0084570574593994</v>
      </c>
      <c r="D43">
        <f t="shared" si="1"/>
        <v>1.2697612930986548</v>
      </c>
    </row>
    <row r="44" spans="1:4">
      <c r="A44" s="4">
        <v>44958</v>
      </c>
      <c r="B44">
        <v>0.66448308609566664</v>
      </c>
      <c r="C44">
        <f t="shared" si="0"/>
        <v>1.0066448308609566</v>
      </c>
      <c r="D44">
        <f t="shared" si="1"/>
        <v>1.2781986421250848</v>
      </c>
    </row>
    <row r="45" spans="1:4">
      <c r="A45" s="4">
        <v>44986</v>
      </c>
      <c r="B45">
        <v>1.006792554690404</v>
      </c>
      <c r="C45">
        <f t="shared" si="0"/>
        <v>1.0100679255469041</v>
      </c>
      <c r="D45">
        <f t="shared" si="1"/>
        <v>1.2910674508881541</v>
      </c>
    </row>
    <row r="46" spans="1:4">
      <c r="A46" s="4">
        <v>45017</v>
      </c>
      <c r="B46">
        <v>1.1276076612532524</v>
      </c>
      <c r="C46">
        <f t="shared" si="0"/>
        <v>1.0112760766125326</v>
      </c>
      <c r="D46">
        <f t="shared" si="1"/>
        <v>1.3056256263763162</v>
      </c>
    </row>
    <row r="47" spans="1:4">
      <c r="A47" s="4">
        <v>45047</v>
      </c>
      <c r="B47">
        <v>0.41494999999999999</v>
      </c>
      <c r="C47">
        <f t="shared" si="0"/>
        <v>1.0041495</v>
      </c>
      <c r="D47">
        <f t="shared" si="1"/>
        <v>1.3110433199129647</v>
      </c>
    </row>
    <row r="48" spans="1:4">
      <c r="A48" s="4">
        <v>45078</v>
      </c>
      <c r="B48">
        <v>0.38303300000000001</v>
      </c>
      <c r="C48">
        <f t="shared" si="0"/>
        <v>1.00383033</v>
      </c>
      <c r="D48">
        <f t="shared" si="1"/>
        <v>1.3160650484725269</v>
      </c>
    </row>
    <row r="49" spans="1:4">
      <c r="A49" s="4">
        <v>45108</v>
      </c>
      <c r="B49">
        <v>0.35111999999999999</v>
      </c>
      <c r="C49">
        <f t="shared" si="0"/>
        <v>1.0035111999999999</v>
      </c>
      <c r="D49">
        <f t="shared" si="1"/>
        <v>1.3206860160707237</v>
      </c>
    </row>
    <row r="50" spans="1:4">
      <c r="A50" s="4">
        <v>45139</v>
      </c>
      <c r="B50">
        <v>0.17555687203791467</v>
      </c>
      <c r="C50">
        <f t="shared" si="0"/>
        <v>1.0017555687203792</v>
      </c>
      <c r="D50">
        <f t="shared" si="1"/>
        <v>1.3230045711299796</v>
      </c>
    </row>
    <row r="51" spans="1:4">
      <c r="A51" s="4">
        <v>45170</v>
      </c>
      <c r="B51">
        <v>9.5758293838862543E-2</v>
      </c>
      <c r="C51">
        <f t="shared" si="0"/>
        <v>1.0009575829383885</v>
      </c>
      <c r="D51">
        <f t="shared" si="1"/>
        <v>1.3242714577347037</v>
      </c>
    </row>
    <row r="52" spans="1:4">
      <c r="A52" s="4">
        <v>45200</v>
      </c>
      <c r="B52">
        <v>0.12767772511848341</v>
      </c>
      <c r="C52">
        <f t="shared" si="0"/>
        <v>1.0012767772511848</v>
      </c>
      <c r="D52">
        <f t="shared" si="1"/>
        <v>1.3259622574063328</v>
      </c>
    </row>
    <row r="53" spans="1:4">
      <c r="A53" s="4">
        <v>45231</v>
      </c>
      <c r="B53">
        <v>0.66754478672985762</v>
      </c>
      <c r="C53">
        <f t="shared" si="0"/>
        <v>1.0066754478672986</v>
      </c>
      <c r="D53">
        <f t="shared" si="1"/>
        <v>1.3348136493296543</v>
      </c>
    </row>
    <row r="54" spans="1:4">
      <c r="A54" s="4">
        <v>45261</v>
      </c>
      <c r="B54">
        <v>1.3776988151658764</v>
      </c>
      <c r="C54">
        <f t="shared" si="0"/>
        <v>1.0137769881516587</v>
      </c>
      <c r="D54">
        <f t="shared" si="1"/>
        <v>1.3532033611611414</v>
      </c>
    </row>
    <row r="55" spans="1:4">
      <c r="A55" s="4">
        <v>45292</v>
      </c>
      <c r="B55">
        <v>0.59652938388625576</v>
      </c>
      <c r="C55">
        <f t="shared" si="0"/>
        <v>1.0059652938388626</v>
      </c>
      <c r="D55">
        <f t="shared" si="1"/>
        <v>1.3612756168342039</v>
      </c>
    </row>
    <row r="56" spans="1:4">
      <c r="A56" s="4">
        <v>45323</v>
      </c>
      <c r="B56">
        <v>0.46870165876777242</v>
      </c>
      <c r="C56">
        <f t="shared" si="0"/>
        <v>1.0046870165876778</v>
      </c>
      <c r="D56">
        <f t="shared" si="1"/>
        <v>1.3676559382307072</v>
      </c>
    </row>
    <row r="57" spans="1:4">
      <c r="A57" s="4">
        <v>45352</v>
      </c>
      <c r="B57">
        <v>0.71015402843601882</v>
      </c>
      <c r="C57">
        <f t="shared" si="0"/>
        <v>1.0071015402843602</v>
      </c>
      <c r="D57">
        <f t="shared" si="1"/>
        <v>1.3773684019711969</v>
      </c>
    </row>
    <row r="58" spans="1:4">
      <c r="A58" s="4">
        <v>45383</v>
      </c>
      <c r="B58">
        <v>0.79537251184834112</v>
      </c>
      <c r="C58">
        <f t="shared" si="0"/>
        <v>1.0079537251184834</v>
      </c>
      <c r="D58">
        <f t="shared" si="1"/>
        <v>1.3883236116273605</v>
      </c>
    </row>
    <row r="59" spans="1:4">
      <c r="A59" s="4">
        <v>45413</v>
      </c>
      <c r="B59">
        <v>0.3692800947867298</v>
      </c>
      <c r="C59">
        <f t="shared" si="0"/>
        <v>1.0036928009478674</v>
      </c>
      <c r="D59">
        <f t="shared" si="1"/>
        <v>1.3934504143763247</v>
      </c>
    </row>
    <row r="60" spans="1:4">
      <c r="A60" s="4">
        <v>45444</v>
      </c>
      <c r="B60">
        <v>0.34087393364928903</v>
      </c>
      <c r="C60">
        <f t="shared" si="0"/>
        <v>1.003408739336493</v>
      </c>
      <c r="D60">
        <f t="shared" si="1"/>
        <v>1.3982003236172618</v>
      </c>
    </row>
    <row r="61" spans="1:4">
      <c r="A61" s="4">
        <v>45474</v>
      </c>
      <c r="B61">
        <v>0.31246777251184826</v>
      </c>
      <c r="C61">
        <f t="shared" si="0"/>
        <v>1.0031246777251184</v>
      </c>
      <c r="D61">
        <f t="shared" si="1"/>
        <v>1.4025692490237218</v>
      </c>
    </row>
    <row r="62" spans="1:4">
      <c r="A62" s="4">
        <v>45505</v>
      </c>
      <c r="B62">
        <v>0.15623388625592413</v>
      </c>
      <c r="C62">
        <f t="shared" si="0"/>
        <v>1.0015623388625592</v>
      </c>
      <c r="D62">
        <f t="shared" si="1"/>
        <v>1.4047605374689021</v>
      </c>
    </row>
    <row r="63" spans="1:4">
      <c r="A63" s="4">
        <v>45536</v>
      </c>
      <c r="B63">
        <v>8.5218483412322257E-2</v>
      </c>
      <c r="C63">
        <f t="shared" si="0"/>
        <v>1.0008521848341232</v>
      </c>
      <c r="D63">
        <f t="shared" si="1"/>
        <v>1.4059576530945077</v>
      </c>
    </row>
    <row r="64" spans="1:4">
      <c r="A64" s="4">
        <v>45566</v>
      </c>
      <c r="B64">
        <v>0.11362464454976301</v>
      </c>
      <c r="C64">
        <f t="shared" si="0"/>
        <v>1.0011362464454976</v>
      </c>
      <c r="D64">
        <f t="shared" si="1"/>
        <v>1.4075551674803566</v>
      </c>
    </row>
    <row r="65" spans="1:4">
      <c r="A65" s="4">
        <v>45597</v>
      </c>
      <c r="B65">
        <v>0.64748625592417042</v>
      </c>
      <c r="C65">
        <f t="shared" si="0"/>
        <v>1.0064748625592417</v>
      </c>
      <c r="D65">
        <f t="shared" si="1"/>
        <v>1.4166688937343423</v>
      </c>
    </row>
    <row r="66" spans="1:4">
      <c r="A66" s="4">
        <v>45627</v>
      </c>
      <c r="B66">
        <v>1.3363014218009477</v>
      </c>
      <c r="C66">
        <f t="shared" si="0"/>
        <v>1.0133630142180095</v>
      </c>
      <c r="D66">
        <f t="shared" si="1"/>
        <v>1.435599860303526</v>
      </c>
    </row>
    <row r="67" spans="1:4">
      <c r="A67" s="4">
        <v>45658</v>
      </c>
      <c r="B67">
        <v>0.57860473933649281</v>
      </c>
      <c r="C67">
        <f t="shared" ref="C67:C85" si="2">1+B67/100</f>
        <v>1.0057860473933649</v>
      </c>
      <c r="D67">
        <f t="shared" si="1"/>
        <v>1.4439063091331503</v>
      </c>
    </row>
    <row r="68" spans="1:4">
      <c r="A68" s="4">
        <v>45689</v>
      </c>
      <c r="B68">
        <v>0.45461800947867292</v>
      </c>
      <c r="C68">
        <f t="shared" si="2"/>
        <v>1.0045461800947868</v>
      </c>
      <c r="D68">
        <f t="shared" ref="D68:D85" si="3">C68*D67</f>
        <v>1.4504705672544684</v>
      </c>
    </row>
    <row r="69" spans="1:4">
      <c r="A69" s="4">
        <v>45717</v>
      </c>
      <c r="B69">
        <v>0.68881516587677716</v>
      </c>
      <c r="C69">
        <f t="shared" si="2"/>
        <v>1.0068881516587678</v>
      </c>
      <c r="D69">
        <f t="shared" si="3"/>
        <v>1.4604616284982961</v>
      </c>
    </row>
    <row r="70" spans="1:4">
      <c r="A70" s="4">
        <v>45748</v>
      </c>
      <c r="B70">
        <v>0.77147298578199042</v>
      </c>
      <c r="C70">
        <f t="shared" si="2"/>
        <v>1.00771472985782</v>
      </c>
      <c r="D70">
        <f t="shared" si="3"/>
        <v>1.4717286954298723</v>
      </c>
    </row>
    <row r="71" spans="1:4">
      <c r="A71" s="4">
        <v>45778</v>
      </c>
      <c r="B71">
        <v>0.35818388625592412</v>
      </c>
      <c r="C71">
        <f t="shared" si="2"/>
        <v>1.0035818388625593</v>
      </c>
      <c r="D71">
        <f t="shared" si="3"/>
        <v>1.4770001904663066</v>
      </c>
    </row>
    <row r="72" spans="1:4">
      <c r="A72" s="4">
        <v>45809</v>
      </c>
      <c r="B72">
        <v>0.33063127962085304</v>
      </c>
      <c r="C72">
        <f t="shared" si="2"/>
        <v>1.0033063127962085</v>
      </c>
      <c r="D72">
        <f t="shared" si="3"/>
        <v>1.4818836150960477</v>
      </c>
    </row>
    <row r="73" spans="1:4">
      <c r="A73" s="4">
        <v>45839</v>
      </c>
      <c r="B73">
        <v>0.30307867298578195</v>
      </c>
      <c r="C73">
        <f t="shared" si="2"/>
        <v>1.0030307867298578</v>
      </c>
      <c r="D73">
        <f t="shared" si="3"/>
        <v>1.4863748882918746</v>
      </c>
    </row>
    <row r="74" spans="1:4">
      <c r="A74" s="4">
        <v>45870</v>
      </c>
      <c r="B74">
        <v>0.15153933649289097</v>
      </c>
      <c r="C74">
        <f t="shared" si="2"/>
        <v>1.001515393364929</v>
      </c>
      <c r="D74">
        <f t="shared" si="3"/>
        <v>1.4886273309353892</v>
      </c>
    </row>
    <row r="75" spans="1:4">
      <c r="A75" s="4">
        <v>45901</v>
      </c>
      <c r="B75">
        <v>8.2657819905213259E-2</v>
      </c>
      <c r="C75">
        <f t="shared" si="2"/>
        <v>1.0008265781990522</v>
      </c>
      <c r="D75">
        <f t="shared" si="3"/>
        <v>1.4898577978336536</v>
      </c>
    </row>
    <row r="76" spans="1:4">
      <c r="A76" s="4">
        <v>45931</v>
      </c>
      <c r="B76">
        <v>0.11021042654028435</v>
      </c>
      <c r="C76">
        <f t="shared" si="2"/>
        <v>1.0011021042654029</v>
      </c>
      <c r="D76">
        <f t="shared" si="3"/>
        <v>1.4914997764674898</v>
      </c>
    </row>
    <row r="77" spans="1:4">
      <c r="A77" s="4">
        <v>45962</v>
      </c>
      <c r="B77">
        <v>0.64681800947867285</v>
      </c>
      <c r="C77">
        <f t="shared" si="2"/>
        <v>1.0064681800947868</v>
      </c>
      <c r="D77">
        <f t="shared" si="3"/>
        <v>1.5011470656330157</v>
      </c>
    </row>
    <row r="78" spans="1:4">
      <c r="A78" s="4">
        <v>45992</v>
      </c>
      <c r="B78">
        <v>1.3349222748815164</v>
      </c>
      <c r="C78">
        <f t="shared" si="2"/>
        <v>1.0133492227488152</v>
      </c>
      <c r="D78">
        <f t="shared" si="3"/>
        <v>1.5211862121908812</v>
      </c>
    </row>
    <row r="79" spans="1:4">
      <c r="A79" s="4">
        <v>46023</v>
      </c>
      <c r="B79">
        <v>0.5780075829383885</v>
      </c>
      <c r="C79">
        <f t="shared" si="2"/>
        <v>1.0057800758293838</v>
      </c>
      <c r="D79">
        <f t="shared" si="3"/>
        <v>1.5299787838479577</v>
      </c>
    </row>
    <row r="80" spans="1:4">
      <c r="A80" s="4">
        <v>46054</v>
      </c>
      <c r="B80">
        <v>0.45414881516587668</v>
      </c>
      <c r="C80">
        <f t="shared" si="2"/>
        <v>1.0045414881516588</v>
      </c>
      <c r="D80">
        <f t="shared" si="3"/>
        <v>1.5369271643670925</v>
      </c>
    </row>
    <row r="81" spans="1:4">
      <c r="A81" s="4">
        <v>46082</v>
      </c>
      <c r="B81">
        <v>0.68810426540284353</v>
      </c>
      <c r="C81">
        <f t="shared" si="2"/>
        <v>1.0068810426540284</v>
      </c>
      <c r="D81">
        <f t="shared" si="3"/>
        <v>1.5475028257412375</v>
      </c>
    </row>
    <row r="82" spans="1:4">
      <c r="A82" s="4">
        <v>46113</v>
      </c>
      <c r="B82">
        <v>0.77067677725118466</v>
      </c>
      <c r="C82">
        <f t="shared" si="2"/>
        <v>1.0077067677725118</v>
      </c>
      <c r="D82">
        <f t="shared" si="3"/>
        <v>1.559429070646531</v>
      </c>
    </row>
    <row r="83" spans="1:4">
      <c r="A83" s="4">
        <v>46143</v>
      </c>
      <c r="B83">
        <v>0.3578142180094786</v>
      </c>
      <c r="C83">
        <f t="shared" si="2"/>
        <v>1.0035781421800949</v>
      </c>
      <c r="D83">
        <f t="shared" si="3"/>
        <v>1.5650089295810776</v>
      </c>
    </row>
    <row r="84" spans="1:4">
      <c r="A84" s="4">
        <v>46174</v>
      </c>
      <c r="B84">
        <v>0.33029004739336487</v>
      </c>
      <c r="C84">
        <f t="shared" si="2"/>
        <v>1.0033029004739336</v>
      </c>
      <c r="D84">
        <f t="shared" si="3"/>
        <v>1.5701779983163011</v>
      </c>
    </row>
    <row r="85" spans="1:4">
      <c r="A85" s="4">
        <v>46204</v>
      </c>
      <c r="B85">
        <v>0.30276587677725114</v>
      </c>
      <c r="C85">
        <f t="shared" si="2"/>
        <v>1.0030276587677724</v>
      </c>
      <c r="D85">
        <f t="shared" si="3"/>
        <v>1.5749319614998669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10C-D2F5-4000-AFE2-FE7DA78F9E57}">
  <dimension ref="A1:D121"/>
  <sheetViews>
    <sheetView workbookViewId="0">
      <selection activeCell="B3" sqref="B3:B121"/>
    </sheetView>
  </sheetViews>
  <sheetFormatPr defaultRowHeight="15"/>
  <cols>
    <col min="1" max="1" width="11.140625" customWidth="1"/>
    <col min="2" max="2" width="10.140625" customWidth="1"/>
    <col min="4" max="4" width="13" customWidth="1"/>
  </cols>
  <sheetData>
    <row r="1" spans="1:4">
      <c r="A1" t="s">
        <v>153</v>
      </c>
      <c r="B1" t="s">
        <v>150</v>
      </c>
      <c r="C1" t="s">
        <v>22</v>
      </c>
      <c r="D1" t="s">
        <v>149</v>
      </c>
    </row>
    <row r="2" spans="1:4">
      <c r="A2" s="4">
        <v>43647</v>
      </c>
      <c r="B2" s="5">
        <v>0.19</v>
      </c>
      <c r="C2">
        <f>1+B2/100</f>
        <v>1.0019</v>
      </c>
      <c r="D2">
        <v>1.0019</v>
      </c>
    </row>
    <row r="3" spans="1:4">
      <c r="A3" s="4">
        <v>43678</v>
      </c>
      <c r="B3" s="5">
        <v>0.11</v>
      </c>
      <c r="C3">
        <f t="shared" ref="C3:C66" si="0">1+B3/100</f>
        <v>1.0011000000000001</v>
      </c>
      <c r="D3">
        <f>C3*D2</f>
        <v>1.0030020900000001</v>
      </c>
    </row>
    <row r="4" spans="1:4">
      <c r="A4" s="4">
        <v>43709</v>
      </c>
      <c r="B4" s="5">
        <v>-0.04</v>
      </c>
      <c r="C4">
        <f t="shared" si="0"/>
        <v>0.99960000000000004</v>
      </c>
      <c r="D4">
        <f t="shared" ref="D4:D67" si="1">C4*D3</f>
        <v>1.0026008891640001</v>
      </c>
    </row>
    <row r="5" spans="1:4">
      <c r="A5" s="4">
        <v>43739</v>
      </c>
      <c r="B5" s="5">
        <v>0.1</v>
      </c>
      <c r="C5">
        <f t="shared" si="0"/>
        <v>1.0009999999999999</v>
      </c>
      <c r="D5">
        <f t="shared" si="1"/>
        <v>1.0036034900531641</v>
      </c>
    </row>
    <row r="6" spans="1:4">
      <c r="A6" s="4">
        <v>43770</v>
      </c>
      <c r="B6" s="5">
        <v>0.51</v>
      </c>
      <c r="C6">
        <f t="shared" si="0"/>
        <v>1.0051000000000001</v>
      </c>
      <c r="D6">
        <f t="shared" si="1"/>
        <v>1.0087218678524352</v>
      </c>
    </row>
    <row r="7" spans="1:4">
      <c r="A7" s="4">
        <v>43800</v>
      </c>
      <c r="B7" s="5">
        <v>1.1499999999999999</v>
      </c>
      <c r="C7">
        <f t="shared" si="0"/>
        <v>1.0115000000000001</v>
      </c>
      <c r="D7">
        <f t="shared" si="1"/>
        <v>1.0203221693327382</v>
      </c>
    </row>
    <row r="8" spans="1:4">
      <c r="A8" s="4">
        <v>43831</v>
      </c>
      <c r="B8" s="5">
        <v>0.21</v>
      </c>
      <c r="C8">
        <f t="shared" si="0"/>
        <v>1.0021</v>
      </c>
      <c r="D8">
        <f t="shared" si="1"/>
        <v>1.022464845888337</v>
      </c>
    </row>
    <row r="9" spans="1:4">
      <c r="A9" s="4">
        <v>43862</v>
      </c>
      <c r="B9" s="5">
        <v>0.25</v>
      </c>
      <c r="C9">
        <f t="shared" si="0"/>
        <v>1.0024999999999999</v>
      </c>
      <c r="D9">
        <f t="shared" si="1"/>
        <v>1.0250210080030577</v>
      </c>
    </row>
    <row r="10" spans="1:4">
      <c r="A10" s="4">
        <v>43891</v>
      </c>
      <c r="B10" s="5">
        <v>7.0000000000000007E-2</v>
      </c>
      <c r="C10">
        <f t="shared" si="0"/>
        <v>1.0006999999999999</v>
      </c>
      <c r="D10">
        <f t="shared" si="1"/>
        <v>1.0257385227086597</v>
      </c>
    </row>
    <row r="11" spans="1:4">
      <c r="A11" s="4">
        <v>43922</v>
      </c>
      <c r="B11" s="5">
        <v>-0.31</v>
      </c>
      <c r="C11">
        <f t="shared" si="0"/>
        <v>0.99690000000000001</v>
      </c>
      <c r="D11">
        <f t="shared" si="1"/>
        <v>1.0225587332882629</v>
      </c>
    </row>
    <row r="12" spans="1:4">
      <c r="A12" s="4">
        <v>43952</v>
      </c>
      <c r="B12" s="5">
        <v>-0.38</v>
      </c>
      <c r="C12">
        <f t="shared" si="0"/>
        <v>0.99619999999999997</v>
      </c>
      <c r="D12">
        <f t="shared" si="1"/>
        <v>1.0186730101017674</v>
      </c>
    </row>
    <row r="13" spans="1:4">
      <c r="A13" s="4">
        <v>43983</v>
      </c>
      <c r="B13" s="5">
        <v>0.26</v>
      </c>
      <c r="C13">
        <f t="shared" si="0"/>
        <v>1.0025999999999999</v>
      </c>
      <c r="D13">
        <f t="shared" si="1"/>
        <v>1.0213215599280319</v>
      </c>
    </row>
    <row r="14" spans="1:4">
      <c r="A14" s="4">
        <v>44013</v>
      </c>
      <c r="B14" s="5">
        <v>0.36</v>
      </c>
      <c r="C14">
        <f t="shared" si="0"/>
        <v>1.0036</v>
      </c>
      <c r="D14">
        <f t="shared" si="1"/>
        <v>1.0249983175437729</v>
      </c>
    </row>
    <row r="15" spans="1:4">
      <c r="A15" s="4">
        <v>44044</v>
      </c>
      <c r="B15" s="5">
        <v>0.24</v>
      </c>
      <c r="C15">
        <f t="shared" si="0"/>
        <v>1.0024</v>
      </c>
      <c r="D15">
        <f t="shared" si="1"/>
        <v>1.0274583135058779</v>
      </c>
    </row>
    <row r="16" spans="1:4">
      <c r="A16" s="4">
        <v>44075</v>
      </c>
      <c r="B16" s="5">
        <v>0.64</v>
      </c>
      <c r="C16">
        <f t="shared" si="0"/>
        <v>1.0064</v>
      </c>
      <c r="D16">
        <f t="shared" si="1"/>
        <v>1.0340340467123155</v>
      </c>
    </row>
    <row r="17" spans="1:4">
      <c r="A17" s="4">
        <v>44105</v>
      </c>
      <c r="B17" s="5">
        <v>0.86</v>
      </c>
      <c r="C17">
        <f t="shared" si="0"/>
        <v>1.0085999999999999</v>
      </c>
      <c r="D17">
        <f t="shared" si="1"/>
        <v>1.0429267395140414</v>
      </c>
    </row>
    <row r="18" spans="1:4">
      <c r="A18" s="4">
        <v>44136</v>
      </c>
      <c r="B18" s="5">
        <v>0.89</v>
      </c>
      <c r="C18">
        <f t="shared" si="0"/>
        <v>1.0088999999999999</v>
      </c>
      <c r="D18">
        <f t="shared" si="1"/>
        <v>1.0522087874957162</v>
      </c>
    </row>
    <row r="19" spans="1:4">
      <c r="A19" s="4">
        <v>44166</v>
      </c>
      <c r="B19" s="5">
        <v>1.35</v>
      </c>
      <c r="C19">
        <f t="shared" si="0"/>
        <v>1.0135000000000001</v>
      </c>
      <c r="D19">
        <f t="shared" si="1"/>
        <v>1.0664136061269085</v>
      </c>
    </row>
    <row r="20" spans="1:4">
      <c r="A20" s="4">
        <v>44197</v>
      </c>
      <c r="B20" s="5">
        <v>0.25</v>
      </c>
      <c r="C20">
        <f t="shared" si="0"/>
        <v>1.0024999999999999</v>
      </c>
      <c r="D20">
        <f t="shared" si="1"/>
        <v>1.0690796401422258</v>
      </c>
    </row>
    <row r="21" spans="1:4">
      <c r="A21" s="4">
        <v>44228</v>
      </c>
      <c r="B21" s="5">
        <v>0.86</v>
      </c>
      <c r="C21">
        <f t="shared" si="0"/>
        <v>1.0085999999999999</v>
      </c>
      <c r="D21">
        <f t="shared" si="1"/>
        <v>1.0782737250474488</v>
      </c>
    </row>
    <row r="22" spans="1:4">
      <c r="A22" s="4">
        <v>44256</v>
      </c>
      <c r="B22" s="5">
        <v>0.93</v>
      </c>
      <c r="C22">
        <f t="shared" si="0"/>
        <v>1.0093000000000001</v>
      </c>
      <c r="D22">
        <f t="shared" si="1"/>
        <v>1.0883016706903901</v>
      </c>
    </row>
    <row r="23" spans="1:4">
      <c r="A23" s="4">
        <v>44287</v>
      </c>
      <c r="B23" s="5">
        <v>0.31</v>
      </c>
      <c r="C23">
        <f t="shared" si="0"/>
        <v>1.0031000000000001</v>
      </c>
      <c r="D23">
        <f t="shared" si="1"/>
        <v>1.0916754058695304</v>
      </c>
    </row>
    <row r="24" spans="1:4">
      <c r="A24" s="4">
        <v>44317</v>
      </c>
      <c r="B24" s="5">
        <v>0.83</v>
      </c>
      <c r="C24">
        <f t="shared" si="0"/>
        <v>1.0083</v>
      </c>
      <c r="D24">
        <f t="shared" si="1"/>
        <v>1.1007363117382474</v>
      </c>
    </row>
    <row r="25" spans="1:4">
      <c r="A25" s="4">
        <v>44348</v>
      </c>
      <c r="B25" s="5">
        <v>0.53</v>
      </c>
      <c r="C25">
        <f t="shared" si="0"/>
        <v>1.0053000000000001</v>
      </c>
      <c r="D25">
        <f t="shared" si="1"/>
        <v>1.1065702141904601</v>
      </c>
    </row>
    <row r="26" spans="1:4">
      <c r="A26" s="4">
        <v>44378</v>
      </c>
      <c r="B26" s="5">
        <v>0.96</v>
      </c>
      <c r="C26">
        <f t="shared" si="0"/>
        <v>1.0096000000000001</v>
      </c>
      <c r="D26">
        <f t="shared" si="1"/>
        <v>1.1171932882466886</v>
      </c>
    </row>
    <row r="27" spans="1:4">
      <c r="A27" s="4">
        <v>44409</v>
      </c>
      <c r="B27" s="5">
        <v>0.87</v>
      </c>
      <c r="C27">
        <f t="shared" si="0"/>
        <v>1.0086999999999999</v>
      </c>
      <c r="D27">
        <f t="shared" si="1"/>
        <v>1.1269128698544348</v>
      </c>
    </row>
    <row r="28" spans="1:4">
      <c r="A28" s="4">
        <v>44440</v>
      </c>
      <c r="B28" s="5">
        <v>1.1599999999999999</v>
      </c>
      <c r="C28">
        <f t="shared" si="0"/>
        <v>1.0116000000000001</v>
      </c>
      <c r="D28">
        <f t="shared" si="1"/>
        <v>1.1399850591447462</v>
      </c>
    </row>
    <row r="29" spans="1:4">
      <c r="A29" s="4">
        <v>44470</v>
      </c>
      <c r="B29" s="5">
        <v>1.25</v>
      </c>
      <c r="C29">
        <f t="shared" si="0"/>
        <v>1.0125</v>
      </c>
      <c r="D29">
        <f t="shared" si="1"/>
        <v>1.1542348723840554</v>
      </c>
    </row>
    <row r="30" spans="1:4">
      <c r="A30" s="4">
        <v>44501</v>
      </c>
      <c r="B30" s="5">
        <v>0.95</v>
      </c>
      <c r="C30">
        <f t="shared" si="0"/>
        <v>1.0095000000000001</v>
      </c>
      <c r="D30">
        <f t="shared" si="1"/>
        <v>1.1652001036717041</v>
      </c>
    </row>
    <row r="31" spans="1:4">
      <c r="A31" s="4">
        <v>44531</v>
      </c>
      <c r="B31" s="5">
        <v>0.73</v>
      </c>
      <c r="C31">
        <f t="shared" si="0"/>
        <v>1.0073000000000001</v>
      </c>
      <c r="D31">
        <f t="shared" si="1"/>
        <v>1.1737060644285076</v>
      </c>
    </row>
    <row r="32" spans="1:4">
      <c r="A32" s="4">
        <v>44562</v>
      </c>
      <c r="B32" s="5">
        <v>0.54</v>
      </c>
      <c r="C32">
        <f t="shared" si="0"/>
        <v>1.0054000000000001</v>
      </c>
      <c r="D32">
        <f t="shared" si="1"/>
        <v>1.1800440771764216</v>
      </c>
    </row>
    <row r="33" spans="1:4">
      <c r="A33" s="4">
        <v>44593</v>
      </c>
      <c r="B33" s="5">
        <v>1.01</v>
      </c>
      <c r="C33">
        <f t="shared" si="0"/>
        <v>1.0101</v>
      </c>
      <c r="D33">
        <f t="shared" si="1"/>
        <v>1.1919625223559034</v>
      </c>
    </row>
    <row r="34" spans="1:4">
      <c r="A34" s="4">
        <v>44621</v>
      </c>
      <c r="B34" s="5">
        <v>1.62</v>
      </c>
      <c r="C34">
        <f t="shared" si="0"/>
        <v>1.0162</v>
      </c>
      <c r="D34">
        <f t="shared" si="1"/>
        <v>1.2112723152180691</v>
      </c>
    </row>
    <row r="35" spans="1:4">
      <c r="A35" s="4">
        <v>44652</v>
      </c>
      <c r="B35" s="5">
        <v>1.06</v>
      </c>
      <c r="C35">
        <f t="shared" si="0"/>
        <v>1.0105999999999999</v>
      </c>
      <c r="D35">
        <f t="shared" si="1"/>
        <v>1.2241118017593806</v>
      </c>
    </row>
    <row r="36" spans="1:4">
      <c r="A36" s="4">
        <v>44682</v>
      </c>
      <c r="B36" s="5">
        <v>0.47</v>
      </c>
      <c r="C36">
        <f t="shared" si="0"/>
        <v>1.0046999999999999</v>
      </c>
      <c r="D36">
        <f t="shared" si="1"/>
        <v>1.2298651272276495</v>
      </c>
    </row>
    <row r="37" spans="1:4">
      <c r="A37" s="4">
        <v>44713</v>
      </c>
      <c r="B37" s="5">
        <v>0.67</v>
      </c>
      <c r="C37">
        <f t="shared" si="0"/>
        <v>1.0066999999999999</v>
      </c>
      <c r="D37">
        <f t="shared" si="1"/>
        <v>1.2381052235800747</v>
      </c>
    </row>
    <row r="38" spans="1:4">
      <c r="A38" s="4">
        <v>44743</v>
      </c>
      <c r="B38" s="5">
        <v>-0.68</v>
      </c>
      <c r="C38">
        <f t="shared" si="0"/>
        <v>0.99319999999999997</v>
      </c>
      <c r="D38">
        <f t="shared" si="1"/>
        <v>1.2296861080597301</v>
      </c>
    </row>
    <row r="39" spans="1:4">
      <c r="A39" s="4">
        <v>44774</v>
      </c>
      <c r="B39" s="5">
        <v>-0.36</v>
      </c>
      <c r="C39">
        <f t="shared" si="0"/>
        <v>0.99639999999999995</v>
      </c>
      <c r="D39">
        <f t="shared" si="1"/>
        <v>1.225259238070715</v>
      </c>
    </row>
    <row r="40" spans="1:4">
      <c r="A40" s="4">
        <v>44805</v>
      </c>
      <c r="B40" s="5">
        <v>-0.28999999999999998</v>
      </c>
      <c r="C40">
        <f t="shared" si="0"/>
        <v>0.99709999999999999</v>
      </c>
      <c r="D40">
        <f t="shared" si="1"/>
        <v>1.2217059862803099</v>
      </c>
    </row>
    <row r="41" spans="1:4">
      <c r="A41" s="4">
        <v>44835</v>
      </c>
      <c r="B41">
        <v>0.33</v>
      </c>
      <c r="C41">
        <f t="shared" si="0"/>
        <v>1.0033000000000001</v>
      </c>
      <c r="D41">
        <f t="shared" si="1"/>
        <v>1.2257376160350351</v>
      </c>
    </row>
    <row r="42" spans="1:4">
      <c r="A42" s="4">
        <v>44866</v>
      </c>
      <c r="B42">
        <v>0.94638500140897963</v>
      </c>
      <c r="C42">
        <f t="shared" si="0"/>
        <v>1.0094638500140898</v>
      </c>
      <c r="D42">
        <f t="shared" si="1"/>
        <v>1.2373378129898187</v>
      </c>
    </row>
    <row r="43" spans="1:4">
      <c r="A43" s="4">
        <v>44896</v>
      </c>
      <c r="B43">
        <v>1.9531775560993834</v>
      </c>
      <c r="C43">
        <f t="shared" si="0"/>
        <v>1.0195317755609938</v>
      </c>
      <c r="D43">
        <f t="shared" si="1"/>
        <v>1.2615052174462669</v>
      </c>
    </row>
    <row r="44" spans="1:4">
      <c r="A44" s="4">
        <v>44927</v>
      </c>
      <c r="B44">
        <v>0.84570574593993919</v>
      </c>
      <c r="C44">
        <f t="shared" si="0"/>
        <v>1.0084570574593994</v>
      </c>
      <c r="D44">
        <f t="shared" si="1"/>
        <v>1.272173839555542</v>
      </c>
    </row>
    <row r="45" spans="1:4">
      <c r="A45" s="4">
        <v>44958</v>
      </c>
      <c r="B45">
        <v>0.66448308609566664</v>
      </c>
      <c r="C45">
        <f t="shared" si="0"/>
        <v>1.0066448308609566</v>
      </c>
      <c r="D45">
        <f t="shared" si="1"/>
        <v>1.2806272195451223</v>
      </c>
    </row>
    <row r="46" spans="1:4">
      <c r="A46" s="4">
        <v>44986</v>
      </c>
      <c r="B46">
        <v>1.006792554690404</v>
      </c>
      <c r="C46">
        <f t="shared" si="0"/>
        <v>1.0100679255469041</v>
      </c>
      <c r="D46">
        <f t="shared" si="1"/>
        <v>1.2935204790448414</v>
      </c>
    </row>
    <row r="47" spans="1:4">
      <c r="A47" s="4">
        <v>45017</v>
      </c>
      <c r="B47">
        <v>1.1276076612532524</v>
      </c>
      <c r="C47">
        <f t="shared" si="0"/>
        <v>1.0112760766125326</v>
      </c>
      <c r="D47">
        <f t="shared" si="1"/>
        <v>1.3081063150664309</v>
      </c>
    </row>
    <row r="48" spans="1:4">
      <c r="A48" s="4">
        <v>45047</v>
      </c>
      <c r="B48">
        <v>0.41494999999999999</v>
      </c>
      <c r="C48">
        <f t="shared" si="0"/>
        <v>1.0041495</v>
      </c>
      <c r="D48">
        <f t="shared" si="1"/>
        <v>1.313534302220799</v>
      </c>
    </row>
    <row r="49" spans="1:4">
      <c r="A49" s="4">
        <v>45078</v>
      </c>
      <c r="B49">
        <v>0.38303300000000001</v>
      </c>
      <c r="C49">
        <f t="shared" si="0"/>
        <v>1.00383033</v>
      </c>
      <c r="D49">
        <f t="shared" si="1"/>
        <v>1.3185655720646243</v>
      </c>
    </row>
    <row r="50" spans="1:4">
      <c r="A50" s="4">
        <v>45108</v>
      </c>
      <c r="B50">
        <v>0.35111999999999999</v>
      </c>
      <c r="C50">
        <f t="shared" si="0"/>
        <v>1.0035111999999999</v>
      </c>
      <c r="D50">
        <f t="shared" si="1"/>
        <v>1.3231953195012576</v>
      </c>
    </row>
    <row r="51" spans="1:4">
      <c r="A51" s="4">
        <v>45139</v>
      </c>
      <c r="B51">
        <v>0.17555687203791467</v>
      </c>
      <c r="C51">
        <f t="shared" si="0"/>
        <v>1.0017555687203792</v>
      </c>
      <c r="D51">
        <f t="shared" si="1"/>
        <v>1.3255182798151262</v>
      </c>
    </row>
    <row r="52" spans="1:4">
      <c r="A52" s="4">
        <v>45170</v>
      </c>
      <c r="B52">
        <v>9.5758293838862543E-2</v>
      </c>
      <c r="C52">
        <f t="shared" si="0"/>
        <v>1.0009575829383885</v>
      </c>
      <c r="D52">
        <f t="shared" si="1"/>
        <v>1.3267875735043992</v>
      </c>
    </row>
    <row r="53" spans="1:4">
      <c r="A53" s="4">
        <v>45200</v>
      </c>
      <c r="B53">
        <v>0.12767772511848341</v>
      </c>
      <c r="C53">
        <f t="shared" si="0"/>
        <v>1.0012767772511848</v>
      </c>
      <c r="D53">
        <f t="shared" si="1"/>
        <v>1.3284815856954044</v>
      </c>
    </row>
    <row r="54" spans="1:4">
      <c r="A54" s="4">
        <v>45231</v>
      </c>
      <c r="B54">
        <v>0.66754478672985762</v>
      </c>
      <c r="C54">
        <f t="shared" si="0"/>
        <v>1.0066754478672986</v>
      </c>
      <c r="D54">
        <f t="shared" si="1"/>
        <v>1.3373497952633802</v>
      </c>
    </row>
    <row r="55" spans="1:4">
      <c r="A55" s="4">
        <v>45261</v>
      </c>
      <c r="B55">
        <v>1.3776988151658764</v>
      </c>
      <c r="C55">
        <f t="shared" si="0"/>
        <v>1.0137769881516587</v>
      </c>
      <c r="D55">
        <f t="shared" si="1"/>
        <v>1.355774447547347</v>
      </c>
    </row>
    <row r="56" spans="1:4">
      <c r="A56" s="4">
        <v>45292</v>
      </c>
      <c r="B56">
        <v>0.59652938388625576</v>
      </c>
      <c r="C56">
        <f t="shared" si="0"/>
        <v>1.0059652938388626</v>
      </c>
      <c r="D56">
        <f t="shared" si="1"/>
        <v>1.3638620405061885</v>
      </c>
    </row>
    <row r="57" spans="1:4">
      <c r="A57" s="4">
        <v>45323</v>
      </c>
      <c r="B57">
        <v>0.46870165876777242</v>
      </c>
      <c r="C57">
        <f t="shared" si="0"/>
        <v>1.0046870165876778</v>
      </c>
      <c r="D57">
        <f t="shared" si="1"/>
        <v>1.3702544845133451</v>
      </c>
    </row>
    <row r="58" spans="1:4">
      <c r="A58" s="4">
        <v>45352</v>
      </c>
      <c r="B58">
        <v>0.71015402843601882</v>
      </c>
      <c r="C58">
        <f t="shared" si="0"/>
        <v>1.0071015402843602</v>
      </c>
      <c r="D58">
        <f t="shared" si="1"/>
        <v>1.3799854019349418</v>
      </c>
    </row>
    <row r="59" spans="1:4">
      <c r="A59" s="4">
        <v>45383</v>
      </c>
      <c r="B59">
        <v>0.79537251184834112</v>
      </c>
      <c r="C59">
        <f t="shared" si="0"/>
        <v>1.0079537251184834</v>
      </c>
      <c r="D59">
        <f t="shared" si="1"/>
        <v>1.3909614264894521</v>
      </c>
    </row>
    <row r="60" spans="1:4">
      <c r="A60" s="4">
        <v>45413</v>
      </c>
      <c r="B60">
        <v>0.3692800947867298</v>
      </c>
      <c r="C60">
        <f t="shared" si="0"/>
        <v>1.0036928009478674</v>
      </c>
      <c r="D60">
        <f t="shared" si="1"/>
        <v>1.3960979701636393</v>
      </c>
    </row>
    <row r="61" spans="1:4">
      <c r="A61" s="4">
        <v>45444</v>
      </c>
      <c r="B61">
        <v>0.34087393364928903</v>
      </c>
      <c r="C61">
        <f t="shared" si="0"/>
        <v>1.003408739336493</v>
      </c>
      <c r="D61">
        <f t="shared" si="1"/>
        <v>1.4008569042321342</v>
      </c>
    </row>
    <row r="62" spans="1:4">
      <c r="A62" s="4">
        <v>45474</v>
      </c>
      <c r="B62">
        <v>0.31246777251184826</v>
      </c>
      <c r="C62">
        <f t="shared" si="0"/>
        <v>1.0031246777251184</v>
      </c>
      <c r="D62">
        <f t="shared" si="1"/>
        <v>1.4052341305968665</v>
      </c>
    </row>
    <row r="63" spans="1:4">
      <c r="A63" s="4">
        <v>45505</v>
      </c>
      <c r="B63">
        <v>0.15623388625592413</v>
      </c>
      <c r="C63">
        <f t="shared" si="0"/>
        <v>1.0015623388625592</v>
      </c>
      <c r="D63">
        <f t="shared" si="1"/>
        <v>1.4074295824900926</v>
      </c>
    </row>
    <row r="64" spans="1:4">
      <c r="A64" s="4">
        <v>45536</v>
      </c>
      <c r="B64">
        <v>8.5218483412322257E-2</v>
      </c>
      <c r="C64">
        <f t="shared" si="0"/>
        <v>1.0008521848341232</v>
      </c>
      <c r="D64">
        <f t="shared" si="1"/>
        <v>1.4086289726353871</v>
      </c>
    </row>
    <row r="65" spans="1:4">
      <c r="A65" s="4">
        <v>45566</v>
      </c>
      <c r="B65">
        <v>0.11362464454976301</v>
      </c>
      <c r="C65">
        <f t="shared" si="0"/>
        <v>1.0011362464454976</v>
      </c>
      <c r="D65">
        <f t="shared" si="1"/>
        <v>1.410229522298569</v>
      </c>
    </row>
    <row r="66" spans="1:4">
      <c r="A66" s="4">
        <v>45597</v>
      </c>
      <c r="B66">
        <v>0.64748625592417042</v>
      </c>
      <c r="C66">
        <f t="shared" si="0"/>
        <v>1.0064748625592417</v>
      </c>
      <c r="D66">
        <f t="shared" si="1"/>
        <v>1.4193605646324372</v>
      </c>
    </row>
    <row r="67" spans="1:4">
      <c r="A67" s="4">
        <v>45627</v>
      </c>
      <c r="B67">
        <v>1.3363014218009477</v>
      </c>
      <c r="C67">
        <f t="shared" ref="C67:C121" si="2">1+B67/100</f>
        <v>1.0133630142180095</v>
      </c>
      <c r="D67">
        <f t="shared" si="1"/>
        <v>1.4383275000381024</v>
      </c>
    </row>
    <row r="68" spans="1:4">
      <c r="A68" s="4">
        <v>45658</v>
      </c>
      <c r="B68">
        <v>0.57860473933649281</v>
      </c>
      <c r="C68">
        <f t="shared" si="2"/>
        <v>1.0057860473933649</v>
      </c>
      <c r="D68">
        <f t="shared" ref="D68:D121" si="3">C68*D67</f>
        <v>1.4466497311205029</v>
      </c>
    </row>
    <row r="69" spans="1:4">
      <c r="A69" s="4">
        <v>45689</v>
      </c>
      <c r="B69">
        <v>0.45461800947867292</v>
      </c>
      <c r="C69">
        <f t="shared" si="2"/>
        <v>1.0045461800947868</v>
      </c>
      <c r="D69">
        <f t="shared" si="3"/>
        <v>1.4532264613322516</v>
      </c>
    </row>
    <row r="70" spans="1:4">
      <c r="A70" s="4">
        <v>45717</v>
      </c>
      <c r="B70">
        <v>0.68881516587677716</v>
      </c>
      <c r="C70">
        <f t="shared" si="2"/>
        <v>1.0068881516587678</v>
      </c>
      <c r="D70">
        <f t="shared" si="3"/>
        <v>1.4632365055924426</v>
      </c>
    </row>
    <row r="71" spans="1:4">
      <c r="A71" s="4">
        <v>45748</v>
      </c>
      <c r="B71">
        <v>0.77147298578199042</v>
      </c>
      <c r="C71">
        <f t="shared" si="2"/>
        <v>1.00771472985782</v>
      </c>
      <c r="D71">
        <f t="shared" si="3"/>
        <v>1.4745249799511888</v>
      </c>
    </row>
    <row r="72" spans="1:4">
      <c r="A72" s="4">
        <v>45778</v>
      </c>
      <c r="B72">
        <v>0.35818388625592412</v>
      </c>
      <c r="C72">
        <f t="shared" si="2"/>
        <v>1.0035818388625593</v>
      </c>
      <c r="D72">
        <f t="shared" si="3"/>
        <v>1.4798064908281923</v>
      </c>
    </row>
    <row r="73" spans="1:4">
      <c r="A73" s="4">
        <v>45809</v>
      </c>
      <c r="B73">
        <v>0.33063127962085304</v>
      </c>
      <c r="C73">
        <f t="shared" si="2"/>
        <v>1.0033063127962085</v>
      </c>
      <c r="D73">
        <f t="shared" si="3"/>
        <v>1.48469919396473</v>
      </c>
    </row>
    <row r="74" spans="1:4">
      <c r="A74" s="4">
        <v>45839</v>
      </c>
      <c r="B74">
        <v>0.30307867298578195</v>
      </c>
      <c r="C74">
        <f t="shared" si="2"/>
        <v>1.0030307867298578</v>
      </c>
      <c r="D74">
        <f t="shared" si="3"/>
        <v>1.489199000579629</v>
      </c>
    </row>
    <row r="75" spans="1:4">
      <c r="A75" s="4">
        <v>45870</v>
      </c>
      <c r="B75">
        <v>0.15153933649289097</v>
      </c>
      <c r="C75">
        <f t="shared" si="2"/>
        <v>1.001515393364929</v>
      </c>
      <c r="D75">
        <f t="shared" si="3"/>
        <v>1.4914557228641663</v>
      </c>
    </row>
    <row r="76" spans="1:4">
      <c r="A76" s="4">
        <v>45901</v>
      </c>
      <c r="B76">
        <v>8.2657819905213259E-2</v>
      </c>
      <c r="C76">
        <f t="shared" si="2"/>
        <v>1.0008265781990522</v>
      </c>
      <c r="D76">
        <f t="shared" si="3"/>
        <v>1.4926885276495374</v>
      </c>
    </row>
    <row r="77" spans="1:4">
      <c r="A77" s="4">
        <v>45931</v>
      </c>
      <c r="B77">
        <v>0.11021042654028435</v>
      </c>
      <c r="C77">
        <f t="shared" si="2"/>
        <v>1.0011021042654029</v>
      </c>
      <c r="D77">
        <f t="shared" si="3"/>
        <v>1.494333626042778</v>
      </c>
    </row>
    <row r="78" spans="1:4">
      <c r="A78" s="4">
        <v>45962</v>
      </c>
      <c r="B78">
        <v>0.64681800947867285</v>
      </c>
      <c r="C78">
        <f t="shared" si="2"/>
        <v>1.0064681800947868</v>
      </c>
      <c r="D78">
        <f t="shared" si="3"/>
        <v>1.5039992450577184</v>
      </c>
    </row>
    <row r="79" spans="1:4">
      <c r="A79" s="4">
        <v>45992</v>
      </c>
      <c r="B79">
        <v>1.3349222748815164</v>
      </c>
      <c r="C79">
        <f t="shared" si="2"/>
        <v>1.0133492227488152</v>
      </c>
      <c r="D79">
        <f t="shared" si="3"/>
        <v>1.5240764659940438</v>
      </c>
    </row>
    <row r="80" spans="1:4">
      <c r="A80" s="4">
        <v>46023</v>
      </c>
      <c r="B80">
        <v>0.5780075829383885</v>
      </c>
      <c r="C80">
        <f t="shared" si="2"/>
        <v>1.0057800758293838</v>
      </c>
      <c r="D80">
        <f t="shared" si="3"/>
        <v>1.5328857435372687</v>
      </c>
    </row>
    <row r="81" spans="1:4">
      <c r="A81" s="4">
        <v>46054</v>
      </c>
      <c r="B81">
        <v>0.45414881516587668</v>
      </c>
      <c r="C81">
        <f t="shared" si="2"/>
        <v>1.0045414881516588</v>
      </c>
      <c r="D81">
        <f t="shared" si="3"/>
        <v>1.5398473259793899</v>
      </c>
    </row>
    <row r="82" spans="1:4">
      <c r="A82" s="4">
        <v>46082</v>
      </c>
      <c r="B82">
        <v>0.68810426540284353</v>
      </c>
      <c r="C82">
        <f t="shared" si="2"/>
        <v>1.0068810426540284</v>
      </c>
      <c r="D82">
        <f t="shared" si="3"/>
        <v>1.5504430811101457</v>
      </c>
    </row>
    <row r="83" spans="1:4">
      <c r="A83" s="4">
        <v>46113</v>
      </c>
      <c r="B83">
        <v>0.77067677725118466</v>
      </c>
      <c r="C83">
        <f t="shared" si="2"/>
        <v>1.0077067677725118</v>
      </c>
      <c r="D83">
        <f t="shared" si="3"/>
        <v>1.5623919858807593</v>
      </c>
    </row>
    <row r="84" spans="1:4">
      <c r="A84" s="4">
        <v>46143</v>
      </c>
      <c r="B84">
        <v>0.3578142180094786</v>
      </c>
      <c r="C84">
        <f t="shared" si="2"/>
        <v>1.0035781421800949</v>
      </c>
      <c r="D84">
        <f t="shared" si="3"/>
        <v>1.5679824465472816</v>
      </c>
    </row>
    <row r="85" spans="1:4">
      <c r="A85" s="4">
        <v>46174</v>
      </c>
      <c r="B85">
        <v>0.33029004739336487</v>
      </c>
      <c r="C85">
        <f t="shared" si="2"/>
        <v>1.0033029004739336</v>
      </c>
      <c r="D85">
        <f t="shared" si="3"/>
        <v>1.5731613365131021</v>
      </c>
    </row>
    <row r="86" spans="1:4">
      <c r="A86" s="4">
        <v>46204</v>
      </c>
      <c r="B86">
        <v>0.30276587677725114</v>
      </c>
      <c r="C86">
        <f t="shared" si="2"/>
        <v>1.0030276587677724</v>
      </c>
      <c r="D86">
        <f t="shared" si="3"/>
        <v>1.5779243322267167</v>
      </c>
    </row>
    <row r="87" spans="1:4">
      <c r="A87" s="4">
        <v>46235</v>
      </c>
      <c r="B87">
        <v>0.15138293838862557</v>
      </c>
      <c r="C87">
        <f t="shared" si="2"/>
        <v>1.0015138293838863</v>
      </c>
      <c r="D87">
        <f t="shared" si="3"/>
        <v>1.5803130404463908</v>
      </c>
    </row>
    <row r="88" spans="1:4">
      <c r="A88" s="4">
        <v>46266</v>
      </c>
      <c r="B88">
        <v>8.2572511848341218E-2</v>
      </c>
      <c r="C88">
        <f t="shared" si="2"/>
        <v>1.0008257251184833</v>
      </c>
      <c r="D88">
        <f t="shared" si="3"/>
        <v>1.5816179446189542</v>
      </c>
    </row>
    <row r="89" spans="1:4">
      <c r="A89" s="4">
        <v>46296</v>
      </c>
      <c r="B89">
        <v>0.11009668246445496</v>
      </c>
      <c r="C89">
        <f t="shared" si="2"/>
        <v>1.0011009668246444</v>
      </c>
      <c r="D89">
        <f t="shared" si="3"/>
        <v>1.5833592535052421</v>
      </c>
    </row>
    <row r="90" spans="1:4">
      <c r="A90" s="4">
        <v>46327</v>
      </c>
      <c r="B90">
        <v>0.65048222748815143</v>
      </c>
      <c r="C90">
        <f t="shared" si="2"/>
        <v>1.0065048222748816</v>
      </c>
      <c r="D90">
        <f t="shared" si="3"/>
        <v>1.5936587240465829</v>
      </c>
    </row>
    <row r="91" spans="1:4">
      <c r="A91" s="4">
        <v>46357</v>
      </c>
      <c r="B91">
        <v>1.3424845971563977</v>
      </c>
      <c r="C91">
        <f t="shared" si="2"/>
        <v>1.013424845971564</v>
      </c>
      <c r="D91">
        <f t="shared" si="3"/>
        <v>1.6150533469481476</v>
      </c>
    </row>
    <row r="92" spans="1:4">
      <c r="A92" s="4">
        <v>46388</v>
      </c>
      <c r="B92">
        <v>0.5812819905213269</v>
      </c>
      <c r="C92">
        <f t="shared" si="2"/>
        <v>1.0058128199052132</v>
      </c>
      <c r="D92">
        <f t="shared" si="3"/>
        <v>1.6244413611912689</v>
      </c>
    </row>
    <row r="93" spans="1:4">
      <c r="A93" s="4">
        <v>46419</v>
      </c>
      <c r="B93">
        <v>0.45672156398104258</v>
      </c>
      <c r="C93">
        <f t="shared" si="2"/>
        <v>1.0045672156398104</v>
      </c>
      <c r="D93">
        <f t="shared" si="3"/>
        <v>1.6318605351820565</v>
      </c>
    </row>
    <row r="94" spans="1:4">
      <c r="A94" s="4">
        <v>46447</v>
      </c>
      <c r="B94">
        <v>0.69200236966824635</v>
      </c>
      <c r="C94">
        <f t="shared" si="2"/>
        <v>1.0069200236966824</v>
      </c>
      <c r="D94">
        <f t="shared" si="3"/>
        <v>1.6431530487551973</v>
      </c>
    </row>
    <row r="95" spans="1:4">
      <c r="A95" s="4">
        <v>46478</v>
      </c>
      <c r="B95">
        <v>0.77504265402843586</v>
      </c>
      <c r="C95">
        <f t="shared" si="2"/>
        <v>1.0077504265402843</v>
      </c>
      <c r="D95">
        <f t="shared" si="3"/>
        <v>1.6558881857540186</v>
      </c>
    </row>
    <row r="96" spans="1:4">
      <c r="A96" s="4">
        <v>46508</v>
      </c>
      <c r="B96">
        <v>0.35984123222748809</v>
      </c>
      <c r="C96">
        <f t="shared" si="2"/>
        <v>1.003598412322275</v>
      </c>
      <c r="D96">
        <f t="shared" si="3"/>
        <v>1.6618467542059454</v>
      </c>
    </row>
    <row r="97" spans="1:4">
      <c r="A97" s="4">
        <v>46539</v>
      </c>
      <c r="B97">
        <v>0.3321611374407582</v>
      </c>
      <c r="C97">
        <f t="shared" si="2"/>
        <v>1.0033216113744077</v>
      </c>
      <c r="D97">
        <f t="shared" si="3"/>
        <v>1.6673667632872384</v>
      </c>
    </row>
    <row r="98" spans="1:4">
      <c r="A98" s="4">
        <v>46569</v>
      </c>
      <c r="B98">
        <v>0.30448104265402837</v>
      </c>
      <c r="C98">
        <f t="shared" si="2"/>
        <v>1.0030448104265404</v>
      </c>
      <c r="D98">
        <f t="shared" si="3"/>
        <v>1.6724435789929624</v>
      </c>
    </row>
    <row r="99" spans="1:4">
      <c r="A99" s="4">
        <v>46600</v>
      </c>
      <c r="B99">
        <v>0.15224052132701418</v>
      </c>
      <c r="C99">
        <f t="shared" si="2"/>
        <v>1.0015224052132701</v>
      </c>
      <c r="D99">
        <f t="shared" si="3"/>
        <v>1.6749897158165212</v>
      </c>
    </row>
    <row r="100" spans="1:4">
      <c r="A100" s="4">
        <v>46631</v>
      </c>
      <c r="B100">
        <v>8.3040284360189551E-2</v>
      </c>
      <c r="C100">
        <f t="shared" si="2"/>
        <v>1.0008304028436019</v>
      </c>
      <c r="D100">
        <f t="shared" si="3"/>
        <v>1.6763806320395391</v>
      </c>
    </row>
    <row r="101" spans="1:4">
      <c r="A101" s="4">
        <v>46661</v>
      </c>
      <c r="B101">
        <v>0.11072037914691941</v>
      </c>
      <c r="C101">
        <f t="shared" si="2"/>
        <v>1.0011072037914692</v>
      </c>
      <c r="D101">
        <f t="shared" si="3"/>
        <v>1.6782367270312788</v>
      </c>
    </row>
    <row r="102" spans="1:4">
      <c r="A102" s="4">
        <v>46692</v>
      </c>
      <c r="B102">
        <v>0.65446943127962065</v>
      </c>
      <c r="C102">
        <f t="shared" si="2"/>
        <v>1.0065446943127963</v>
      </c>
      <c r="D102">
        <f t="shared" si="3"/>
        <v>1.6892202733942061</v>
      </c>
    </row>
    <row r="103" spans="1:4">
      <c r="A103" s="4">
        <v>46722</v>
      </c>
      <c r="B103">
        <v>1.3507135071090044</v>
      </c>
      <c r="C103">
        <f t="shared" si="2"/>
        <v>1.01350713507109</v>
      </c>
      <c r="D103">
        <f t="shared" si="3"/>
        <v>1.7120367997917654</v>
      </c>
    </row>
    <row r="104" spans="1:4">
      <c r="A104" s="4">
        <v>46753</v>
      </c>
      <c r="B104">
        <v>0.58484502369668234</v>
      </c>
      <c r="C104">
        <f t="shared" si="2"/>
        <v>1.0058484502369669</v>
      </c>
      <c r="D104">
        <f t="shared" si="3"/>
        <v>1.7220495618192035</v>
      </c>
    </row>
    <row r="105" spans="1:4">
      <c r="A105" s="4">
        <v>46784</v>
      </c>
      <c r="B105">
        <v>0.45952109004739328</v>
      </c>
      <c r="C105">
        <f t="shared" si="2"/>
        <v>1.0045952109004739</v>
      </c>
      <c r="D105">
        <f t="shared" si="3"/>
        <v>1.7299627427368314</v>
      </c>
    </row>
    <row r="106" spans="1:4">
      <c r="A106" s="4">
        <v>46813</v>
      </c>
      <c r="B106">
        <v>0.69624407582938375</v>
      </c>
      <c r="C106">
        <f t="shared" si="2"/>
        <v>1.0069624407582938</v>
      </c>
      <c r="D106">
        <f t="shared" si="3"/>
        <v>1.742007505847192</v>
      </c>
    </row>
    <row r="107" spans="1:4">
      <c r="A107" s="4">
        <v>46844</v>
      </c>
      <c r="B107">
        <v>0.77979336492890983</v>
      </c>
      <c r="C107">
        <f t="shared" si="2"/>
        <v>1.007797933649289</v>
      </c>
      <c r="D107">
        <f t="shared" si="3"/>
        <v>1.7555915647943519</v>
      </c>
    </row>
    <row r="108" spans="1:4">
      <c r="A108" s="4">
        <v>46874</v>
      </c>
      <c r="B108">
        <v>0.36204691943127953</v>
      </c>
      <c r="C108">
        <f t="shared" si="2"/>
        <v>1.0036204691943127</v>
      </c>
      <c r="D108">
        <f t="shared" si="3"/>
        <v>1.761947629972485</v>
      </c>
    </row>
    <row r="109" spans="1:4">
      <c r="A109" s="4">
        <v>46905</v>
      </c>
      <c r="B109">
        <v>0.33419715639810421</v>
      </c>
      <c r="C109">
        <f t="shared" si="2"/>
        <v>1.0033419715639811</v>
      </c>
      <c r="D109">
        <f t="shared" si="3"/>
        <v>1.767836008849077</v>
      </c>
    </row>
    <row r="110" spans="1:4">
      <c r="A110" s="4">
        <v>46935</v>
      </c>
      <c r="B110">
        <v>0.30634739336492883</v>
      </c>
      <c r="C110">
        <f t="shared" si="2"/>
        <v>1.0030634739336493</v>
      </c>
      <c r="D110">
        <f t="shared" si="3"/>
        <v>1.7732517283811526</v>
      </c>
    </row>
    <row r="111" spans="1:4">
      <c r="A111" s="4">
        <v>46966</v>
      </c>
      <c r="B111">
        <v>0.15317369668246442</v>
      </c>
      <c r="C111">
        <f t="shared" si="2"/>
        <v>1.0015317369668246</v>
      </c>
      <c r="D111">
        <f t="shared" si="3"/>
        <v>1.7759678836049997</v>
      </c>
    </row>
    <row r="112" spans="1:4">
      <c r="A112" s="4">
        <v>46997</v>
      </c>
      <c r="B112">
        <v>8.3549289099526053E-2</v>
      </c>
      <c r="C112">
        <f t="shared" si="2"/>
        <v>1.0008354928909953</v>
      </c>
      <c r="D112">
        <f t="shared" si="3"/>
        <v>1.7774516921463877</v>
      </c>
    </row>
    <row r="113" spans="1:4">
      <c r="A113" s="4">
        <v>47027</v>
      </c>
      <c r="B113">
        <v>0.1113990521327014</v>
      </c>
      <c r="C113">
        <f t="shared" si="2"/>
        <v>1.0011139905213271</v>
      </c>
      <c r="D113">
        <f t="shared" si="3"/>
        <v>1.7794317564835556</v>
      </c>
    </row>
    <row r="114" spans="1:4">
      <c r="A114" s="4">
        <v>47058</v>
      </c>
      <c r="B114">
        <v>0.65791090047393341</v>
      </c>
      <c r="C114">
        <f t="shared" si="2"/>
        <v>1.0065791090047393</v>
      </c>
      <c r="D114">
        <f t="shared" si="3"/>
        <v>1.7911388319759556</v>
      </c>
    </row>
    <row r="115" spans="1:4">
      <c r="A115" s="4">
        <v>47088</v>
      </c>
      <c r="B115">
        <v>1.3578161137440754</v>
      </c>
      <c r="C115">
        <f t="shared" si="2"/>
        <v>1.0135781611374408</v>
      </c>
      <c r="D115">
        <f t="shared" si="3"/>
        <v>1.8154592036560526</v>
      </c>
    </row>
    <row r="116" spans="1:4">
      <c r="A116" s="4">
        <v>47119</v>
      </c>
      <c r="B116">
        <v>0.5879203791469193</v>
      </c>
      <c r="C116">
        <f t="shared" si="2"/>
        <v>1.0058792037914692</v>
      </c>
      <c r="D116">
        <f t="shared" si="3"/>
        <v>1.826132658289445</v>
      </c>
    </row>
    <row r="117" spans="1:4">
      <c r="A117" s="4">
        <v>47150</v>
      </c>
      <c r="B117">
        <v>0.46193744075829374</v>
      </c>
      <c r="C117">
        <f t="shared" si="2"/>
        <v>1.0046193744075829</v>
      </c>
      <c r="D117">
        <f t="shared" si="3"/>
        <v>1.8345682487559987</v>
      </c>
    </row>
    <row r="118" spans="1:4">
      <c r="A118" s="4">
        <v>47178</v>
      </c>
      <c r="B118">
        <v>0.6999052132701421</v>
      </c>
      <c r="C118">
        <f t="shared" si="2"/>
        <v>1.0069990521327015</v>
      </c>
      <c r="D118">
        <f t="shared" si="3"/>
        <v>1.8474084875700407</v>
      </c>
    </row>
    <row r="119" spans="1:4">
      <c r="A119" s="4">
        <v>47209</v>
      </c>
      <c r="B119">
        <v>0.78389383886255903</v>
      </c>
      <c r="C119">
        <f t="shared" si="2"/>
        <v>1.0078389383886255</v>
      </c>
      <c r="D119">
        <f t="shared" si="3"/>
        <v>1.861890208882726</v>
      </c>
    </row>
    <row r="120" spans="1:4">
      <c r="A120" s="4">
        <v>47239</v>
      </c>
      <c r="B120">
        <v>0.36395071090047387</v>
      </c>
      <c r="C120">
        <f t="shared" si="2"/>
        <v>1.0036395071090047</v>
      </c>
      <c r="D120">
        <f t="shared" si="3"/>
        <v>1.8686665715341411</v>
      </c>
    </row>
    <row r="121" spans="1:4">
      <c r="A121" s="4">
        <v>47270</v>
      </c>
      <c r="B121">
        <v>0.33595450236966817</v>
      </c>
      <c r="C121">
        <f t="shared" si="2"/>
        <v>1.0033595450236967</v>
      </c>
      <c r="D121">
        <f t="shared" si="3"/>
        <v>1.874944441015487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6B81E-A592-49BB-85C2-56D9FF523FF0}">
  <dimension ref="A1:D167"/>
  <sheetViews>
    <sheetView workbookViewId="0">
      <selection sqref="A1:D1"/>
    </sheetView>
  </sheetViews>
  <sheetFormatPr defaultRowHeight="15"/>
  <cols>
    <col min="1" max="1" width="11.140625" customWidth="1"/>
    <col min="2" max="2" width="10.140625" customWidth="1"/>
    <col min="4" max="4" width="13" customWidth="1"/>
  </cols>
  <sheetData>
    <row r="1" spans="1:4">
      <c r="A1" t="s">
        <v>153</v>
      </c>
      <c r="B1" t="s">
        <v>150</v>
      </c>
      <c r="C1" t="s">
        <v>22</v>
      </c>
      <c r="D1" t="s">
        <v>149</v>
      </c>
    </row>
    <row r="2" spans="1:4" hidden="1">
      <c r="A2" s="4">
        <v>43647</v>
      </c>
      <c r="B2" s="5">
        <v>0.19</v>
      </c>
      <c r="C2">
        <f>1+B2/100</f>
        <v>1.0019</v>
      </c>
      <c r="D2">
        <v>1.0019</v>
      </c>
    </row>
    <row r="3" spans="1:4" hidden="1">
      <c r="A3" s="4">
        <v>43678</v>
      </c>
      <c r="B3" s="5">
        <v>0.11</v>
      </c>
      <c r="C3">
        <f t="shared" ref="C3:C66" si="0">1+B3/100</f>
        <v>1.0011000000000001</v>
      </c>
      <c r="D3">
        <f>C3*D2</f>
        <v>1.0030020900000001</v>
      </c>
    </row>
    <row r="4" spans="1:4" hidden="1">
      <c r="A4" s="4">
        <v>43709</v>
      </c>
      <c r="B4" s="5">
        <v>-0.04</v>
      </c>
      <c r="C4">
        <f t="shared" si="0"/>
        <v>0.99960000000000004</v>
      </c>
      <c r="D4">
        <f t="shared" ref="D4:D67" si="1">C4*D3</f>
        <v>1.0026008891640001</v>
      </c>
    </row>
    <row r="5" spans="1:4">
      <c r="A5" s="4">
        <v>43739</v>
      </c>
      <c r="B5" s="5">
        <v>0.1</v>
      </c>
      <c r="C5">
        <f t="shared" si="0"/>
        <v>1.0009999999999999</v>
      </c>
      <c r="D5">
        <f t="shared" si="1"/>
        <v>1.0036034900531641</v>
      </c>
    </row>
    <row r="6" spans="1:4" hidden="1">
      <c r="A6" s="4">
        <v>43770</v>
      </c>
      <c r="B6" s="5">
        <v>0.51</v>
      </c>
      <c r="C6">
        <f t="shared" si="0"/>
        <v>1.0051000000000001</v>
      </c>
      <c r="D6">
        <f t="shared" si="1"/>
        <v>1.0087218678524352</v>
      </c>
    </row>
    <row r="7" spans="1:4" hidden="1">
      <c r="A7" s="4">
        <v>43800</v>
      </c>
      <c r="B7" s="5">
        <v>1.1499999999999999</v>
      </c>
      <c r="C7">
        <f t="shared" si="0"/>
        <v>1.0115000000000001</v>
      </c>
      <c r="D7">
        <f t="shared" si="1"/>
        <v>1.0203221693327382</v>
      </c>
    </row>
    <row r="8" spans="1:4" hidden="1">
      <c r="A8" s="4">
        <v>43831</v>
      </c>
      <c r="B8" s="5">
        <v>0.21</v>
      </c>
      <c r="C8">
        <f t="shared" si="0"/>
        <v>1.0021</v>
      </c>
      <c r="D8">
        <f t="shared" si="1"/>
        <v>1.022464845888337</v>
      </c>
    </row>
    <row r="9" spans="1:4" hidden="1">
      <c r="A9" s="4">
        <v>43862</v>
      </c>
      <c r="B9" s="5">
        <v>0.25</v>
      </c>
      <c r="C9">
        <f t="shared" si="0"/>
        <v>1.0024999999999999</v>
      </c>
      <c r="D9">
        <f t="shared" si="1"/>
        <v>1.0250210080030577</v>
      </c>
    </row>
    <row r="10" spans="1:4" hidden="1">
      <c r="A10" s="4">
        <v>43891</v>
      </c>
      <c r="B10" s="5">
        <v>7.0000000000000007E-2</v>
      </c>
      <c r="C10">
        <f t="shared" si="0"/>
        <v>1.0006999999999999</v>
      </c>
      <c r="D10">
        <f t="shared" si="1"/>
        <v>1.0257385227086597</v>
      </c>
    </row>
    <row r="11" spans="1:4">
      <c r="A11" s="4">
        <v>43922</v>
      </c>
      <c r="B11" s="5">
        <v>-0.31</v>
      </c>
      <c r="C11">
        <f t="shared" si="0"/>
        <v>0.99690000000000001</v>
      </c>
      <c r="D11">
        <f t="shared" si="1"/>
        <v>1.0225587332882629</v>
      </c>
    </row>
    <row r="12" spans="1:4" hidden="1">
      <c r="A12" s="4">
        <v>43952</v>
      </c>
      <c r="B12" s="5">
        <v>-0.38</v>
      </c>
      <c r="C12">
        <f t="shared" si="0"/>
        <v>0.99619999999999997</v>
      </c>
      <c r="D12">
        <f t="shared" si="1"/>
        <v>1.0186730101017674</v>
      </c>
    </row>
    <row r="13" spans="1:4" hidden="1">
      <c r="A13" s="4">
        <v>43983</v>
      </c>
      <c r="B13" s="5">
        <v>0.26</v>
      </c>
      <c r="C13">
        <f t="shared" si="0"/>
        <v>1.0025999999999999</v>
      </c>
      <c r="D13">
        <f t="shared" si="1"/>
        <v>1.0213215599280319</v>
      </c>
    </row>
    <row r="14" spans="1:4" hidden="1">
      <c r="A14" s="4">
        <v>44013</v>
      </c>
      <c r="B14" s="5">
        <v>0.36</v>
      </c>
      <c r="C14">
        <f t="shared" si="0"/>
        <v>1.0036</v>
      </c>
      <c r="D14">
        <f t="shared" si="1"/>
        <v>1.0249983175437729</v>
      </c>
    </row>
    <row r="15" spans="1:4" hidden="1">
      <c r="A15" s="4">
        <v>44044</v>
      </c>
      <c r="B15" s="5">
        <v>0.24</v>
      </c>
      <c r="C15">
        <f t="shared" si="0"/>
        <v>1.0024</v>
      </c>
      <c r="D15">
        <f t="shared" si="1"/>
        <v>1.0274583135058779</v>
      </c>
    </row>
    <row r="16" spans="1:4" hidden="1">
      <c r="A16" s="4">
        <v>44075</v>
      </c>
      <c r="B16" s="5">
        <v>0.64</v>
      </c>
      <c r="C16">
        <f t="shared" si="0"/>
        <v>1.0064</v>
      </c>
      <c r="D16">
        <f t="shared" si="1"/>
        <v>1.0340340467123155</v>
      </c>
    </row>
    <row r="17" spans="1:4">
      <c r="A17" s="4">
        <v>44105</v>
      </c>
      <c r="B17" s="5">
        <v>0.86</v>
      </c>
      <c r="C17">
        <f t="shared" si="0"/>
        <v>1.0085999999999999</v>
      </c>
      <c r="D17">
        <f t="shared" si="1"/>
        <v>1.0429267395140414</v>
      </c>
    </row>
    <row r="18" spans="1:4" hidden="1">
      <c r="A18" s="4">
        <v>44136</v>
      </c>
      <c r="B18" s="5">
        <v>0.89</v>
      </c>
      <c r="C18">
        <f t="shared" si="0"/>
        <v>1.0088999999999999</v>
      </c>
      <c r="D18">
        <f t="shared" si="1"/>
        <v>1.0522087874957162</v>
      </c>
    </row>
    <row r="19" spans="1:4" hidden="1">
      <c r="A19" s="4">
        <v>44166</v>
      </c>
      <c r="B19" s="5">
        <v>1.35</v>
      </c>
      <c r="C19">
        <f t="shared" si="0"/>
        <v>1.0135000000000001</v>
      </c>
      <c r="D19">
        <f t="shared" si="1"/>
        <v>1.0664136061269085</v>
      </c>
    </row>
    <row r="20" spans="1:4" hidden="1">
      <c r="A20" s="4">
        <v>44197</v>
      </c>
      <c r="B20" s="5">
        <v>0.25</v>
      </c>
      <c r="C20">
        <f t="shared" si="0"/>
        <v>1.0024999999999999</v>
      </c>
      <c r="D20">
        <f t="shared" si="1"/>
        <v>1.0690796401422258</v>
      </c>
    </row>
    <row r="21" spans="1:4" hidden="1">
      <c r="A21" s="4">
        <v>44228</v>
      </c>
      <c r="B21" s="5">
        <v>0.86</v>
      </c>
      <c r="C21">
        <f t="shared" si="0"/>
        <v>1.0085999999999999</v>
      </c>
      <c r="D21">
        <f t="shared" si="1"/>
        <v>1.0782737250474488</v>
      </c>
    </row>
    <row r="22" spans="1:4" hidden="1">
      <c r="A22" s="4">
        <v>44256</v>
      </c>
      <c r="B22" s="5">
        <v>0.93</v>
      </c>
      <c r="C22">
        <f t="shared" si="0"/>
        <v>1.0093000000000001</v>
      </c>
      <c r="D22">
        <f t="shared" si="1"/>
        <v>1.0883016706903901</v>
      </c>
    </row>
    <row r="23" spans="1:4">
      <c r="A23" s="4">
        <v>44287</v>
      </c>
      <c r="B23" s="5">
        <v>0.31</v>
      </c>
      <c r="C23">
        <f t="shared" si="0"/>
        <v>1.0031000000000001</v>
      </c>
      <c r="D23">
        <f t="shared" si="1"/>
        <v>1.0916754058695304</v>
      </c>
    </row>
    <row r="24" spans="1:4" hidden="1">
      <c r="A24" s="4">
        <v>44317</v>
      </c>
      <c r="B24" s="5">
        <v>0.83</v>
      </c>
      <c r="C24">
        <f t="shared" si="0"/>
        <v>1.0083</v>
      </c>
      <c r="D24">
        <f t="shared" si="1"/>
        <v>1.1007363117382474</v>
      </c>
    </row>
    <row r="25" spans="1:4" hidden="1">
      <c r="A25" s="4">
        <v>44348</v>
      </c>
      <c r="B25" s="5">
        <v>0.53</v>
      </c>
      <c r="C25">
        <f t="shared" si="0"/>
        <v>1.0053000000000001</v>
      </c>
      <c r="D25">
        <f t="shared" si="1"/>
        <v>1.1065702141904601</v>
      </c>
    </row>
    <row r="26" spans="1:4" hidden="1">
      <c r="A26" s="4">
        <v>44378</v>
      </c>
      <c r="B26" s="5">
        <v>0.96</v>
      </c>
      <c r="C26">
        <f t="shared" si="0"/>
        <v>1.0096000000000001</v>
      </c>
      <c r="D26">
        <f t="shared" si="1"/>
        <v>1.1171932882466886</v>
      </c>
    </row>
    <row r="27" spans="1:4" hidden="1">
      <c r="A27" s="4">
        <v>44409</v>
      </c>
      <c r="B27" s="5">
        <v>0.87</v>
      </c>
      <c r="C27">
        <f t="shared" si="0"/>
        <v>1.0086999999999999</v>
      </c>
      <c r="D27">
        <f t="shared" si="1"/>
        <v>1.1269128698544348</v>
      </c>
    </row>
    <row r="28" spans="1:4" hidden="1">
      <c r="A28" s="4">
        <v>44440</v>
      </c>
      <c r="B28" s="5">
        <v>1.1599999999999999</v>
      </c>
      <c r="C28">
        <f t="shared" si="0"/>
        <v>1.0116000000000001</v>
      </c>
      <c r="D28">
        <f t="shared" si="1"/>
        <v>1.1399850591447462</v>
      </c>
    </row>
    <row r="29" spans="1:4">
      <c r="A29" s="4">
        <v>44470</v>
      </c>
      <c r="B29" s="5">
        <v>1.25</v>
      </c>
      <c r="C29">
        <f t="shared" si="0"/>
        <v>1.0125</v>
      </c>
      <c r="D29">
        <f t="shared" si="1"/>
        <v>1.1542348723840554</v>
      </c>
    </row>
    <row r="30" spans="1:4" hidden="1">
      <c r="A30" s="4">
        <v>44501</v>
      </c>
      <c r="B30" s="5">
        <v>0.95</v>
      </c>
      <c r="C30">
        <f t="shared" si="0"/>
        <v>1.0095000000000001</v>
      </c>
      <c r="D30">
        <f t="shared" si="1"/>
        <v>1.1652001036717041</v>
      </c>
    </row>
    <row r="31" spans="1:4" hidden="1">
      <c r="A31" s="4">
        <v>44531</v>
      </c>
      <c r="B31" s="5">
        <v>0.73</v>
      </c>
      <c r="C31">
        <f t="shared" si="0"/>
        <v>1.0073000000000001</v>
      </c>
      <c r="D31">
        <f t="shared" si="1"/>
        <v>1.1737060644285076</v>
      </c>
    </row>
    <row r="32" spans="1:4" hidden="1">
      <c r="A32" s="4">
        <v>44562</v>
      </c>
      <c r="B32" s="5">
        <v>0.54</v>
      </c>
      <c r="C32">
        <f t="shared" si="0"/>
        <v>1.0054000000000001</v>
      </c>
      <c r="D32">
        <f t="shared" si="1"/>
        <v>1.1800440771764216</v>
      </c>
    </row>
    <row r="33" spans="1:4" hidden="1">
      <c r="A33" s="4">
        <v>44593</v>
      </c>
      <c r="B33" s="5">
        <v>1.01</v>
      </c>
      <c r="C33">
        <f t="shared" si="0"/>
        <v>1.0101</v>
      </c>
      <c r="D33">
        <f t="shared" si="1"/>
        <v>1.1919625223559034</v>
      </c>
    </row>
    <row r="34" spans="1:4" hidden="1">
      <c r="A34" s="4">
        <v>44621</v>
      </c>
      <c r="B34" s="5">
        <v>1.62</v>
      </c>
      <c r="C34">
        <f t="shared" si="0"/>
        <v>1.0162</v>
      </c>
      <c r="D34">
        <f t="shared" si="1"/>
        <v>1.2112723152180691</v>
      </c>
    </row>
    <row r="35" spans="1:4">
      <c r="A35" s="4">
        <v>44652</v>
      </c>
      <c r="B35" s="5">
        <v>1.06</v>
      </c>
      <c r="C35">
        <f t="shared" si="0"/>
        <v>1.0105999999999999</v>
      </c>
      <c r="D35">
        <f t="shared" si="1"/>
        <v>1.2241118017593806</v>
      </c>
    </row>
    <row r="36" spans="1:4" hidden="1">
      <c r="A36" s="4">
        <v>44682</v>
      </c>
      <c r="B36" s="5">
        <v>0.47</v>
      </c>
      <c r="C36">
        <f t="shared" si="0"/>
        <v>1.0046999999999999</v>
      </c>
      <c r="D36">
        <f t="shared" si="1"/>
        <v>1.2298651272276495</v>
      </c>
    </row>
    <row r="37" spans="1:4" hidden="1">
      <c r="A37" s="4">
        <v>44713</v>
      </c>
      <c r="B37" s="5">
        <v>0.67</v>
      </c>
      <c r="C37">
        <f t="shared" si="0"/>
        <v>1.0066999999999999</v>
      </c>
      <c r="D37">
        <f t="shared" si="1"/>
        <v>1.2381052235800747</v>
      </c>
    </row>
    <row r="38" spans="1:4" hidden="1">
      <c r="A38" s="4">
        <v>44743</v>
      </c>
      <c r="B38" s="5">
        <v>-0.68</v>
      </c>
      <c r="C38">
        <f t="shared" si="0"/>
        <v>0.99319999999999997</v>
      </c>
      <c r="D38">
        <f t="shared" si="1"/>
        <v>1.2296861080597301</v>
      </c>
    </row>
    <row r="39" spans="1:4" hidden="1">
      <c r="A39" s="4">
        <v>44774</v>
      </c>
      <c r="B39" s="5">
        <v>-0.36</v>
      </c>
      <c r="C39">
        <f t="shared" si="0"/>
        <v>0.99639999999999995</v>
      </c>
      <c r="D39">
        <f t="shared" si="1"/>
        <v>1.225259238070715</v>
      </c>
    </row>
    <row r="40" spans="1:4" hidden="1">
      <c r="A40" s="4">
        <v>44805</v>
      </c>
      <c r="B40" s="5">
        <v>-0.28999999999999998</v>
      </c>
      <c r="C40">
        <f t="shared" si="0"/>
        <v>0.99709999999999999</v>
      </c>
      <c r="D40">
        <f t="shared" si="1"/>
        <v>1.2217059862803099</v>
      </c>
    </row>
    <row r="41" spans="1:4">
      <c r="A41" s="4">
        <v>44835</v>
      </c>
      <c r="B41">
        <v>0.33</v>
      </c>
      <c r="C41">
        <f t="shared" si="0"/>
        <v>1.0033000000000001</v>
      </c>
      <c r="D41">
        <f t="shared" si="1"/>
        <v>1.2257376160350351</v>
      </c>
    </row>
    <row r="42" spans="1:4" hidden="1">
      <c r="A42" s="4">
        <v>44866</v>
      </c>
      <c r="B42">
        <v>0.94638500140897963</v>
      </c>
      <c r="C42">
        <f t="shared" si="0"/>
        <v>1.0094638500140898</v>
      </c>
      <c r="D42">
        <f t="shared" si="1"/>
        <v>1.2373378129898187</v>
      </c>
    </row>
    <row r="43" spans="1:4" hidden="1">
      <c r="A43" s="4">
        <v>44896</v>
      </c>
      <c r="B43">
        <v>1.9531775560993834</v>
      </c>
      <c r="C43">
        <f t="shared" si="0"/>
        <v>1.0195317755609938</v>
      </c>
      <c r="D43">
        <f t="shared" si="1"/>
        <v>1.2615052174462669</v>
      </c>
    </row>
    <row r="44" spans="1:4" hidden="1">
      <c r="A44" s="4">
        <v>44927</v>
      </c>
      <c r="B44">
        <v>0.84570574593993919</v>
      </c>
      <c r="C44">
        <f t="shared" si="0"/>
        <v>1.0084570574593994</v>
      </c>
      <c r="D44">
        <f t="shared" si="1"/>
        <v>1.272173839555542</v>
      </c>
    </row>
    <row r="45" spans="1:4" hidden="1">
      <c r="A45" s="4">
        <v>44958</v>
      </c>
      <c r="B45">
        <v>0.66448308609566664</v>
      </c>
      <c r="C45">
        <f t="shared" si="0"/>
        <v>1.0066448308609566</v>
      </c>
      <c r="D45">
        <f t="shared" si="1"/>
        <v>1.2806272195451223</v>
      </c>
    </row>
    <row r="46" spans="1:4" hidden="1">
      <c r="A46" s="4">
        <v>44986</v>
      </c>
      <c r="B46">
        <v>1.006792554690404</v>
      </c>
      <c r="C46">
        <f t="shared" si="0"/>
        <v>1.0100679255469041</v>
      </c>
      <c r="D46">
        <f t="shared" si="1"/>
        <v>1.2935204790448414</v>
      </c>
    </row>
    <row r="47" spans="1:4">
      <c r="A47" s="4">
        <v>45017</v>
      </c>
      <c r="B47">
        <v>1.1276076612532524</v>
      </c>
      <c r="C47">
        <f t="shared" si="0"/>
        <v>1.0112760766125326</v>
      </c>
      <c r="D47">
        <f t="shared" si="1"/>
        <v>1.3081063150664309</v>
      </c>
    </row>
    <row r="48" spans="1:4" hidden="1">
      <c r="A48" s="4">
        <v>45047</v>
      </c>
      <c r="B48">
        <v>0.41494999999999999</v>
      </c>
      <c r="C48">
        <f t="shared" si="0"/>
        <v>1.0041495</v>
      </c>
      <c r="D48">
        <f t="shared" si="1"/>
        <v>1.313534302220799</v>
      </c>
    </row>
    <row r="49" spans="1:4" hidden="1">
      <c r="A49" s="4">
        <v>45078</v>
      </c>
      <c r="B49">
        <v>0.38303300000000001</v>
      </c>
      <c r="C49">
        <f t="shared" si="0"/>
        <v>1.00383033</v>
      </c>
      <c r="D49">
        <f t="shared" si="1"/>
        <v>1.3185655720646243</v>
      </c>
    </row>
    <row r="50" spans="1:4" hidden="1">
      <c r="A50" s="4">
        <v>45108</v>
      </c>
      <c r="B50">
        <v>0.35111999999999999</v>
      </c>
      <c r="C50">
        <f t="shared" si="0"/>
        <v>1.0035111999999999</v>
      </c>
      <c r="D50">
        <f t="shared" si="1"/>
        <v>1.3231953195012576</v>
      </c>
    </row>
    <row r="51" spans="1:4" hidden="1">
      <c r="A51" s="4">
        <v>45139</v>
      </c>
      <c r="B51">
        <v>0.17555687203791467</v>
      </c>
      <c r="C51">
        <f t="shared" si="0"/>
        <v>1.0017555687203792</v>
      </c>
      <c r="D51">
        <f t="shared" si="1"/>
        <v>1.3255182798151262</v>
      </c>
    </row>
    <row r="52" spans="1:4" hidden="1">
      <c r="A52" s="4">
        <v>45170</v>
      </c>
      <c r="B52">
        <v>9.5758293838862543E-2</v>
      </c>
      <c r="C52">
        <f t="shared" si="0"/>
        <v>1.0009575829383885</v>
      </c>
      <c r="D52">
        <f t="shared" si="1"/>
        <v>1.3267875735043992</v>
      </c>
    </row>
    <row r="53" spans="1:4">
      <c r="A53" s="4">
        <v>45200</v>
      </c>
      <c r="B53">
        <v>0.12767772511848341</v>
      </c>
      <c r="C53">
        <f t="shared" si="0"/>
        <v>1.0012767772511848</v>
      </c>
      <c r="D53">
        <f t="shared" si="1"/>
        <v>1.3284815856954044</v>
      </c>
    </row>
    <row r="54" spans="1:4" hidden="1">
      <c r="A54" s="4">
        <v>45231</v>
      </c>
      <c r="B54">
        <v>0.66754478672985762</v>
      </c>
      <c r="C54">
        <f t="shared" si="0"/>
        <v>1.0066754478672986</v>
      </c>
      <c r="D54">
        <f t="shared" si="1"/>
        <v>1.3373497952633802</v>
      </c>
    </row>
    <row r="55" spans="1:4" hidden="1">
      <c r="A55" s="4">
        <v>45261</v>
      </c>
      <c r="B55">
        <v>1.3776988151658764</v>
      </c>
      <c r="C55">
        <f t="shared" si="0"/>
        <v>1.0137769881516587</v>
      </c>
      <c r="D55">
        <f t="shared" si="1"/>
        <v>1.355774447547347</v>
      </c>
    </row>
    <row r="56" spans="1:4" hidden="1">
      <c r="A56" s="4">
        <v>45292</v>
      </c>
      <c r="B56">
        <v>0.59652938388625576</v>
      </c>
      <c r="C56">
        <f t="shared" si="0"/>
        <v>1.0059652938388626</v>
      </c>
      <c r="D56">
        <f t="shared" si="1"/>
        <v>1.3638620405061885</v>
      </c>
    </row>
    <row r="57" spans="1:4" hidden="1">
      <c r="A57" s="4">
        <v>45323</v>
      </c>
      <c r="B57">
        <v>0.46870165876777242</v>
      </c>
      <c r="C57">
        <f t="shared" si="0"/>
        <v>1.0046870165876778</v>
      </c>
      <c r="D57">
        <f t="shared" si="1"/>
        <v>1.3702544845133451</v>
      </c>
    </row>
    <row r="58" spans="1:4" hidden="1">
      <c r="A58" s="4">
        <v>45352</v>
      </c>
      <c r="B58">
        <v>0.71015402843601882</v>
      </c>
      <c r="C58">
        <f t="shared" si="0"/>
        <v>1.0071015402843602</v>
      </c>
      <c r="D58">
        <f t="shared" si="1"/>
        <v>1.3799854019349418</v>
      </c>
    </row>
    <row r="59" spans="1:4">
      <c r="A59" s="4">
        <v>45383</v>
      </c>
      <c r="B59">
        <v>0.79537251184834112</v>
      </c>
      <c r="C59">
        <f t="shared" si="0"/>
        <v>1.0079537251184834</v>
      </c>
      <c r="D59">
        <f t="shared" si="1"/>
        <v>1.3909614264894521</v>
      </c>
    </row>
    <row r="60" spans="1:4" hidden="1">
      <c r="A60" s="4">
        <v>45413</v>
      </c>
      <c r="B60">
        <v>0.3692800947867298</v>
      </c>
      <c r="C60">
        <f t="shared" si="0"/>
        <v>1.0036928009478674</v>
      </c>
      <c r="D60">
        <f t="shared" si="1"/>
        <v>1.3960979701636393</v>
      </c>
    </row>
    <row r="61" spans="1:4" hidden="1">
      <c r="A61" s="4">
        <v>45444</v>
      </c>
      <c r="B61">
        <v>0.34087393364928903</v>
      </c>
      <c r="C61">
        <f t="shared" si="0"/>
        <v>1.003408739336493</v>
      </c>
      <c r="D61">
        <f t="shared" si="1"/>
        <v>1.4008569042321342</v>
      </c>
    </row>
    <row r="62" spans="1:4" hidden="1">
      <c r="A62" s="4">
        <v>45474</v>
      </c>
      <c r="B62">
        <v>0.31246777251184826</v>
      </c>
      <c r="C62">
        <f t="shared" si="0"/>
        <v>1.0031246777251184</v>
      </c>
      <c r="D62">
        <f t="shared" si="1"/>
        <v>1.4052341305968665</v>
      </c>
    </row>
    <row r="63" spans="1:4" hidden="1">
      <c r="A63" s="4">
        <v>45505</v>
      </c>
      <c r="B63">
        <v>0.15623388625592413</v>
      </c>
      <c r="C63">
        <f t="shared" si="0"/>
        <v>1.0015623388625592</v>
      </c>
      <c r="D63">
        <f t="shared" si="1"/>
        <v>1.4074295824900926</v>
      </c>
    </row>
    <row r="64" spans="1:4" hidden="1">
      <c r="A64" s="4">
        <v>45536</v>
      </c>
      <c r="B64">
        <v>8.5218483412322257E-2</v>
      </c>
      <c r="C64">
        <f t="shared" si="0"/>
        <v>1.0008521848341232</v>
      </c>
      <c r="D64">
        <f t="shared" si="1"/>
        <v>1.4086289726353871</v>
      </c>
    </row>
    <row r="65" spans="1:4">
      <c r="A65" s="4">
        <v>45566</v>
      </c>
      <c r="B65">
        <v>0.11362464454976301</v>
      </c>
      <c r="C65">
        <f t="shared" si="0"/>
        <v>1.0011362464454976</v>
      </c>
      <c r="D65">
        <f t="shared" si="1"/>
        <v>1.410229522298569</v>
      </c>
    </row>
    <row r="66" spans="1:4" hidden="1">
      <c r="A66" s="4">
        <v>45597</v>
      </c>
      <c r="B66">
        <v>0.64748625592417042</v>
      </c>
      <c r="C66">
        <f t="shared" si="0"/>
        <v>1.0064748625592417</v>
      </c>
      <c r="D66">
        <f t="shared" si="1"/>
        <v>1.4193605646324372</v>
      </c>
    </row>
    <row r="67" spans="1:4" hidden="1">
      <c r="A67" s="4">
        <v>45627</v>
      </c>
      <c r="B67">
        <v>1.3363014218009477</v>
      </c>
      <c r="C67">
        <f t="shared" ref="C67:C130" si="2">1+B67/100</f>
        <v>1.0133630142180095</v>
      </c>
      <c r="D67">
        <f t="shared" si="1"/>
        <v>1.4383275000381024</v>
      </c>
    </row>
    <row r="68" spans="1:4" hidden="1">
      <c r="A68" s="4">
        <v>45658</v>
      </c>
      <c r="B68">
        <v>0.57860473933649281</v>
      </c>
      <c r="C68">
        <f t="shared" si="2"/>
        <v>1.0057860473933649</v>
      </c>
      <c r="D68">
        <f t="shared" ref="D68:D131" si="3">C68*D67</f>
        <v>1.4466497311205029</v>
      </c>
    </row>
    <row r="69" spans="1:4" hidden="1">
      <c r="A69" s="4">
        <v>45689</v>
      </c>
      <c r="B69">
        <v>0.45461800947867292</v>
      </c>
      <c r="C69">
        <f t="shared" si="2"/>
        <v>1.0045461800947868</v>
      </c>
      <c r="D69">
        <f t="shared" si="3"/>
        <v>1.4532264613322516</v>
      </c>
    </row>
    <row r="70" spans="1:4" hidden="1">
      <c r="A70" s="4">
        <v>45717</v>
      </c>
      <c r="B70">
        <v>0.68881516587677716</v>
      </c>
      <c r="C70">
        <f t="shared" si="2"/>
        <v>1.0068881516587678</v>
      </c>
      <c r="D70">
        <f t="shared" si="3"/>
        <v>1.4632365055924426</v>
      </c>
    </row>
    <row r="71" spans="1:4">
      <c r="A71" s="4">
        <v>45748</v>
      </c>
      <c r="B71">
        <v>0.77147298578199042</v>
      </c>
      <c r="C71">
        <f t="shared" si="2"/>
        <v>1.00771472985782</v>
      </c>
      <c r="D71">
        <f t="shared" si="3"/>
        <v>1.4745249799511888</v>
      </c>
    </row>
    <row r="72" spans="1:4" hidden="1">
      <c r="A72" s="4">
        <v>45778</v>
      </c>
      <c r="B72">
        <v>0.35818388625592412</v>
      </c>
      <c r="C72">
        <f t="shared" si="2"/>
        <v>1.0035818388625593</v>
      </c>
      <c r="D72">
        <f t="shared" si="3"/>
        <v>1.4798064908281923</v>
      </c>
    </row>
    <row r="73" spans="1:4" hidden="1">
      <c r="A73" s="4">
        <v>45809</v>
      </c>
      <c r="B73">
        <v>0.33063127962085304</v>
      </c>
      <c r="C73">
        <f t="shared" si="2"/>
        <v>1.0033063127962085</v>
      </c>
      <c r="D73">
        <f t="shared" si="3"/>
        <v>1.48469919396473</v>
      </c>
    </row>
    <row r="74" spans="1:4" hidden="1">
      <c r="A74" s="4">
        <v>45839</v>
      </c>
      <c r="B74">
        <v>0.30307867298578195</v>
      </c>
      <c r="C74">
        <f t="shared" si="2"/>
        <v>1.0030307867298578</v>
      </c>
      <c r="D74">
        <f t="shared" si="3"/>
        <v>1.489199000579629</v>
      </c>
    </row>
    <row r="75" spans="1:4" hidden="1">
      <c r="A75" s="4">
        <v>45870</v>
      </c>
      <c r="B75">
        <v>0.15153933649289097</v>
      </c>
      <c r="C75">
        <f t="shared" si="2"/>
        <v>1.001515393364929</v>
      </c>
      <c r="D75">
        <f t="shared" si="3"/>
        <v>1.4914557228641663</v>
      </c>
    </row>
    <row r="76" spans="1:4" hidden="1">
      <c r="A76" s="4">
        <v>45901</v>
      </c>
      <c r="B76">
        <v>8.2657819905213259E-2</v>
      </c>
      <c r="C76">
        <f t="shared" si="2"/>
        <v>1.0008265781990522</v>
      </c>
      <c r="D76">
        <f t="shared" si="3"/>
        <v>1.4926885276495374</v>
      </c>
    </row>
    <row r="77" spans="1:4">
      <c r="A77" s="4">
        <v>45931</v>
      </c>
      <c r="B77">
        <v>0.11021042654028435</v>
      </c>
      <c r="C77">
        <f t="shared" si="2"/>
        <v>1.0011021042654029</v>
      </c>
      <c r="D77">
        <f t="shared" si="3"/>
        <v>1.494333626042778</v>
      </c>
    </row>
    <row r="78" spans="1:4" hidden="1">
      <c r="A78" s="4">
        <v>45962</v>
      </c>
      <c r="B78">
        <v>0.64681800947867285</v>
      </c>
      <c r="C78">
        <f t="shared" si="2"/>
        <v>1.0064681800947868</v>
      </c>
      <c r="D78">
        <f t="shared" si="3"/>
        <v>1.5039992450577184</v>
      </c>
    </row>
    <row r="79" spans="1:4" hidden="1">
      <c r="A79" s="4">
        <v>45992</v>
      </c>
      <c r="B79">
        <v>1.3349222748815164</v>
      </c>
      <c r="C79">
        <f t="shared" si="2"/>
        <v>1.0133492227488152</v>
      </c>
      <c r="D79">
        <f t="shared" si="3"/>
        <v>1.5240764659940438</v>
      </c>
    </row>
    <row r="80" spans="1:4" hidden="1">
      <c r="A80" s="4">
        <v>46023</v>
      </c>
      <c r="B80">
        <v>0.5780075829383885</v>
      </c>
      <c r="C80">
        <f t="shared" si="2"/>
        <v>1.0057800758293838</v>
      </c>
      <c r="D80">
        <f t="shared" si="3"/>
        <v>1.5328857435372687</v>
      </c>
    </row>
    <row r="81" spans="1:4" hidden="1">
      <c r="A81" s="4">
        <v>46054</v>
      </c>
      <c r="B81">
        <v>0.45414881516587668</v>
      </c>
      <c r="C81">
        <f t="shared" si="2"/>
        <v>1.0045414881516588</v>
      </c>
      <c r="D81">
        <f t="shared" si="3"/>
        <v>1.5398473259793899</v>
      </c>
    </row>
    <row r="82" spans="1:4" hidden="1">
      <c r="A82" s="4">
        <v>46082</v>
      </c>
      <c r="B82">
        <v>0.68810426540284353</v>
      </c>
      <c r="C82">
        <f t="shared" si="2"/>
        <v>1.0068810426540284</v>
      </c>
      <c r="D82">
        <f t="shared" si="3"/>
        <v>1.5504430811101457</v>
      </c>
    </row>
    <row r="83" spans="1:4">
      <c r="A83" s="4">
        <v>46113</v>
      </c>
      <c r="B83">
        <v>0.77067677725118466</v>
      </c>
      <c r="C83">
        <f t="shared" si="2"/>
        <v>1.0077067677725118</v>
      </c>
      <c r="D83">
        <f t="shared" si="3"/>
        <v>1.5623919858807593</v>
      </c>
    </row>
    <row r="84" spans="1:4" hidden="1">
      <c r="A84" s="4">
        <v>46143</v>
      </c>
      <c r="B84">
        <v>0.3578142180094786</v>
      </c>
      <c r="C84">
        <f t="shared" si="2"/>
        <v>1.0035781421800949</v>
      </c>
      <c r="D84">
        <f t="shared" si="3"/>
        <v>1.5679824465472816</v>
      </c>
    </row>
    <row r="85" spans="1:4" hidden="1">
      <c r="A85" s="4">
        <v>46174</v>
      </c>
      <c r="B85">
        <v>0.33029004739336487</v>
      </c>
      <c r="C85">
        <f t="shared" si="2"/>
        <v>1.0033029004739336</v>
      </c>
      <c r="D85">
        <f t="shared" si="3"/>
        <v>1.5731613365131021</v>
      </c>
    </row>
    <row r="86" spans="1:4" hidden="1">
      <c r="A86" s="4">
        <v>46204</v>
      </c>
      <c r="B86">
        <v>0.30276587677725114</v>
      </c>
      <c r="C86">
        <f t="shared" si="2"/>
        <v>1.0030276587677724</v>
      </c>
      <c r="D86">
        <f t="shared" si="3"/>
        <v>1.5779243322267167</v>
      </c>
    </row>
    <row r="87" spans="1:4" hidden="1">
      <c r="A87" s="4">
        <v>46235</v>
      </c>
      <c r="B87">
        <v>0.15138293838862557</v>
      </c>
      <c r="C87">
        <f t="shared" si="2"/>
        <v>1.0015138293838863</v>
      </c>
      <c r="D87">
        <f t="shared" si="3"/>
        <v>1.5803130404463908</v>
      </c>
    </row>
    <row r="88" spans="1:4" hidden="1">
      <c r="A88" s="4">
        <v>46266</v>
      </c>
      <c r="B88">
        <v>8.2572511848341218E-2</v>
      </c>
      <c r="C88">
        <f t="shared" si="2"/>
        <v>1.0008257251184833</v>
      </c>
      <c r="D88">
        <f t="shared" si="3"/>
        <v>1.5816179446189542</v>
      </c>
    </row>
    <row r="89" spans="1:4">
      <c r="A89" s="4">
        <v>46296</v>
      </c>
      <c r="B89">
        <v>0.11009668246445496</v>
      </c>
      <c r="C89">
        <f t="shared" si="2"/>
        <v>1.0011009668246444</v>
      </c>
      <c r="D89">
        <f t="shared" si="3"/>
        <v>1.5833592535052421</v>
      </c>
    </row>
    <row r="90" spans="1:4" hidden="1">
      <c r="A90" s="4">
        <v>46327</v>
      </c>
      <c r="B90">
        <v>0.65048222748815143</v>
      </c>
      <c r="C90">
        <f t="shared" si="2"/>
        <v>1.0065048222748816</v>
      </c>
      <c r="D90">
        <f t="shared" si="3"/>
        <v>1.5936587240465829</v>
      </c>
    </row>
    <row r="91" spans="1:4" hidden="1">
      <c r="A91" s="4">
        <v>46357</v>
      </c>
      <c r="B91">
        <v>1.3424845971563977</v>
      </c>
      <c r="C91">
        <f t="shared" si="2"/>
        <v>1.013424845971564</v>
      </c>
      <c r="D91">
        <f t="shared" si="3"/>
        <v>1.6150533469481476</v>
      </c>
    </row>
    <row r="92" spans="1:4" hidden="1">
      <c r="A92" s="4">
        <v>46388</v>
      </c>
      <c r="B92">
        <v>0.5812819905213269</v>
      </c>
      <c r="C92">
        <f t="shared" si="2"/>
        <v>1.0058128199052132</v>
      </c>
      <c r="D92">
        <f t="shared" si="3"/>
        <v>1.6244413611912689</v>
      </c>
    </row>
    <row r="93" spans="1:4" hidden="1">
      <c r="A93" s="4">
        <v>46419</v>
      </c>
      <c r="B93">
        <v>0.45672156398104258</v>
      </c>
      <c r="C93">
        <f t="shared" si="2"/>
        <v>1.0045672156398104</v>
      </c>
      <c r="D93">
        <f t="shared" si="3"/>
        <v>1.6318605351820565</v>
      </c>
    </row>
    <row r="94" spans="1:4" hidden="1">
      <c r="A94" s="4">
        <v>46447</v>
      </c>
      <c r="B94">
        <v>0.69200236966824635</v>
      </c>
      <c r="C94">
        <f t="shared" si="2"/>
        <v>1.0069200236966824</v>
      </c>
      <c r="D94">
        <f t="shared" si="3"/>
        <v>1.6431530487551973</v>
      </c>
    </row>
    <row r="95" spans="1:4">
      <c r="A95" s="4">
        <v>46478</v>
      </c>
      <c r="B95">
        <v>0.77504265402843586</v>
      </c>
      <c r="C95">
        <f t="shared" si="2"/>
        <v>1.0077504265402843</v>
      </c>
      <c r="D95">
        <f t="shared" si="3"/>
        <v>1.6558881857540186</v>
      </c>
    </row>
    <row r="96" spans="1:4" hidden="1">
      <c r="A96" s="4">
        <v>46508</v>
      </c>
      <c r="B96">
        <v>0.35984123222748809</v>
      </c>
      <c r="C96">
        <f t="shared" si="2"/>
        <v>1.003598412322275</v>
      </c>
      <c r="D96">
        <f t="shared" si="3"/>
        <v>1.6618467542059454</v>
      </c>
    </row>
    <row r="97" spans="1:4" hidden="1">
      <c r="A97" s="4">
        <v>46539</v>
      </c>
      <c r="B97">
        <v>0.3321611374407582</v>
      </c>
      <c r="C97">
        <f t="shared" si="2"/>
        <v>1.0033216113744077</v>
      </c>
      <c r="D97">
        <f t="shared" si="3"/>
        <v>1.6673667632872384</v>
      </c>
    </row>
    <row r="98" spans="1:4" hidden="1">
      <c r="A98" s="4">
        <v>46569</v>
      </c>
      <c r="B98">
        <v>0.30448104265402837</v>
      </c>
      <c r="C98">
        <f t="shared" si="2"/>
        <v>1.0030448104265404</v>
      </c>
      <c r="D98">
        <f t="shared" si="3"/>
        <v>1.6724435789929624</v>
      </c>
    </row>
    <row r="99" spans="1:4" hidden="1">
      <c r="A99" s="4">
        <v>46600</v>
      </c>
      <c r="B99">
        <v>0.15224052132701418</v>
      </c>
      <c r="C99">
        <f t="shared" si="2"/>
        <v>1.0015224052132701</v>
      </c>
      <c r="D99">
        <f t="shared" si="3"/>
        <v>1.6749897158165212</v>
      </c>
    </row>
    <row r="100" spans="1:4" hidden="1">
      <c r="A100" s="4">
        <v>46631</v>
      </c>
      <c r="B100">
        <v>8.3040284360189551E-2</v>
      </c>
      <c r="C100">
        <f t="shared" si="2"/>
        <v>1.0008304028436019</v>
      </c>
      <c r="D100">
        <f t="shared" si="3"/>
        <v>1.6763806320395391</v>
      </c>
    </row>
    <row r="101" spans="1:4">
      <c r="A101" s="4">
        <v>46661</v>
      </c>
      <c r="B101">
        <v>0.11072037914691941</v>
      </c>
      <c r="C101">
        <f t="shared" si="2"/>
        <v>1.0011072037914692</v>
      </c>
      <c r="D101">
        <f t="shared" si="3"/>
        <v>1.6782367270312788</v>
      </c>
    </row>
    <row r="102" spans="1:4" hidden="1">
      <c r="A102" s="4">
        <v>46692</v>
      </c>
      <c r="B102">
        <v>0.65446943127962065</v>
      </c>
      <c r="C102">
        <f t="shared" si="2"/>
        <v>1.0065446943127963</v>
      </c>
      <c r="D102">
        <f t="shared" si="3"/>
        <v>1.6892202733942061</v>
      </c>
    </row>
    <row r="103" spans="1:4" hidden="1">
      <c r="A103" s="4">
        <v>46722</v>
      </c>
      <c r="B103">
        <v>1.3507135071090044</v>
      </c>
      <c r="C103">
        <f t="shared" si="2"/>
        <v>1.01350713507109</v>
      </c>
      <c r="D103">
        <f t="shared" si="3"/>
        <v>1.7120367997917654</v>
      </c>
    </row>
    <row r="104" spans="1:4" hidden="1">
      <c r="A104" s="4">
        <v>46753</v>
      </c>
      <c r="B104">
        <v>0.58484502369668234</v>
      </c>
      <c r="C104">
        <f t="shared" si="2"/>
        <v>1.0058484502369669</v>
      </c>
      <c r="D104">
        <f t="shared" si="3"/>
        <v>1.7220495618192035</v>
      </c>
    </row>
    <row r="105" spans="1:4" hidden="1">
      <c r="A105" s="4">
        <v>46784</v>
      </c>
      <c r="B105">
        <v>0.45952109004739328</v>
      </c>
      <c r="C105">
        <f t="shared" si="2"/>
        <v>1.0045952109004739</v>
      </c>
      <c r="D105">
        <f t="shared" si="3"/>
        <v>1.7299627427368314</v>
      </c>
    </row>
    <row r="106" spans="1:4" hidden="1">
      <c r="A106" s="4">
        <v>46813</v>
      </c>
      <c r="B106">
        <v>0.69624407582938375</v>
      </c>
      <c r="C106">
        <f t="shared" si="2"/>
        <v>1.0069624407582938</v>
      </c>
      <c r="D106">
        <f t="shared" si="3"/>
        <v>1.742007505847192</v>
      </c>
    </row>
    <row r="107" spans="1:4">
      <c r="A107" s="4">
        <v>46844</v>
      </c>
      <c r="B107">
        <v>0.77979336492890983</v>
      </c>
      <c r="C107">
        <f t="shared" si="2"/>
        <v>1.007797933649289</v>
      </c>
      <c r="D107">
        <f t="shared" si="3"/>
        <v>1.7555915647943519</v>
      </c>
    </row>
    <row r="108" spans="1:4" hidden="1">
      <c r="A108" s="4">
        <v>46874</v>
      </c>
      <c r="B108">
        <v>0.36204691943127953</v>
      </c>
      <c r="C108">
        <f t="shared" si="2"/>
        <v>1.0036204691943127</v>
      </c>
      <c r="D108">
        <f t="shared" si="3"/>
        <v>1.761947629972485</v>
      </c>
    </row>
    <row r="109" spans="1:4" hidden="1">
      <c r="A109" s="4">
        <v>46905</v>
      </c>
      <c r="B109">
        <v>0.33419715639810421</v>
      </c>
      <c r="C109">
        <f t="shared" si="2"/>
        <v>1.0033419715639811</v>
      </c>
      <c r="D109">
        <f t="shared" si="3"/>
        <v>1.767836008849077</v>
      </c>
    </row>
    <row r="110" spans="1:4" hidden="1">
      <c r="A110" s="4">
        <v>46935</v>
      </c>
      <c r="B110">
        <v>0.30634739336492883</v>
      </c>
      <c r="C110">
        <f t="shared" si="2"/>
        <v>1.0030634739336493</v>
      </c>
      <c r="D110">
        <f t="shared" si="3"/>
        <v>1.7732517283811526</v>
      </c>
    </row>
    <row r="111" spans="1:4" hidden="1">
      <c r="A111" s="4">
        <v>46966</v>
      </c>
      <c r="B111">
        <v>0.15317369668246442</v>
      </c>
      <c r="C111">
        <f t="shared" si="2"/>
        <v>1.0015317369668246</v>
      </c>
      <c r="D111">
        <f t="shared" si="3"/>
        <v>1.7759678836049997</v>
      </c>
    </row>
    <row r="112" spans="1:4" hidden="1">
      <c r="A112" s="4">
        <v>46997</v>
      </c>
      <c r="B112">
        <v>8.3549289099526053E-2</v>
      </c>
      <c r="C112">
        <f t="shared" si="2"/>
        <v>1.0008354928909953</v>
      </c>
      <c r="D112">
        <f t="shared" si="3"/>
        <v>1.7774516921463877</v>
      </c>
    </row>
    <row r="113" spans="1:4">
      <c r="A113" s="4">
        <v>47027</v>
      </c>
      <c r="B113">
        <v>0.1113990521327014</v>
      </c>
      <c r="C113">
        <f t="shared" si="2"/>
        <v>1.0011139905213271</v>
      </c>
      <c r="D113">
        <f t="shared" si="3"/>
        <v>1.7794317564835556</v>
      </c>
    </row>
    <row r="114" spans="1:4" hidden="1">
      <c r="A114" s="4">
        <v>47058</v>
      </c>
      <c r="B114">
        <v>0.65791090047393341</v>
      </c>
      <c r="C114">
        <f t="shared" si="2"/>
        <v>1.0065791090047393</v>
      </c>
      <c r="D114">
        <f t="shared" si="3"/>
        <v>1.7911388319759556</v>
      </c>
    </row>
    <row r="115" spans="1:4" hidden="1">
      <c r="A115" s="4">
        <v>47088</v>
      </c>
      <c r="B115">
        <v>1.3578161137440754</v>
      </c>
      <c r="C115">
        <f t="shared" si="2"/>
        <v>1.0135781611374408</v>
      </c>
      <c r="D115">
        <f t="shared" si="3"/>
        <v>1.8154592036560526</v>
      </c>
    </row>
    <row r="116" spans="1:4" hidden="1">
      <c r="A116" s="4">
        <v>47119</v>
      </c>
      <c r="B116">
        <v>0.5879203791469193</v>
      </c>
      <c r="C116">
        <f t="shared" si="2"/>
        <v>1.0058792037914692</v>
      </c>
      <c r="D116">
        <f t="shared" si="3"/>
        <v>1.826132658289445</v>
      </c>
    </row>
    <row r="117" spans="1:4" hidden="1">
      <c r="A117" s="4">
        <v>47150</v>
      </c>
      <c r="B117">
        <v>0.46193744075829374</v>
      </c>
      <c r="C117">
        <f t="shared" si="2"/>
        <v>1.0046193744075829</v>
      </c>
      <c r="D117">
        <f t="shared" si="3"/>
        <v>1.8345682487559987</v>
      </c>
    </row>
    <row r="118" spans="1:4" hidden="1">
      <c r="A118" s="4">
        <v>47178</v>
      </c>
      <c r="B118">
        <v>0.6999052132701421</v>
      </c>
      <c r="C118">
        <f t="shared" si="2"/>
        <v>1.0069990521327015</v>
      </c>
      <c r="D118">
        <f t="shared" si="3"/>
        <v>1.8474084875700407</v>
      </c>
    </row>
    <row r="119" spans="1:4">
      <c r="A119" s="4">
        <v>47209</v>
      </c>
      <c r="B119">
        <v>0.78389383886255903</v>
      </c>
      <c r="C119">
        <f t="shared" si="2"/>
        <v>1.0078389383886255</v>
      </c>
      <c r="D119">
        <f t="shared" si="3"/>
        <v>1.861890208882726</v>
      </c>
    </row>
    <row r="120" spans="1:4" hidden="1">
      <c r="A120" s="4">
        <v>47239</v>
      </c>
      <c r="B120">
        <v>0.36395071090047387</v>
      </c>
      <c r="C120">
        <f t="shared" si="2"/>
        <v>1.0036395071090047</v>
      </c>
      <c r="D120">
        <f t="shared" si="3"/>
        <v>1.8686665715341411</v>
      </c>
    </row>
    <row r="121" spans="1:4" hidden="1">
      <c r="A121" s="4">
        <v>47270</v>
      </c>
      <c r="B121">
        <v>0.33595450236966817</v>
      </c>
      <c r="C121">
        <f t="shared" si="2"/>
        <v>1.0033595450236967</v>
      </c>
      <c r="D121">
        <f t="shared" si="3"/>
        <v>1.874944441015487</v>
      </c>
    </row>
    <row r="122" spans="1:4" hidden="1">
      <c r="A122" s="4">
        <v>47300</v>
      </c>
      <c r="B122">
        <v>0.30795829383886247</v>
      </c>
      <c r="C122">
        <f t="shared" si="2"/>
        <v>1.0030795829383887</v>
      </c>
      <c r="D122">
        <f t="shared" si="3"/>
        <v>1.8807184879264651</v>
      </c>
    </row>
    <row r="123" spans="1:4" hidden="1">
      <c r="A123" s="4">
        <v>47331</v>
      </c>
      <c r="B123">
        <v>0.15397914691943124</v>
      </c>
      <c r="C123">
        <f t="shared" si="2"/>
        <v>1.0015397914691944</v>
      </c>
      <c r="D123">
        <f t="shared" si="3"/>
        <v>1.8836144022101304</v>
      </c>
    </row>
    <row r="124" spans="1:4" hidden="1">
      <c r="A124" s="4">
        <v>47362</v>
      </c>
      <c r="B124">
        <v>8.3988625592417043E-2</v>
      </c>
      <c r="C124">
        <f t="shared" si="2"/>
        <v>1.0008398862559242</v>
      </c>
      <c r="D124">
        <f t="shared" si="3"/>
        <v>1.8851964240580077</v>
      </c>
    </row>
    <row r="125" spans="1:4">
      <c r="A125" s="4">
        <v>47392</v>
      </c>
      <c r="B125">
        <v>0.11198483412322273</v>
      </c>
      <c r="C125">
        <f t="shared" si="2"/>
        <v>1.0011198483412322</v>
      </c>
      <c r="D125">
        <f t="shared" si="3"/>
        <v>1.8873075581463861</v>
      </c>
    </row>
    <row r="126" spans="1:4" hidden="1">
      <c r="A126" s="4">
        <v>47423</v>
      </c>
      <c r="B126">
        <v>0.66068412322274861</v>
      </c>
      <c r="C126">
        <f t="shared" si="2"/>
        <v>1.0066068412322275</v>
      </c>
      <c r="D126">
        <f t="shared" si="3"/>
        <v>1.8997766995394423</v>
      </c>
    </row>
    <row r="127" spans="1:4" hidden="1">
      <c r="A127" s="4">
        <v>47453</v>
      </c>
      <c r="B127">
        <v>1.3635395734597153</v>
      </c>
      <c r="C127">
        <f t="shared" si="2"/>
        <v>1.0136353957345972</v>
      </c>
      <c r="D127">
        <f t="shared" si="3"/>
        <v>1.9256809066450296</v>
      </c>
    </row>
    <row r="128" spans="1:4" hidden="1">
      <c r="A128" s="4">
        <v>47484</v>
      </c>
      <c r="B128">
        <v>0.59039857819905206</v>
      </c>
      <c r="C128">
        <f t="shared" si="2"/>
        <v>1.0059039857819905</v>
      </c>
      <c r="D128">
        <f t="shared" si="3"/>
        <v>1.9370500993385122</v>
      </c>
    </row>
    <row r="129" spans="1:4" hidden="1">
      <c r="A129" s="4">
        <v>47515</v>
      </c>
      <c r="B129">
        <v>0.46388459715639807</v>
      </c>
      <c r="C129">
        <f t="shared" si="2"/>
        <v>1.0046388459715641</v>
      </c>
      <c r="D129">
        <f t="shared" si="3"/>
        <v>1.9460357763885465</v>
      </c>
    </row>
    <row r="130" spans="1:4" hidden="1">
      <c r="A130" s="4">
        <v>47543</v>
      </c>
      <c r="B130">
        <v>0.70285545023696683</v>
      </c>
      <c r="C130">
        <f t="shared" si="2"/>
        <v>1.0070285545023696</v>
      </c>
      <c r="D130">
        <f t="shared" si="3"/>
        <v>1.9597135949064546</v>
      </c>
    </row>
    <row r="131" spans="1:4">
      <c r="A131" s="4">
        <v>47574</v>
      </c>
      <c r="B131">
        <v>0.78719810426540271</v>
      </c>
      <c r="C131">
        <f t="shared" ref="C131:C167" si="4">1+B131/100</f>
        <v>1.007871981042654</v>
      </c>
      <c r="D131">
        <f t="shared" si="3"/>
        <v>1.9751404231745895</v>
      </c>
    </row>
    <row r="132" spans="1:4" hidden="1">
      <c r="A132" s="4">
        <v>47604</v>
      </c>
      <c r="B132">
        <v>0.36548483412322269</v>
      </c>
      <c r="C132">
        <f t="shared" si="4"/>
        <v>1.0036548483412322</v>
      </c>
      <c r="D132">
        <f t="shared" ref="D132:D167" si="5">C132*D131</f>
        <v>1.9823592618739299</v>
      </c>
    </row>
    <row r="133" spans="1:4" hidden="1">
      <c r="A133" s="4">
        <v>47635</v>
      </c>
      <c r="B133">
        <v>0.33737061611374403</v>
      </c>
      <c r="C133">
        <f t="shared" si="4"/>
        <v>1.0033737061611374</v>
      </c>
      <c r="D133">
        <f t="shared" si="5"/>
        <v>1.9890471595293018</v>
      </c>
    </row>
    <row r="134" spans="1:4" hidden="1">
      <c r="A134" s="4">
        <v>47665</v>
      </c>
      <c r="B134">
        <v>0.30925639810426536</v>
      </c>
      <c r="C134">
        <f t="shared" si="4"/>
        <v>1.0030925639810426</v>
      </c>
      <c r="D134">
        <f t="shared" si="5"/>
        <v>1.9951984151314572</v>
      </c>
    </row>
    <row r="135" spans="1:4" hidden="1">
      <c r="A135" s="4">
        <v>47696</v>
      </c>
      <c r="B135">
        <v>0.15462819905213268</v>
      </c>
      <c r="C135">
        <f t="shared" si="4"/>
        <v>1.0015462819905214</v>
      </c>
      <c r="D135">
        <f t="shared" si="5"/>
        <v>1.998283554508292</v>
      </c>
    </row>
    <row r="136" spans="1:4" hidden="1">
      <c r="A136" s="4">
        <v>47727</v>
      </c>
      <c r="B136">
        <v>8.4342654028436007E-2</v>
      </c>
      <c r="C136">
        <f t="shared" si="4"/>
        <v>1.0008434265402844</v>
      </c>
      <c r="D136">
        <f t="shared" si="5"/>
        <v>1.999968959893178</v>
      </c>
    </row>
    <row r="137" spans="1:4">
      <c r="A137" s="4">
        <v>47757</v>
      </c>
      <c r="B137">
        <v>0.11245687203791468</v>
      </c>
      <c r="C137">
        <f t="shared" si="4"/>
        <v>1.0011245687203791</v>
      </c>
      <c r="D137">
        <f t="shared" si="5"/>
        <v>2.002218062427203</v>
      </c>
    </row>
    <row r="138" spans="1:4" hidden="1">
      <c r="A138" s="4">
        <v>47788</v>
      </c>
      <c r="B138">
        <v>0.66295616113744049</v>
      </c>
      <c r="C138">
        <f t="shared" si="4"/>
        <v>1.0066295616113745</v>
      </c>
      <c r="D138">
        <f t="shared" si="5"/>
        <v>2.0154918904314711</v>
      </c>
    </row>
    <row r="139" spans="1:4" hidden="1">
      <c r="A139" s="4">
        <v>47818</v>
      </c>
      <c r="B139">
        <v>1.3682286729857818</v>
      </c>
      <c r="C139">
        <f t="shared" si="4"/>
        <v>1.0136822867298578</v>
      </c>
      <c r="D139">
        <f t="shared" si="5"/>
        <v>2.0430684283780578</v>
      </c>
    </row>
    <row r="140" spans="1:4" hidden="1">
      <c r="A140" s="4">
        <v>47849</v>
      </c>
      <c r="B140">
        <v>0.59242890995260655</v>
      </c>
      <c r="C140">
        <f t="shared" si="4"/>
        <v>1.0059242890995261</v>
      </c>
      <c r="D140">
        <f t="shared" si="5"/>
        <v>2.0551721563978838</v>
      </c>
    </row>
    <row r="141" spans="1:4" hidden="1">
      <c r="A141" s="4">
        <v>47880</v>
      </c>
      <c r="B141">
        <v>0.46547985781990514</v>
      </c>
      <c r="C141">
        <f t="shared" si="4"/>
        <v>1.0046547985781991</v>
      </c>
      <c r="D141">
        <f t="shared" si="5"/>
        <v>2.0647385688294388</v>
      </c>
    </row>
    <row r="142" spans="1:4" hidden="1">
      <c r="A142" s="4">
        <v>47908</v>
      </c>
      <c r="B142">
        <v>0.70527251184834117</v>
      </c>
      <c r="C142">
        <f t="shared" si="4"/>
        <v>1.0070527251184833</v>
      </c>
      <c r="D142">
        <f t="shared" si="5"/>
        <v>2.0793006023969234</v>
      </c>
    </row>
    <row r="143" spans="1:4">
      <c r="A143" s="4">
        <v>47939</v>
      </c>
      <c r="B143">
        <v>0.78990521327014207</v>
      </c>
      <c r="C143">
        <f t="shared" si="4"/>
        <v>1.0078990521327014</v>
      </c>
      <c r="D143">
        <f t="shared" si="5"/>
        <v>2.0957251062548141</v>
      </c>
    </row>
    <row r="144" spans="1:4" hidden="1">
      <c r="A144" s="4">
        <v>47969</v>
      </c>
      <c r="B144">
        <v>0.36674170616113738</v>
      </c>
      <c r="C144">
        <f t="shared" si="4"/>
        <v>1.0036674170616113</v>
      </c>
      <c r="D144">
        <f t="shared" si="5"/>
        <v>2.1034110042659404</v>
      </c>
    </row>
    <row r="145" spans="1:4" hidden="1">
      <c r="A145" s="4">
        <v>48000</v>
      </c>
      <c r="B145">
        <v>0.33853080568720373</v>
      </c>
      <c r="C145">
        <f t="shared" si="4"/>
        <v>1.003385308056872</v>
      </c>
      <c r="D145">
        <f t="shared" si="5"/>
        <v>2.1105316984855951</v>
      </c>
    </row>
    <row r="146" spans="1:4" hidden="1">
      <c r="A146" s="4">
        <v>48030</v>
      </c>
      <c r="B146">
        <v>0.31031990521327008</v>
      </c>
      <c r="C146">
        <f t="shared" si="4"/>
        <v>1.0031031990521326</v>
      </c>
      <c r="D146">
        <f t="shared" si="5"/>
        <v>2.1170810984518313</v>
      </c>
    </row>
    <row r="147" spans="1:4" hidden="1">
      <c r="A147" s="4">
        <v>48061</v>
      </c>
      <c r="B147">
        <v>0.15515995260663504</v>
      </c>
      <c r="C147">
        <f t="shared" si="4"/>
        <v>1.0015515995260664</v>
      </c>
      <c r="D147">
        <f t="shared" si="5"/>
        <v>2.1203659604808336</v>
      </c>
    </row>
    <row r="148" spans="1:4" hidden="1">
      <c r="A148" s="4">
        <v>48092</v>
      </c>
      <c r="B148">
        <v>8.4632701421800932E-2</v>
      </c>
      <c r="C148">
        <f t="shared" si="4"/>
        <v>1.0008463270142181</v>
      </c>
      <c r="D148">
        <f t="shared" si="5"/>
        <v>2.1221604834732171</v>
      </c>
    </row>
    <row r="149" spans="1:4">
      <c r="A149" s="4">
        <v>48122</v>
      </c>
      <c r="B149">
        <v>0.11315639810426539</v>
      </c>
      <c r="C149">
        <f t="shared" si="4"/>
        <v>1.0011315639810427</v>
      </c>
      <c r="D149">
        <f t="shared" si="5"/>
        <v>2.1245618438383076</v>
      </c>
    </row>
    <row r="150" spans="1:4" hidden="1">
      <c r="A150" s="4">
        <v>48153</v>
      </c>
      <c r="B150">
        <v>0.66479383886255905</v>
      </c>
      <c r="C150">
        <f t="shared" si="4"/>
        <v>1.0066479383886255</v>
      </c>
      <c r="D150">
        <f t="shared" si="5"/>
        <v>2.1386858000789695</v>
      </c>
    </row>
    <row r="151" spans="1:4" hidden="1">
      <c r="A151" s="4">
        <v>48183</v>
      </c>
      <c r="B151">
        <v>1.3720213270142179</v>
      </c>
      <c r="C151">
        <f t="shared" si="4"/>
        <v>1.0137202132701422</v>
      </c>
      <c r="D151">
        <f t="shared" si="5"/>
        <v>2.1680290253738774</v>
      </c>
    </row>
    <row r="152" spans="1:4" hidden="1">
      <c r="A152" s="4">
        <v>48214</v>
      </c>
      <c r="B152">
        <v>0.59407109004739334</v>
      </c>
      <c r="C152">
        <f t="shared" si="4"/>
        <v>1.0059407109004739</v>
      </c>
      <c r="D152">
        <f t="shared" si="5"/>
        <v>2.1809086590374598</v>
      </c>
    </row>
    <row r="153" spans="1:4" hidden="1">
      <c r="A153" s="4">
        <v>48245</v>
      </c>
      <c r="B153">
        <v>0.46677014218009472</v>
      </c>
      <c r="C153">
        <f t="shared" si="4"/>
        <v>1.0046677014218008</v>
      </c>
      <c r="D153">
        <f t="shared" si="5"/>
        <v>2.1910884894860665</v>
      </c>
    </row>
    <row r="154" spans="1:4" hidden="1">
      <c r="A154" s="4">
        <v>48274</v>
      </c>
      <c r="B154">
        <v>0.7072274881516587</v>
      </c>
      <c r="C154">
        <f t="shared" si="4"/>
        <v>1.0070722748815166</v>
      </c>
      <c r="D154">
        <f t="shared" si="5"/>
        <v>2.2065844695734391</v>
      </c>
    </row>
    <row r="155" spans="1:4">
      <c r="A155" s="4">
        <v>48305</v>
      </c>
      <c r="B155">
        <v>0.79209478672985778</v>
      </c>
      <c r="C155">
        <f t="shared" si="4"/>
        <v>1.0079209478672986</v>
      </c>
      <c r="D155">
        <f t="shared" si="5"/>
        <v>2.224062710121721</v>
      </c>
    </row>
    <row r="156" spans="1:4" hidden="1">
      <c r="A156" s="4">
        <v>48335</v>
      </c>
      <c r="B156">
        <v>0.36775829383886255</v>
      </c>
      <c r="C156">
        <f t="shared" si="4"/>
        <v>1.0036775829383886</v>
      </c>
      <c r="D156">
        <f t="shared" si="5"/>
        <v>2.2322418851983707</v>
      </c>
    </row>
    <row r="157" spans="1:4" hidden="1">
      <c r="A157" s="4">
        <v>48366</v>
      </c>
      <c r="B157">
        <v>0.33946919431279615</v>
      </c>
      <c r="C157">
        <f t="shared" si="4"/>
        <v>1.003394691943128</v>
      </c>
      <c r="D157">
        <f t="shared" si="5"/>
        <v>2.2398196587411667</v>
      </c>
    </row>
    <row r="158" spans="1:4" hidden="1">
      <c r="A158" s="4">
        <v>48396</v>
      </c>
      <c r="B158">
        <v>0.31118009478672981</v>
      </c>
      <c r="C158">
        <f t="shared" si="4"/>
        <v>1.0031118009478672</v>
      </c>
      <c r="D158">
        <f t="shared" si="5"/>
        <v>2.2467895316782891</v>
      </c>
    </row>
    <row r="159" spans="1:4" hidden="1">
      <c r="A159" s="4">
        <v>48427</v>
      </c>
      <c r="B159">
        <v>0.15559004739336491</v>
      </c>
      <c r="C159">
        <f t="shared" si="4"/>
        <v>1.0015559004739336</v>
      </c>
      <c r="D159">
        <f t="shared" si="5"/>
        <v>2.2502853125754565</v>
      </c>
    </row>
    <row r="160" spans="1:4" hidden="1">
      <c r="A160" s="4">
        <v>48458</v>
      </c>
      <c r="B160">
        <v>8.4867298578199038E-2</v>
      </c>
      <c r="C160">
        <f t="shared" si="4"/>
        <v>1.000848672985782</v>
      </c>
      <c r="D160">
        <f t="shared" si="5"/>
        <v>2.2521950689305412</v>
      </c>
    </row>
    <row r="161" spans="1:4">
      <c r="A161" s="4">
        <v>48488</v>
      </c>
      <c r="B161">
        <v>0.11341207582938387</v>
      </c>
      <c r="C161">
        <f t="shared" si="4"/>
        <v>1.0011341207582938</v>
      </c>
      <c r="D161">
        <f t="shared" si="5"/>
        <v>2.2547493301099424</v>
      </c>
    </row>
    <row r="162" spans="1:4" hidden="1">
      <c r="A162" s="4">
        <v>48519</v>
      </c>
      <c r="B162">
        <v>0.66629594549763016</v>
      </c>
      <c r="C162">
        <f t="shared" si="4"/>
        <v>1.0066629594549763</v>
      </c>
      <c r="D162">
        <f t="shared" si="5"/>
        <v>2.2697726334775998</v>
      </c>
    </row>
    <row r="163" spans="1:4" hidden="1">
      <c r="A163" s="4">
        <v>48549</v>
      </c>
      <c r="B163">
        <v>1.3751214194312793</v>
      </c>
      <c r="C163">
        <f t="shared" si="4"/>
        <v>1.0137512141943128</v>
      </c>
      <c r="D163">
        <f t="shared" si="5"/>
        <v>2.3009847631329396</v>
      </c>
    </row>
    <row r="164" spans="1:4" hidden="1">
      <c r="A164" s="4">
        <v>48580</v>
      </c>
      <c r="B164">
        <v>0.5954133981042653</v>
      </c>
      <c r="C164">
        <f t="shared" si="4"/>
        <v>1.0059541339810427</v>
      </c>
      <c r="D164">
        <f t="shared" si="5"/>
        <v>2.3146851347009711</v>
      </c>
    </row>
    <row r="165" spans="1:4" hidden="1">
      <c r="A165" s="4">
        <v>48611</v>
      </c>
      <c r="B165">
        <v>0.46782481279620847</v>
      </c>
      <c r="C165">
        <f t="shared" si="4"/>
        <v>1.0046782481279621</v>
      </c>
      <c r="D165">
        <f t="shared" si="5"/>
        <v>2.3255138060992078</v>
      </c>
    </row>
    <row r="166" spans="1:4" hidden="1">
      <c r="A166" s="4">
        <v>48639</v>
      </c>
      <c r="B166">
        <v>0.70882547393364925</v>
      </c>
      <c r="C166">
        <f t="shared" si="4"/>
        <v>1.0070882547393365</v>
      </c>
      <c r="D166">
        <f t="shared" si="5"/>
        <v>2.3419976403566829</v>
      </c>
    </row>
    <row r="167" spans="1:4">
      <c r="A167" s="4">
        <v>48670</v>
      </c>
      <c r="B167">
        <v>0.79388453080568711</v>
      </c>
      <c r="C167">
        <f t="shared" si="4"/>
        <v>1.0079388453080569</v>
      </c>
      <c r="D167">
        <f t="shared" si="5"/>
        <v>2.3605903973353088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80CAB-90A7-43AE-85C8-E2732AB7A870}">
  <dimension ref="A1:D195"/>
  <sheetViews>
    <sheetView workbookViewId="0">
      <selection activeCell="D14" sqref="D14:D170"/>
    </sheetView>
  </sheetViews>
  <sheetFormatPr defaultRowHeight="15"/>
  <cols>
    <col min="1" max="1" width="11.140625" customWidth="1"/>
    <col min="2" max="2" width="10.140625" customWidth="1"/>
    <col min="4" max="4" width="13" customWidth="1"/>
  </cols>
  <sheetData>
    <row r="1" spans="1:4">
      <c r="A1" t="s">
        <v>153</v>
      </c>
      <c r="B1" t="s">
        <v>150</v>
      </c>
      <c r="C1" t="s">
        <v>22</v>
      </c>
      <c r="D1" t="s">
        <v>149</v>
      </c>
    </row>
    <row r="2" spans="1:4">
      <c r="A2" s="4">
        <v>43617</v>
      </c>
      <c r="B2" s="5">
        <v>0.01</v>
      </c>
      <c r="C2">
        <f>1+B2/100</f>
        <v>1.0001</v>
      </c>
      <c r="D2">
        <v>1.0001</v>
      </c>
    </row>
    <row r="3" spans="1:4" hidden="1">
      <c r="A3" s="4">
        <v>43647</v>
      </c>
      <c r="B3" s="5">
        <v>0.19</v>
      </c>
      <c r="C3">
        <f>1+B3/100</f>
        <v>1.0019</v>
      </c>
      <c r="D3">
        <f>C3*D2</f>
        <v>1.00200019</v>
      </c>
    </row>
    <row r="4" spans="1:4" hidden="1">
      <c r="A4" s="4">
        <v>43678</v>
      </c>
      <c r="B4" s="5">
        <v>0.11</v>
      </c>
      <c r="C4">
        <f>1+B4/100</f>
        <v>1.0011000000000001</v>
      </c>
      <c r="D4">
        <f t="shared" ref="D4:D67" si="0">C4*D3</f>
        <v>1.0031023902090002</v>
      </c>
    </row>
    <row r="5" spans="1:4" hidden="1">
      <c r="A5" s="4">
        <v>43709</v>
      </c>
      <c r="B5" s="5">
        <v>-0.04</v>
      </c>
      <c r="C5">
        <f t="shared" ref="C5:C68" si="1">1+B5/100</f>
        <v>0.99960000000000004</v>
      </c>
      <c r="D5">
        <f t="shared" si="0"/>
        <v>1.0027011492529165</v>
      </c>
    </row>
    <row r="6" spans="1:4" hidden="1">
      <c r="A6" s="4">
        <v>43739</v>
      </c>
      <c r="B6" s="5">
        <v>0.1</v>
      </c>
      <c r="C6">
        <f t="shared" si="1"/>
        <v>1.0009999999999999</v>
      </c>
      <c r="D6">
        <f t="shared" si="0"/>
        <v>1.0037038504021694</v>
      </c>
    </row>
    <row r="7" spans="1:4" hidden="1">
      <c r="A7" s="4">
        <v>43770</v>
      </c>
      <c r="B7" s="5">
        <v>0.51</v>
      </c>
      <c r="C7">
        <f t="shared" si="1"/>
        <v>1.0051000000000001</v>
      </c>
      <c r="D7">
        <f t="shared" si="0"/>
        <v>1.0088227400392205</v>
      </c>
    </row>
    <row r="8" spans="1:4" hidden="1">
      <c r="A8" s="4">
        <v>43800</v>
      </c>
      <c r="B8" s="5">
        <v>1.1499999999999999</v>
      </c>
      <c r="C8">
        <f t="shared" si="1"/>
        <v>1.0115000000000001</v>
      </c>
      <c r="D8">
        <f t="shared" si="0"/>
        <v>1.0204242015496716</v>
      </c>
    </row>
    <row r="9" spans="1:4" hidden="1">
      <c r="A9" s="4">
        <v>43831</v>
      </c>
      <c r="B9" s="5">
        <v>0.21</v>
      </c>
      <c r="C9">
        <f t="shared" si="1"/>
        <v>1.0021</v>
      </c>
      <c r="D9">
        <f t="shared" si="0"/>
        <v>1.022567092372926</v>
      </c>
    </row>
    <row r="10" spans="1:4" hidden="1">
      <c r="A10" s="4">
        <v>43862</v>
      </c>
      <c r="B10" s="5">
        <v>0.25</v>
      </c>
      <c r="C10">
        <f t="shared" si="1"/>
        <v>1.0024999999999999</v>
      </c>
      <c r="D10">
        <f t="shared" si="0"/>
        <v>1.0251235101038583</v>
      </c>
    </row>
    <row r="11" spans="1:4" hidden="1">
      <c r="A11" s="4">
        <v>43891</v>
      </c>
      <c r="B11" s="5">
        <v>7.0000000000000007E-2</v>
      </c>
      <c r="C11">
        <f t="shared" si="1"/>
        <v>1.0006999999999999</v>
      </c>
      <c r="D11">
        <f t="shared" si="0"/>
        <v>1.0258410965609308</v>
      </c>
    </row>
    <row r="12" spans="1:4" hidden="1">
      <c r="A12" s="4">
        <v>43922</v>
      </c>
      <c r="B12" s="5">
        <v>-0.31</v>
      </c>
      <c r="C12">
        <f t="shared" si="1"/>
        <v>0.99690000000000001</v>
      </c>
      <c r="D12">
        <f t="shared" si="0"/>
        <v>1.0226609891615919</v>
      </c>
    </row>
    <row r="13" spans="1:4" hidden="1">
      <c r="A13" s="4">
        <v>43952</v>
      </c>
      <c r="B13" s="5">
        <v>-0.38</v>
      </c>
      <c r="C13">
        <f t="shared" si="1"/>
        <v>0.99619999999999997</v>
      </c>
      <c r="D13">
        <f t="shared" si="0"/>
        <v>1.0187748774027778</v>
      </c>
    </row>
    <row r="14" spans="1:4">
      <c r="A14" s="4">
        <v>43983</v>
      </c>
      <c r="B14" s="5">
        <v>0.26</v>
      </c>
      <c r="C14">
        <f t="shared" si="1"/>
        <v>1.0025999999999999</v>
      </c>
      <c r="D14">
        <f t="shared" si="0"/>
        <v>1.0214236920840249</v>
      </c>
    </row>
    <row r="15" spans="1:4" hidden="1">
      <c r="A15" s="4">
        <v>44013</v>
      </c>
      <c r="B15" s="5">
        <v>0.36</v>
      </c>
      <c r="C15">
        <f t="shared" si="1"/>
        <v>1.0036</v>
      </c>
      <c r="D15">
        <f t="shared" si="0"/>
        <v>1.0251008173755274</v>
      </c>
    </row>
    <row r="16" spans="1:4" hidden="1">
      <c r="A16" s="4">
        <v>44044</v>
      </c>
      <c r="B16" s="5">
        <v>0.24</v>
      </c>
      <c r="C16">
        <f t="shared" si="1"/>
        <v>1.0024</v>
      </c>
      <c r="D16">
        <f t="shared" si="0"/>
        <v>1.0275610593372286</v>
      </c>
    </row>
    <row r="17" spans="1:4" hidden="1">
      <c r="A17" s="4">
        <v>44075</v>
      </c>
      <c r="B17" s="5">
        <v>0.64</v>
      </c>
      <c r="C17">
        <f t="shared" si="1"/>
        <v>1.0064</v>
      </c>
      <c r="D17">
        <f t="shared" si="0"/>
        <v>1.0341374501169869</v>
      </c>
    </row>
    <row r="18" spans="1:4" hidden="1">
      <c r="A18" s="4">
        <v>44105</v>
      </c>
      <c r="B18" s="5">
        <v>0.86</v>
      </c>
      <c r="C18">
        <f t="shared" si="1"/>
        <v>1.0085999999999999</v>
      </c>
      <c r="D18">
        <f t="shared" si="0"/>
        <v>1.043031032187993</v>
      </c>
    </row>
    <row r="19" spans="1:4" hidden="1">
      <c r="A19" s="4">
        <v>44136</v>
      </c>
      <c r="B19" s="5">
        <v>0.89</v>
      </c>
      <c r="C19">
        <f t="shared" si="1"/>
        <v>1.0088999999999999</v>
      </c>
      <c r="D19">
        <f t="shared" si="0"/>
        <v>1.052314008374466</v>
      </c>
    </row>
    <row r="20" spans="1:4" hidden="1">
      <c r="A20" s="4">
        <v>44166</v>
      </c>
      <c r="B20" s="5">
        <v>1.35</v>
      </c>
      <c r="C20">
        <f t="shared" si="1"/>
        <v>1.0135000000000001</v>
      </c>
      <c r="D20">
        <f t="shared" si="0"/>
        <v>1.0665202474875213</v>
      </c>
    </row>
    <row r="21" spans="1:4" hidden="1">
      <c r="A21" s="4">
        <v>44197</v>
      </c>
      <c r="B21" s="5">
        <v>0.25</v>
      </c>
      <c r="C21">
        <f t="shared" si="1"/>
        <v>1.0024999999999999</v>
      </c>
      <c r="D21">
        <f t="shared" si="0"/>
        <v>1.0691865481062399</v>
      </c>
    </row>
    <row r="22" spans="1:4" hidden="1">
      <c r="A22" s="4">
        <v>44228</v>
      </c>
      <c r="B22" s="5">
        <v>0.86</v>
      </c>
      <c r="C22">
        <f t="shared" si="1"/>
        <v>1.0085999999999999</v>
      </c>
      <c r="D22">
        <f t="shared" si="0"/>
        <v>1.0783815524199536</v>
      </c>
    </row>
    <row r="23" spans="1:4" hidden="1">
      <c r="A23" s="4">
        <v>44256</v>
      </c>
      <c r="B23" s="5">
        <v>0.93</v>
      </c>
      <c r="C23">
        <f t="shared" si="1"/>
        <v>1.0093000000000001</v>
      </c>
      <c r="D23">
        <f t="shared" si="0"/>
        <v>1.0884105008574592</v>
      </c>
    </row>
    <row r="24" spans="1:4" hidden="1">
      <c r="A24" s="4">
        <v>44287</v>
      </c>
      <c r="B24" s="5">
        <v>0.31</v>
      </c>
      <c r="C24">
        <f t="shared" si="1"/>
        <v>1.0031000000000001</v>
      </c>
      <c r="D24">
        <f t="shared" si="0"/>
        <v>1.0917845734101175</v>
      </c>
    </row>
    <row r="25" spans="1:4" hidden="1">
      <c r="A25" s="4">
        <v>44317</v>
      </c>
      <c r="B25" s="5">
        <v>0.83</v>
      </c>
      <c r="C25">
        <f t="shared" si="1"/>
        <v>1.0083</v>
      </c>
      <c r="D25">
        <f t="shared" si="0"/>
        <v>1.1008463853694215</v>
      </c>
    </row>
    <row r="26" spans="1:4">
      <c r="A26" s="4">
        <v>44348</v>
      </c>
      <c r="B26" s="5">
        <v>0.53</v>
      </c>
      <c r="C26">
        <f t="shared" si="1"/>
        <v>1.0053000000000001</v>
      </c>
      <c r="D26">
        <f t="shared" si="0"/>
        <v>1.1066808712118794</v>
      </c>
    </row>
    <row r="27" spans="1:4" hidden="1">
      <c r="A27" s="4">
        <v>44378</v>
      </c>
      <c r="B27" s="5">
        <v>0.96</v>
      </c>
      <c r="C27">
        <f t="shared" si="1"/>
        <v>1.0096000000000001</v>
      </c>
      <c r="D27">
        <f t="shared" si="0"/>
        <v>1.1173050075755135</v>
      </c>
    </row>
    <row r="28" spans="1:4" hidden="1">
      <c r="A28" s="4">
        <v>44409</v>
      </c>
      <c r="B28" s="5">
        <v>0.87</v>
      </c>
      <c r="C28">
        <f t="shared" si="1"/>
        <v>1.0086999999999999</v>
      </c>
      <c r="D28">
        <f t="shared" si="0"/>
        <v>1.1270255611414204</v>
      </c>
    </row>
    <row r="29" spans="1:4" hidden="1">
      <c r="A29" s="4">
        <v>44440</v>
      </c>
      <c r="B29" s="5">
        <v>1.1599999999999999</v>
      </c>
      <c r="C29">
        <f t="shared" si="1"/>
        <v>1.0116000000000001</v>
      </c>
      <c r="D29">
        <f t="shared" si="0"/>
        <v>1.1400990576506609</v>
      </c>
    </row>
    <row r="30" spans="1:4" hidden="1">
      <c r="A30" s="4">
        <v>44470</v>
      </c>
      <c r="B30" s="5">
        <v>1.25</v>
      </c>
      <c r="C30">
        <f t="shared" si="1"/>
        <v>1.0125</v>
      </c>
      <c r="D30">
        <f t="shared" si="0"/>
        <v>1.1543502958712941</v>
      </c>
    </row>
    <row r="31" spans="1:4" hidden="1">
      <c r="A31" s="4">
        <v>44501</v>
      </c>
      <c r="B31" s="5">
        <v>0.95</v>
      </c>
      <c r="C31">
        <f t="shared" si="1"/>
        <v>1.0095000000000001</v>
      </c>
      <c r="D31">
        <f t="shared" si="0"/>
        <v>1.1653166236820716</v>
      </c>
    </row>
    <row r="32" spans="1:4" hidden="1">
      <c r="A32" s="4">
        <v>44531</v>
      </c>
      <c r="B32" s="5">
        <v>0.73</v>
      </c>
      <c r="C32">
        <f t="shared" si="1"/>
        <v>1.0073000000000001</v>
      </c>
      <c r="D32">
        <f t="shared" si="0"/>
        <v>1.1738234350349508</v>
      </c>
    </row>
    <row r="33" spans="1:4" hidden="1">
      <c r="A33" s="4">
        <v>44562</v>
      </c>
      <c r="B33" s="5">
        <v>0.54</v>
      </c>
      <c r="C33">
        <f t="shared" si="1"/>
        <v>1.0054000000000001</v>
      </c>
      <c r="D33">
        <f t="shared" si="0"/>
        <v>1.1801620815841396</v>
      </c>
    </row>
    <row r="34" spans="1:4" hidden="1">
      <c r="A34" s="4">
        <v>44593</v>
      </c>
      <c r="B34" s="5">
        <v>1.01</v>
      </c>
      <c r="C34">
        <f t="shared" si="1"/>
        <v>1.0101</v>
      </c>
      <c r="D34">
        <f t="shared" si="0"/>
        <v>1.1920817186081394</v>
      </c>
    </row>
    <row r="35" spans="1:4" hidden="1">
      <c r="A35" s="4">
        <v>44621</v>
      </c>
      <c r="B35" s="5">
        <v>1.62</v>
      </c>
      <c r="C35">
        <f t="shared" si="1"/>
        <v>1.0162</v>
      </c>
      <c r="D35">
        <f t="shared" si="0"/>
        <v>1.2113934424495911</v>
      </c>
    </row>
    <row r="36" spans="1:4" hidden="1">
      <c r="A36" s="4">
        <v>44652</v>
      </c>
      <c r="B36" s="5">
        <v>1.06</v>
      </c>
      <c r="C36">
        <f t="shared" si="1"/>
        <v>1.0105999999999999</v>
      </c>
      <c r="D36">
        <f t="shared" si="0"/>
        <v>1.2242342129395567</v>
      </c>
    </row>
    <row r="37" spans="1:4" hidden="1">
      <c r="A37" s="4">
        <v>44682</v>
      </c>
      <c r="B37" s="5">
        <v>0.47</v>
      </c>
      <c r="C37">
        <f t="shared" si="1"/>
        <v>1.0046999999999999</v>
      </c>
      <c r="D37">
        <f t="shared" si="0"/>
        <v>1.2299881137403725</v>
      </c>
    </row>
    <row r="38" spans="1:4">
      <c r="A38" s="4">
        <v>44713</v>
      </c>
      <c r="B38" s="5">
        <v>0.67</v>
      </c>
      <c r="C38">
        <f t="shared" si="1"/>
        <v>1.0066999999999999</v>
      </c>
      <c r="D38">
        <f t="shared" si="0"/>
        <v>1.2382290341024329</v>
      </c>
    </row>
    <row r="39" spans="1:4" hidden="1">
      <c r="A39" s="4">
        <v>44743</v>
      </c>
      <c r="B39" s="5">
        <v>-0.68</v>
      </c>
      <c r="C39">
        <f t="shared" si="1"/>
        <v>0.99319999999999997</v>
      </c>
      <c r="D39">
        <f t="shared" si="0"/>
        <v>1.2298090766705363</v>
      </c>
    </row>
    <row r="40" spans="1:4" hidden="1">
      <c r="A40" s="4">
        <v>44774</v>
      </c>
      <c r="B40" s="5">
        <v>-0.36</v>
      </c>
      <c r="C40">
        <f t="shared" si="1"/>
        <v>0.99639999999999995</v>
      </c>
      <c r="D40">
        <f t="shared" si="0"/>
        <v>1.2253817639945224</v>
      </c>
    </row>
    <row r="41" spans="1:4" hidden="1">
      <c r="A41" s="4">
        <v>44805</v>
      </c>
      <c r="B41" s="5">
        <v>-0.28999999999999998</v>
      </c>
      <c r="C41">
        <f t="shared" si="1"/>
        <v>0.99709999999999999</v>
      </c>
      <c r="D41">
        <f t="shared" si="0"/>
        <v>1.2218281568789382</v>
      </c>
    </row>
    <row r="42" spans="1:4" hidden="1">
      <c r="A42" s="4">
        <v>44835</v>
      </c>
      <c r="B42">
        <v>0.33</v>
      </c>
      <c r="C42">
        <f t="shared" si="1"/>
        <v>1.0033000000000001</v>
      </c>
      <c r="D42">
        <f t="shared" si="0"/>
        <v>1.2258601897966388</v>
      </c>
    </row>
    <row r="43" spans="1:4" hidden="1">
      <c r="A43" s="4">
        <v>44866</v>
      </c>
      <c r="B43">
        <v>0.94638500140897963</v>
      </c>
      <c r="C43">
        <f t="shared" si="1"/>
        <v>1.0094638500140898</v>
      </c>
      <c r="D43">
        <f t="shared" si="0"/>
        <v>1.2374615467711179</v>
      </c>
    </row>
    <row r="44" spans="1:4" hidden="1">
      <c r="A44" s="4">
        <v>44896</v>
      </c>
      <c r="B44">
        <v>1.9531775560993834</v>
      </c>
      <c r="C44">
        <f t="shared" si="1"/>
        <v>1.0195317755609938</v>
      </c>
      <c r="D44">
        <f t="shared" si="0"/>
        <v>1.2616313679680116</v>
      </c>
    </row>
    <row r="45" spans="1:4" hidden="1">
      <c r="A45" s="4">
        <v>44927</v>
      </c>
      <c r="B45">
        <v>0.84570574593993919</v>
      </c>
      <c r="C45">
        <f t="shared" si="1"/>
        <v>1.0084570574593994</v>
      </c>
      <c r="D45">
        <f t="shared" si="0"/>
        <v>1.2723010569394977</v>
      </c>
    </row>
    <row r="46" spans="1:4" hidden="1">
      <c r="A46" s="4">
        <v>44958</v>
      </c>
      <c r="B46">
        <v>0.66448308609566664</v>
      </c>
      <c r="C46">
        <f t="shared" si="1"/>
        <v>1.0066448308609566</v>
      </c>
      <c r="D46">
        <f t="shared" si="0"/>
        <v>1.2807552822670769</v>
      </c>
    </row>
    <row r="47" spans="1:4" hidden="1">
      <c r="A47" s="4">
        <v>44986</v>
      </c>
      <c r="B47">
        <v>1.006792554690404</v>
      </c>
      <c r="C47">
        <f t="shared" si="1"/>
        <v>1.0100679255469041</v>
      </c>
      <c r="D47">
        <f t="shared" si="0"/>
        <v>1.293649831092746</v>
      </c>
    </row>
    <row r="48" spans="1:4" hidden="1">
      <c r="A48" s="4">
        <v>45017</v>
      </c>
      <c r="B48">
        <v>1.1276076612532524</v>
      </c>
      <c r="C48">
        <f t="shared" si="1"/>
        <v>1.0112760766125326</v>
      </c>
      <c r="D48">
        <f t="shared" si="0"/>
        <v>1.3082371256979377</v>
      </c>
    </row>
    <row r="49" spans="1:4" hidden="1">
      <c r="A49" s="4">
        <v>45047</v>
      </c>
      <c r="B49">
        <v>0.41494999999999999</v>
      </c>
      <c r="C49">
        <f t="shared" si="1"/>
        <v>1.0041495</v>
      </c>
      <c r="D49">
        <f t="shared" si="0"/>
        <v>1.3136656556510213</v>
      </c>
    </row>
    <row r="50" spans="1:4">
      <c r="A50" s="4">
        <v>45078</v>
      </c>
      <c r="B50">
        <v>0.38303300000000001</v>
      </c>
      <c r="C50">
        <f t="shared" si="1"/>
        <v>1.00383033</v>
      </c>
      <c r="D50">
        <f t="shared" si="0"/>
        <v>1.3186974286218311</v>
      </c>
    </row>
    <row r="51" spans="1:4" hidden="1">
      <c r="A51" s="4">
        <v>45108</v>
      </c>
      <c r="B51">
        <v>0.35111999999999999</v>
      </c>
      <c r="C51">
        <f t="shared" si="1"/>
        <v>1.0035111999999999</v>
      </c>
      <c r="D51">
        <f t="shared" si="0"/>
        <v>1.323327639033208</v>
      </c>
    </row>
    <row r="52" spans="1:4" hidden="1">
      <c r="A52" s="4">
        <v>45139</v>
      </c>
      <c r="B52">
        <v>0.17555687203791467</v>
      </c>
      <c r="C52">
        <f t="shared" si="1"/>
        <v>1.0017555687203792</v>
      </c>
      <c r="D52">
        <f t="shared" si="0"/>
        <v>1.3256508316431079</v>
      </c>
    </row>
    <row r="53" spans="1:4" hidden="1">
      <c r="A53" s="4">
        <v>45170</v>
      </c>
      <c r="B53">
        <v>9.5758293838862543E-2</v>
      </c>
      <c r="C53">
        <f t="shared" si="1"/>
        <v>1.0009575829383885</v>
      </c>
      <c r="D53">
        <f t="shared" si="0"/>
        <v>1.32692025226175</v>
      </c>
    </row>
    <row r="54" spans="1:4" hidden="1">
      <c r="A54" s="4">
        <v>45200</v>
      </c>
      <c r="B54">
        <v>0.12767772511848341</v>
      </c>
      <c r="C54">
        <f t="shared" si="1"/>
        <v>1.0012767772511848</v>
      </c>
      <c r="D54">
        <f t="shared" si="0"/>
        <v>1.3286144338539743</v>
      </c>
    </row>
    <row r="55" spans="1:4" hidden="1">
      <c r="A55" s="4">
        <v>45231</v>
      </c>
      <c r="B55">
        <v>0.66754478672985762</v>
      </c>
      <c r="C55">
        <f t="shared" si="1"/>
        <v>1.0066754478672986</v>
      </c>
      <c r="D55">
        <f t="shared" si="0"/>
        <v>1.3374835302429069</v>
      </c>
    </row>
    <row r="56" spans="1:4" hidden="1">
      <c r="A56" s="4">
        <v>45261</v>
      </c>
      <c r="B56">
        <v>1.3776988151658764</v>
      </c>
      <c r="C56">
        <f t="shared" si="1"/>
        <v>1.0137769881516587</v>
      </c>
      <c r="D56">
        <f t="shared" si="0"/>
        <v>1.3559100249921021</v>
      </c>
    </row>
    <row r="57" spans="1:4" hidden="1">
      <c r="A57" s="4">
        <v>45292</v>
      </c>
      <c r="B57">
        <v>0.59652938388625576</v>
      </c>
      <c r="C57">
        <f t="shared" si="1"/>
        <v>1.0059652938388626</v>
      </c>
      <c r="D57">
        <f t="shared" si="0"/>
        <v>1.3639984267102394</v>
      </c>
    </row>
    <row r="58" spans="1:4" hidden="1">
      <c r="A58" s="4">
        <v>45323</v>
      </c>
      <c r="B58">
        <v>0.46870165876777242</v>
      </c>
      <c r="C58">
        <f t="shared" si="1"/>
        <v>1.0046870165876778</v>
      </c>
      <c r="D58">
        <f t="shared" si="0"/>
        <v>1.3703915099617967</v>
      </c>
    </row>
    <row r="59" spans="1:4" hidden="1">
      <c r="A59" s="4">
        <v>45352</v>
      </c>
      <c r="B59">
        <v>0.71015402843601882</v>
      </c>
      <c r="C59">
        <f t="shared" si="1"/>
        <v>1.0071015402843602</v>
      </c>
      <c r="D59">
        <f t="shared" si="0"/>
        <v>1.3801234004751355</v>
      </c>
    </row>
    <row r="60" spans="1:4" hidden="1">
      <c r="A60" s="4">
        <v>45383</v>
      </c>
      <c r="B60">
        <v>0.79537251184834112</v>
      </c>
      <c r="C60">
        <f t="shared" si="1"/>
        <v>1.0079537251184834</v>
      </c>
      <c r="D60">
        <f t="shared" si="0"/>
        <v>1.3911005226321012</v>
      </c>
    </row>
    <row r="61" spans="1:4" hidden="1">
      <c r="A61" s="4">
        <v>45413</v>
      </c>
      <c r="B61">
        <v>0.3692800947867298</v>
      </c>
      <c r="C61">
        <f t="shared" si="1"/>
        <v>1.0036928009478674</v>
      </c>
      <c r="D61">
        <f t="shared" si="0"/>
        <v>1.3962375799606559</v>
      </c>
    </row>
    <row r="62" spans="1:4">
      <c r="A62" s="4">
        <v>45444</v>
      </c>
      <c r="B62">
        <v>0.34087393364928903</v>
      </c>
      <c r="C62">
        <f t="shared" si="1"/>
        <v>1.003408739336493</v>
      </c>
      <c r="D62">
        <f t="shared" si="0"/>
        <v>1.4009969899225576</v>
      </c>
    </row>
    <row r="63" spans="1:4" hidden="1">
      <c r="A63" s="4">
        <v>45474</v>
      </c>
      <c r="B63">
        <v>0.31246777251184826</v>
      </c>
      <c r="C63">
        <f t="shared" si="1"/>
        <v>1.0031246777251184</v>
      </c>
      <c r="D63">
        <f t="shared" si="0"/>
        <v>1.4053746540099266</v>
      </c>
    </row>
    <row r="64" spans="1:4" hidden="1">
      <c r="A64" s="4">
        <v>45505</v>
      </c>
      <c r="B64">
        <v>0.15623388625592413</v>
      </c>
      <c r="C64">
        <f t="shared" si="1"/>
        <v>1.0015623388625592</v>
      </c>
      <c r="D64">
        <f t="shared" si="0"/>
        <v>1.407570325448342</v>
      </c>
    </row>
    <row r="65" spans="1:4" hidden="1">
      <c r="A65" s="4">
        <v>45536</v>
      </c>
      <c r="B65">
        <v>8.5218483412322257E-2</v>
      </c>
      <c r="C65">
        <f t="shared" si="1"/>
        <v>1.0008521848341232</v>
      </c>
      <c r="D65">
        <f t="shared" si="0"/>
        <v>1.408769835532651</v>
      </c>
    </row>
    <row r="66" spans="1:4" hidden="1">
      <c r="A66" s="4">
        <v>45566</v>
      </c>
      <c r="B66">
        <v>0.11362464454976301</v>
      </c>
      <c r="C66">
        <f t="shared" si="1"/>
        <v>1.0011362464454976</v>
      </c>
      <c r="D66">
        <f t="shared" si="0"/>
        <v>1.4103705452507993</v>
      </c>
    </row>
    <row r="67" spans="1:4" hidden="1">
      <c r="A67" s="4">
        <v>45597</v>
      </c>
      <c r="B67">
        <v>0.64748625592417042</v>
      </c>
      <c r="C67">
        <f t="shared" si="1"/>
        <v>1.0064748625592417</v>
      </c>
      <c r="D67">
        <f t="shared" si="0"/>
        <v>1.419502500688901</v>
      </c>
    </row>
    <row r="68" spans="1:4" hidden="1">
      <c r="A68" s="4">
        <v>45627</v>
      </c>
      <c r="B68">
        <v>1.3363014218009477</v>
      </c>
      <c r="C68">
        <f t="shared" si="1"/>
        <v>1.0133630142180095</v>
      </c>
      <c r="D68">
        <f t="shared" ref="D68:D131" si="2">C68*D67</f>
        <v>1.4384713327881069</v>
      </c>
    </row>
    <row r="69" spans="1:4" hidden="1">
      <c r="A69" s="4">
        <v>45658</v>
      </c>
      <c r="B69">
        <v>0.57860473933649281</v>
      </c>
      <c r="C69">
        <f t="shared" ref="C69:C132" si="3">1+B69/100</f>
        <v>1.0057860473933649</v>
      </c>
      <c r="D69">
        <f t="shared" si="2"/>
        <v>1.4467943960936156</v>
      </c>
    </row>
    <row r="70" spans="1:4" hidden="1">
      <c r="A70" s="4">
        <v>45689</v>
      </c>
      <c r="B70">
        <v>0.45461800947867292</v>
      </c>
      <c r="C70">
        <f t="shared" si="3"/>
        <v>1.0045461800947868</v>
      </c>
      <c r="D70">
        <f t="shared" si="2"/>
        <v>1.4533717839783855</v>
      </c>
    </row>
    <row r="71" spans="1:4" hidden="1">
      <c r="A71" s="4">
        <v>45717</v>
      </c>
      <c r="B71">
        <v>0.68881516587677716</v>
      </c>
      <c r="C71">
        <f t="shared" si="3"/>
        <v>1.0068881516587678</v>
      </c>
      <c r="D71">
        <f t="shared" si="2"/>
        <v>1.4633828292430024</v>
      </c>
    </row>
    <row r="72" spans="1:4" hidden="1">
      <c r="A72" s="4">
        <v>45748</v>
      </c>
      <c r="B72">
        <v>0.77147298578199042</v>
      </c>
      <c r="C72">
        <f t="shared" si="3"/>
        <v>1.00771472985782</v>
      </c>
      <c r="D72">
        <f t="shared" si="2"/>
        <v>1.4746724324491844</v>
      </c>
    </row>
    <row r="73" spans="1:4" hidden="1">
      <c r="A73" s="4">
        <v>45778</v>
      </c>
      <c r="B73">
        <v>0.35818388625592412</v>
      </c>
      <c r="C73">
        <f t="shared" si="3"/>
        <v>1.0035818388625593</v>
      </c>
      <c r="D73">
        <f t="shared" si="2"/>
        <v>1.4799544714772757</v>
      </c>
    </row>
    <row r="74" spans="1:4">
      <c r="A74" s="4">
        <v>45809</v>
      </c>
      <c r="B74">
        <v>0.33063127962085304</v>
      </c>
      <c r="C74">
        <f t="shared" si="3"/>
        <v>1.0033063127962085</v>
      </c>
      <c r="D74">
        <f t="shared" si="2"/>
        <v>1.484847663884127</v>
      </c>
    </row>
    <row r="75" spans="1:4" hidden="1">
      <c r="A75" s="4">
        <v>45839</v>
      </c>
      <c r="B75">
        <v>0.30307867298578195</v>
      </c>
      <c r="C75">
        <f t="shared" si="3"/>
        <v>1.0030307867298578</v>
      </c>
      <c r="D75">
        <f t="shared" si="2"/>
        <v>1.4893479204796873</v>
      </c>
    </row>
    <row r="76" spans="1:4" hidden="1">
      <c r="A76" s="4">
        <v>45870</v>
      </c>
      <c r="B76">
        <v>0.15153933649289097</v>
      </c>
      <c r="C76">
        <f t="shared" si="3"/>
        <v>1.001515393364929</v>
      </c>
      <c r="D76">
        <f t="shared" si="2"/>
        <v>1.4916048684364531</v>
      </c>
    </row>
    <row r="77" spans="1:4" hidden="1">
      <c r="A77" s="4">
        <v>45901</v>
      </c>
      <c r="B77">
        <v>8.2657819905213259E-2</v>
      </c>
      <c r="C77">
        <f t="shared" si="3"/>
        <v>1.0008265781990522</v>
      </c>
      <c r="D77">
        <f t="shared" si="2"/>
        <v>1.4928377965023027</v>
      </c>
    </row>
    <row r="78" spans="1:4" hidden="1">
      <c r="A78" s="4">
        <v>45931</v>
      </c>
      <c r="B78">
        <v>0.11021042654028435</v>
      </c>
      <c r="C78">
        <f t="shared" si="3"/>
        <v>1.0011021042654029</v>
      </c>
      <c r="D78">
        <f t="shared" si="2"/>
        <v>1.4944830594053826</v>
      </c>
    </row>
    <row r="79" spans="1:4" hidden="1">
      <c r="A79" s="4">
        <v>45962</v>
      </c>
      <c r="B79">
        <v>0.64681800947867285</v>
      </c>
      <c r="C79">
        <f t="shared" si="3"/>
        <v>1.0064681800947868</v>
      </c>
      <c r="D79">
        <f t="shared" si="2"/>
        <v>1.5041496449822245</v>
      </c>
    </row>
    <row r="80" spans="1:4" hidden="1">
      <c r="A80" s="4">
        <v>45992</v>
      </c>
      <c r="B80">
        <v>1.3349222748815164</v>
      </c>
      <c r="C80">
        <f t="shared" si="3"/>
        <v>1.0133492227488152</v>
      </c>
      <c r="D80">
        <f t="shared" si="2"/>
        <v>1.5242288736406435</v>
      </c>
    </row>
    <row r="81" spans="1:4" hidden="1">
      <c r="A81" s="4">
        <v>46023</v>
      </c>
      <c r="B81">
        <v>0.5780075829383885</v>
      </c>
      <c r="C81">
        <f t="shared" si="3"/>
        <v>1.0057800758293838</v>
      </c>
      <c r="D81">
        <f t="shared" si="2"/>
        <v>1.5330390321116227</v>
      </c>
    </row>
    <row r="82" spans="1:4" hidden="1">
      <c r="A82" s="4">
        <v>46054</v>
      </c>
      <c r="B82">
        <v>0.45414881516587668</v>
      </c>
      <c r="C82">
        <f t="shared" si="3"/>
        <v>1.0045414881516588</v>
      </c>
      <c r="D82">
        <f t="shared" si="2"/>
        <v>1.5400013107119881</v>
      </c>
    </row>
    <row r="83" spans="1:4" hidden="1">
      <c r="A83" s="4">
        <v>46082</v>
      </c>
      <c r="B83">
        <v>0.68810426540284353</v>
      </c>
      <c r="C83">
        <f t="shared" si="3"/>
        <v>1.0068810426540284</v>
      </c>
      <c r="D83">
        <f t="shared" si="2"/>
        <v>1.550598125418257</v>
      </c>
    </row>
    <row r="84" spans="1:4" hidden="1">
      <c r="A84" s="4">
        <v>46113</v>
      </c>
      <c r="B84">
        <v>0.77067677725118466</v>
      </c>
      <c r="C84">
        <f t="shared" si="3"/>
        <v>1.0077067677725118</v>
      </c>
      <c r="D84">
        <f t="shared" si="2"/>
        <v>1.5625482250793477</v>
      </c>
    </row>
    <row r="85" spans="1:4" hidden="1">
      <c r="A85" s="4">
        <v>46143</v>
      </c>
      <c r="B85">
        <v>0.3578142180094786</v>
      </c>
      <c r="C85">
        <f t="shared" si="3"/>
        <v>1.0035781421800949</v>
      </c>
      <c r="D85">
        <f t="shared" si="2"/>
        <v>1.5681392447919364</v>
      </c>
    </row>
    <row r="86" spans="1:4">
      <c r="A86" s="4">
        <v>46174</v>
      </c>
      <c r="B86">
        <v>0.33029004739336487</v>
      </c>
      <c r="C86">
        <f t="shared" si="3"/>
        <v>1.0033029004739336</v>
      </c>
      <c r="D86">
        <f t="shared" si="2"/>
        <v>1.5733186526467535</v>
      </c>
    </row>
    <row r="87" spans="1:4" hidden="1">
      <c r="A87" s="4">
        <v>46204</v>
      </c>
      <c r="B87">
        <v>0.30276587677725114</v>
      </c>
      <c r="C87">
        <f t="shared" si="3"/>
        <v>1.0030276587677724</v>
      </c>
      <c r="D87">
        <f t="shared" si="2"/>
        <v>1.5780821246599395</v>
      </c>
    </row>
    <row r="88" spans="1:4" hidden="1">
      <c r="A88" s="4">
        <v>46235</v>
      </c>
      <c r="B88">
        <v>0.15138293838862557</v>
      </c>
      <c r="C88">
        <f t="shared" si="3"/>
        <v>1.0015138293838863</v>
      </c>
      <c r="D88">
        <f t="shared" si="2"/>
        <v>1.5804710717504356</v>
      </c>
    </row>
    <row r="89" spans="1:4" hidden="1">
      <c r="A89" s="4">
        <v>46266</v>
      </c>
      <c r="B89">
        <v>8.2572511848341218E-2</v>
      </c>
      <c r="C89">
        <f t="shared" si="3"/>
        <v>1.0008257251184833</v>
      </c>
      <c r="D89">
        <f t="shared" si="2"/>
        <v>1.5817761064134161</v>
      </c>
    </row>
    <row r="90" spans="1:4" hidden="1">
      <c r="A90" s="4">
        <v>46296</v>
      </c>
      <c r="B90">
        <v>0.11009668246445496</v>
      </c>
      <c r="C90">
        <f t="shared" si="3"/>
        <v>1.0011009668246444</v>
      </c>
      <c r="D90">
        <f t="shared" si="2"/>
        <v>1.5835175894305926</v>
      </c>
    </row>
    <row r="91" spans="1:4" hidden="1">
      <c r="A91" s="4">
        <v>46327</v>
      </c>
      <c r="B91">
        <v>0.65048222748815143</v>
      </c>
      <c r="C91">
        <f t="shared" si="3"/>
        <v>1.0065048222748816</v>
      </c>
      <c r="D91">
        <f t="shared" si="2"/>
        <v>1.5938180899189875</v>
      </c>
    </row>
    <row r="92" spans="1:4" hidden="1">
      <c r="A92" s="4">
        <v>46357</v>
      </c>
      <c r="B92">
        <v>1.3424845971563977</v>
      </c>
      <c r="C92">
        <f t="shared" si="3"/>
        <v>1.013424845971564</v>
      </c>
      <c r="D92">
        <f t="shared" si="2"/>
        <v>1.6152148522828422</v>
      </c>
    </row>
    <row r="93" spans="1:4" hidden="1">
      <c r="A93" s="4">
        <v>46388</v>
      </c>
      <c r="B93">
        <v>0.5812819905213269</v>
      </c>
      <c r="C93">
        <f t="shared" si="3"/>
        <v>1.0058128199052132</v>
      </c>
      <c r="D93">
        <f t="shared" si="2"/>
        <v>1.6246038053273879</v>
      </c>
    </row>
    <row r="94" spans="1:4" hidden="1">
      <c r="A94" s="4">
        <v>46419</v>
      </c>
      <c r="B94">
        <v>0.45672156398104258</v>
      </c>
      <c r="C94">
        <f t="shared" si="3"/>
        <v>1.0045672156398104</v>
      </c>
      <c r="D94">
        <f t="shared" si="2"/>
        <v>1.6320237212355746</v>
      </c>
    </row>
    <row r="95" spans="1:4" hidden="1">
      <c r="A95" s="4">
        <v>46447</v>
      </c>
      <c r="B95">
        <v>0.69200236966824635</v>
      </c>
      <c r="C95">
        <f t="shared" si="3"/>
        <v>1.0069200236966824</v>
      </c>
      <c r="D95">
        <f t="shared" si="2"/>
        <v>1.6433173640600727</v>
      </c>
    </row>
    <row r="96" spans="1:4" hidden="1">
      <c r="A96" s="4">
        <v>46478</v>
      </c>
      <c r="B96">
        <v>0.77504265402843586</v>
      </c>
      <c r="C96">
        <f t="shared" si="3"/>
        <v>1.0077504265402843</v>
      </c>
      <c r="D96">
        <f t="shared" si="2"/>
        <v>1.6560537745725941</v>
      </c>
    </row>
    <row r="97" spans="1:4" hidden="1">
      <c r="A97" s="4">
        <v>46508</v>
      </c>
      <c r="B97">
        <v>0.35984123222748809</v>
      </c>
      <c r="C97">
        <f t="shared" si="3"/>
        <v>1.003598412322275</v>
      </c>
      <c r="D97">
        <f t="shared" si="2"/>
        <v>1.662012938881366</v>
      </c>
    </row>
    <row r="98" spans="1:4">
      <c r="A98" s="4">
        <v>46539</v>
      </c>
      <c r="B98">
        <v>0.3321611374407582</v>
      </c>
      <c r="C98">
        <f t="shared" si="3"/>
        <v>1.0033216113744077</v>
      </c>
      <c r="D98">
        <f t="shared" si="2"/>
        <v>1.6675334999635671</v>
      </c>
    </row>
    <row r="99" spans="1:4" hidden="1">
      <c r="A99" s="4">
        <v>46569</v>
      </c>
      <c r="B99">
        <v>0.30448104265402837</v>
      </c>
      <c r="C99">
        <f t="shared" si="3"/>
        <v>1.0030448104265404</v>
      </c>
      <c r="D99">
        <f t="shared" si="2"/>
        <v>1.6726108233508616</v>
      </c>
    </row>
    <row r="100" spans="1:4" hidden="1">
      <c r="A100" s="4">
        <v>46600</v>
      </c>
      <c r="B100">
        <v>0.15224052132701418</v>
      </c>
      <c r="C100">
        <f t="shared" si="3"/>
        <v>1.0015224052132701</v>
      </c>
      <c r="D100">
        <f t="shared" si="2"/>
        <v>1.6751572147881029</v>
      </c>
    </row>
    <row r="101" spans="1:4" hidden="1">
      <c r="A101" s="4">
        <v>46631</v>
      </c>
      <c r="B101">
        <v>8.3040284360189551E-2</v>
      </c>
      <c r="C101">
        <f t="shared" si="3"/>
        <v>1.0008304028436019</v>
      </c>
      <c r="D101">
        <f t="shared" si="2"/>
        <v>1.6765482701027432</v>
      </c>
    </row>
    <row r="102" spans="1:4" hidden="1">
      <c r="A102" s="4">
        <v>46661</v>
      </c>
      <c r="B102">
        <v>0.11072037914691941</v>
      </c>
      <c r="C102">
        <f t="shared" si="3"/>
        <v>1.0011072037914692</v>
      </c>
      <c r="D102">
        <f t="shared" si="2"/>
        <v>1.6784045507039822</v>
      </c>
    </row>
    <row r="103" spans="1:4" hidden="1">
      <c r="A103" s="4">
        <v>46692</v>
      </c>
      <c r="B103">
        <v>0.65446943127962065</v>
      </c>
      <c r="C103">
        <f t="shared" si="3"/>
        <v>1.0065446943127963</v>
      </c>
      <c r="D103">
        <f t="shared" si="2"/>
        <v>1.6893891954215459</v>
      </c>
    </row>
    <row r="104" spans="1:4" hidden="1">
      <c r="A104" s="4">
        <v>46722</v>
      </c>
      <c r="B104">
        <v>1.3507135071090044</v>
      </c>
      <c r="C104">
        <f t="shared" si="3"/>
        <v>1.01350713507109</v>
      </c>
      <c r="D104">
        <f t="shared" si="2"/>
        <v>1.7122080034717448</v>
      </c>
    </row>
    <row r="105" spans="1:4" hidden="1">
      <c r="A105" s="4">
        <v>46753</v>
      </c>
      <c r="B105">
        <v>0.58484502369668234</v>
      </c>
      <c r="C105">
        <f t="shared" si="3"/>
        <v>1.0058484502369669</v>
      </c>
      <c r="D105">
        <f t="shared" si="2"/>
        <v>1.7222217667753859</v>
      </c>
    </row>
    <row r="106" spans="1:4" hidden="1">
      <c r="A106" s="4">
        <v>46784</v>
      </c>
      <c r="B106">
        <v>0.45952109004739328</v>
      </c>
      <c r="C106">
        <f t="shared" si="3"/>
        <v>1.0045952109004739</v>
      </c>
      <c r="D106">
        <f t="shared" si="2"/>
        <v>1.7301357390111054</v>
      </c>
    </row>
    <row r="107" spans="1:4" hidden="1">
      <c r="A107" s="4">
        <v>46813</v>
      </c>
      <c r="B107">
        <v>0.69624407582938375</v>
      </c>
      <c r="C107">
        <f t="shared" si="3"/>
        <v>1.0069624407582938</v>
      </c>
      <c r="D107">
        <f t="shared" si="2"/>
        <v>1.7421817065977769</v>
      </c>
    </row>
    <row r="108" spans="1:4" hidden="1">
      <c r="A108" s="4">
        <v>46844</v>
      </c>
      <c r="B108">
        <v>0.77979336492890983</v>
      </c>
      <c r="C108">
        <f t="shared" si="3"/>
        <v>1.007797933649289</v>
      </c>
      <c r="D108">
        <f t="shared" si="2"/>
        <v>1.7557671239508315</v>
      </c>
    </row>
    <row r="109" spans="1:4" hidden="1">
      <c r="A109" s="4">
        <v>46874</v>
      </c>
      <c r="B109">
        <v>0.36204691943127953</v>
      </c>
      <c r="C109">
        <f t="shared" si="3"/>
        <v>1.0036204691943127</v>
      </c>
      <c r="D109">
        <f t="shared" si="2"/>
        <v>1.7621238247354825</v>
      </c>
    </row>
    <row r="110" spans="1:4">
      <c r="A110" s="4">
        <v>46905</v>
      </c>
      <c r="B110">
        <v>0.33419715639810421</v>
      </c>
      <c r="C110">
        <f t="shared" si="3"/>
        <v>1.0033419715639811</v>
      </c>
      <c r="D110">
        <f t="shared" si="2"/>
        <v>1.768012792449962</v>
      </c>
    </row>
    <row r="111" spans="1:4" hidden="1">
      <c r="A111" s="4">
        <v>46935</v>
      </c>
      <c r="B111">
        <v>0.30634739336492883</v>
      </c>
      <c r="C111">
        <f t="shared" si="3"/>
        <v>1.0030634739336493</v>
      </c>
      <c r="D111">
        <f t="shared" si="2"/>
        <v>1.7734290535539909</v>
      </c>
    </row>
    <row r="112" spans="1:4" hidden="1">
      <c r="A112" s="4">
        <v>46966</v>
      </c>
      <c r="B112">
        <v>0.15317369668246442</v>
      </c>
      <c r="C112">
        <f t="shared" si="3"/>
        <v>1.0015317369668246</v>
      </c>
      <c r="D112">
        <f t="shared" si="2"/>
        <v>1.7761454803933605</v>
      </c>
    </row>
    <row r="113" spans="1:4" hidden="1">
      <c r="A113" s="4">
        <v>46997</v>
      </c>
      <c r="B113">
        <v>8.3549289099526053E-2</v>
      </c>
      <c r="C113">
        <f t="shared" si="3"/>
        <v>1.0008354928909953</v>
      </c>
      <c r="D113">
        <f t="shared" si="2"/>
        <v>1.7776294373156025</v>
      </c>
    </row>
    <row r="114" spans="1:4" hidden="1">
      <c r="A114" s="4">
        <v>47027</v>
      </c>
      <c r="B114">
        <v>0.1113990521327014</v>
      </c>
      <c r="C114">
        <f t="shared" si="3"/>
        <v>1.0011139905213271</v>
      </c>
      <c r="D114">
        <f t="shared" si="2"/>
        <v>1.7796096996592041</v>
      </c>
    </row>
    <row r="115" spans="1:4" hidden="1">
      <c r="A115" s="4">
        <v>47058</v>
      </c>
      <c r="B115">
        <v>0.65791090047393341</v>
      </c>
      <c r="C115">
        <f t="shared" si="3"/>
        <v>1.0065791090047393</v>
      </c>
      <c r="D115">
        <f t="shared" si="2"/>
        <v>1.7913179458591535</v>
      </c>
    </row>
    <row r="116" spans="1:4" hidden="1">
      <c r="A116" s="4">
        <v>47088</v>
      </c>
      <c r="B116">
        <v>1.3578161137440754</v>
      </c>
      <c r="C116">
        <f t="shared" si="3"/>
        <v>1.0135781611374408</v>
      </c>
      <c r="D116">
        <f t="shared" si="2"/>
        <v>1.8156407495764186</v>
      </c>
    </row>
    <row r="117" spans="1:4" hidden="1">
      <c r="A117" s="4">
        <v>47119</v>
      </c>
      <c r="B117">
        <v>0.5879203791469193</v>
      </c>
      <c r="C117">
        <f t="shared" si="3"/>
        <v>1.0058792037914692</v>
      </c>
      <c r="D117">
        <f t="shared" si="2"/>
        <v>1.8263152715552744</v>
      </c>
    </row>
    <row r="118" spans="1:4" hidden="1">
      <c r="A118" s="4">
        <v>47150</v>
      </c>
      <c r="B118">
        <v>0.46193744075829374</v>
      </c>
      <c r="C118">
        <f t="shared" si="3"/>
        <v>1.0046193744075829</v>
      </c>
      <c r="D118">
        <f t="shared" si="2"/>
        <v>1.8347517055808746</v>
      </c>
    </row>
    <row r="119" spans="1:4" hidden="1">
      <c r="A119" s="4">
        <v>47178</v>
      </c>
      <c r="B119">
        <v>0.6999052132701421</v>
      </c>
      <c r="C119">
        <f t="shared" si="3"/>
        <v>1.0069990521327015</v>
      </c>
      <c r="D119">
        <f t="shared" si="2"/>
        <v>1.8475932284187981</v>
      </c>
    </row>
    <row r="120" spans="1:4" hidden="1">
      <c r="A120" s="4">
        <v>47209</v>
      </c>
      <c r="B120">
        <v>0.78389383886255903</v>
      </c>
      <c r="C120">
        <f t="shared" si="3"/>
        <v>1.0078389383886255</v>
      </c>
      <c r="D120">
        <f t="shared" si="2"/>
        <v>1.8620763979036148</v>
      </c>
    </row>
    <row r="121" spans="1:4" hidden="1">
      <c r="A121" s="4">
        <v>47239</v>
      </c>
      <c r="B121">
        <v>0.36395071090047387</v>
      </c>
      <c r="C121">
        <f t="shared" si="3"/>
        <v>1.0036395071090047</v>
      </c>
      <c r="D121">
        <f t="shared" si="2"/>
        <v>1.8688534381912949</v>
      </c>
    </row>
    <row r="122" spans="1:4">
      <c r="A122" s="4">
        <v>47270</v>
      </c>
      <c r="B122">
        <v>0.33595450236966817</v>
      </c>
      <c r="C122">
        <f t="shared" si="3"/>
        <v>1.0033595450236967</v>
      </c>
      <c r="D122">
        <f t="shared" si="2"/>
        <v>1.875131935459589</v>
      </c>
    </row>
    <row r="123" spans="1:4" hidden="1">
      <c r="A123" s="4">
        <v>47300</v>
      </c>
      <c r="B123">
        <v>0.30795829383886247</v>
      </c>
      <c r="C123">
        <f t="shared" si="3"/>
        <v>1.0030795829383887</v>
      </c>
      <c r="D123">
        <f t="shared" si="2"/>
        <v>1.8809065597752581</v>
      </c>
    </row>
    <row r="124" spans="1:4" hidden="1">
      <c r="A124" s="4">
        <v>47331</v>
      </c>
      <c r="B124">
        <v>0.15397914691943124</v>
      </c>
      <c r="C124">
        <f t="shared" si="3"/>
        <v>1.0015397914691944</v>
      </c>
      <c r="D124">
        <f t="shared" si="2"/>
        <v>1.8838027636503518</v>
      </c>
    </row>
    <row r="125" spans="1:4" hidden="1">
      <c r="A125" s="4">
        <v>47362</v>
      </c>
      <c r="B125">
        <v>8.3988625592417043E-2</v>
      </c>
      <c r="C125">
        <f t="shared" si="3"/>
        <v>1.0008398862559242</v>
      </c>
      <c r="D125">
        <f t="shared" si="2"/>
        <v>1.8853849437004138</v>
      </c>
    </row>
    <row r="126" spans="1:4" hidden="1">
      <c r="A126" s="4">
        <v>47392</v>
      </c>
      <c r="B126">
        <v>0.11198483412322273</v>
      </c>
      <c r="C126">
        <f t="shared" si="3"/>
        <v>1.0011198483412322</v>
      </c>
      <c r="D126">
        <f t="shared" si="2"/>
        <v>1.8874962889022009</v>
      </c>
    </row>
    <row r="127" spans="1:4" hidden="1">
      <c r="A127" s="4">
        <v>47423</v>
      </c>
      <c r="B127">
        <v>0.66068412322274861</v>
      </c>
      <c r="C127">
        <f t="shared" si="3"/>
        <v>1.0066068412322275</v>
      </c>
      <c r="D127">
        <f t="shared" si="2"/>
        <v>1.8999666772093964</v>
      </c>
    </row>
    <row r="128" spans="1:4" hidden="1">
      <c r="A128" s="4">
        <v>47453</v>
      </c>
      <c r="B128">
        <v>1.3635395734597153</v>
      </c>
      <c r="C128">
        <f t="shared" si="3"/>
        <v>1.0136353957345972</v>
      </c>
      <c r="D128">
        <f t="shared" si="2"/>
        <v>1.925873474735694</v>
      </c>
    </row>
    <row r="129" spans="1:4" hidden="1">
      <c r="A129" s="4">
        <v>47484</v>
      </c>
      <c r="B129">
        <v>0.59039857819905206</v>
      </c>
      <c r="C129">
        <f t="shared" si="3"/>
        <v>1.0059039857819905</v>
      </c>
      <c r="D129">
        <f t="shared" si="2"/>
        <v>1.9372438043484461</v>
      </c>
    </row>
    <row r="130" spans="1:4" hidden="1">
      <c r="A130" s="4">
        <v>47515</v>
      </c>
      <c r="B130">
        <v>0.46388459715639807</v>
      </c>
      <c r="C130">
        <f t="shared" si="3"/>
        <v>1.0046388459715641</v>
      </c>
      <c r="D130">
        <f t="shared" si="2"/>
        <v>1.9462303799661853</v>
      </c>
    </row>
    <row r="131" spans="1:4" hidden="1">
      <c r="A131" s="4">
        <v>47543</v>
      </c>
      <c r="B131">
        <v>0.70285545023696683</v>
      </c>
      <c r="C131">
        <f t="shared" si="3"/>
        <v>1.0070285545023696</v>
      </c>
      <c r="D131">
        <f t="shared" si="2"/>
        <v>1.9599095662659451</v>
      </c>
    </row>
    <row r="132" spans="1:4" hidden="1">
      <c r="A132" s="4">
        <v>47574</v>
      </c>
      <c r="B132">
        <v>0.78719810426540271</v>
      </c>
      <c r="C132">
        <f t="shared" si="3"/>
        <v>1.007871981042654</v>
      </c>
      <c r="D132">
        <f t="shared" ref="D132:D195" si="4">C132*D131</f>
        <v>1.9753379372169069</v>
      </c>
    </row>
    <row r="133" spans="1:4" hidden="1">
      <c r="A133" s="4">
        <v>47604</v>
      </c>
      <c r="B133">
        <v>0.36548483412322269</v>
      </c>
      <c r="C133">
        <f t="shared" ref="C133:C195" si="5">1+B133/100</f>
        <v>1.0036548483412322</v>
      </c>
      <c r="D133">
        <f t="shared" si="4"/>
        <v>1.982557497800117</v>
      </c>
    </row>
    <row r="134" spans="1:4">
      <c r="A134" s="4">
        <v>47635</v>
      </c>
      <c r="B134">
        <v>0.33737061611374403</v>
      </c>
      <c r="C134">
        <f t="shared" si="5"/>
        <v>1.0033737061611374</v>
      </c>
      <c r="D134">
        <f t="shared" si="4"/>
        <v>1.9892460642452545</v>
      </c>
    </row>
    <row r="135" spans="1:4" hidden="1">
      <c r="A135" s="4">
        <v>47665</v>
      </c>
      <c r="B135">
        <v>0.30925639810426536</v>
      </c>
      <c r="C135">
        <f t="shared" si="5"/>
        <v>1.0030925639810426</v>
      </c>
      <c r="D135">
        <f t="shared" si="4"/>
        <v>1.9953979349729702</v>
      </c>
    </row>
    <row r="136" spans="1:4" hidden="1">
      <c r="A136" s="4">
        <v>47696</v>
      </c>
      <c r="B136">
        <v>0.15462819905213268</v>
      </c>
      <c r="C136">
        <f t="shared" si="5"/>
        <v>1.0015462819905214</v>
      </c>
      <c r="D136">
        <f t="shared" si="4"/>
        <v>1.9984833828637425</v>
      </c>
    </row>
    <row r="137" spans="1:4" hidden="1">
      <c r="A137" s="4">
        <v>47727</v>
      </c>
      <c r="B137">
        <v>8.4342654028436007E-2</v>
      </c>
      <c r="C137">
        <f t="shared" si="5"/>
        <v>1.0008434265402844</v>
      </c>
      <c r="D137">
        <f t="shared" si="4"/>
        <v>2.000168956789167</v>
      </c>
    </row>
    <row r="138" spans="1:4" hidden="1">
      <c r="A138" s="4">
        <v>47757</v>
      </c>
      <c r="B138">
        <v>0.11245687203791468</v>
      </c>
      <c r="C138">
        <f t="shared" si="5"/>
        <v>1.0011245687203791</v>
      </c>
      <c r="D138">
        <f t="shared" si="4"/>
        <v>2.0024182842334453</v>
      </c>
    </row>
    <row r="139" spans="1:4" hidden="1">
      <c r="A139" s="4">
        <v>47788</v>
      </c>
      <c r="B139">
        <v>0.66295616113744049</v>
      </c>
      <c r="C139">
        <f t="shared" si="5"/>
        <v>1.0066295616113745</v>
      </c>
      <c r="D139">
        <f t="shared" si="4"/>
        <v>2.0156934396205135</v>
      </c>
    </row>
    <row r="140" spans="1:4" hidden="1">
      <c r="A140" s="4">
        <v>47818</v>
      </c>
      <c r="B140">
        <v>1.3682286729857818</v>
      </c>
      <c r="C140">
        <f t="shared" si="5"/>
        <v>1.0136822867298578</v>
      </c>
      <c r="D140">
        <f t="shared" si="4"/>
        <v>2.0432727352208948</v>
      </c>
    </row>
    <row r="141" spans="1:4" hidden="1">
      <c r="A141" s="4">
        <v>47849</v>
      </c>
      <c r="B141">
        <v>0.59242890995260655</v>
      </c>
      <c r="C141">
        <f t="shared" si="5"/>
        <v>1.0059242890995261</v>
      </c>
      <c r="D141">
        <f t="shared" si="4"/>
        <v>2.0553776736135227</v>
      </c>
    </row>
    <row r="142" spans="1:4" hidden="1">
      <c r="A142" s="4">
        <v>47880</v>
      </c>
      <c r="B142">
        <v>0.46547985781990514</v>
      </c>
      <c r="C142">
        <f t="shared" si="5"/>
        <v>1.0046547985781991</v>
      </c>
      <c r="D142">
        <f t="shared" si="4"/>
        <v>2.064945042686321</v>
      </c>
    </row>
    <row r="143" spans="1:4" hidden="1">
      <c r="A143" s="4">
        <v>47908</v>
      </c>
      <c r="B143">
        <v>0.70527251184834117</v>
      </c>
      <c r="C143">
        <f t="shared" si="5"/>
        <v>1.0070527251184833</v>
      </c>
      <c r="D143">
        <f t="shared" si="4"/>
        <v>2.0795085324571625</v>
      </c>
    </row>
    <row r="144" spans="1:4" hidden="1">
      <c r="A144" s="4">
        <v>47939</v>
      </c>
      <c r="B144">
        <v>0.78990521327014207</v>
      </c>
      <c r="C144">
        <f t="shared" si="5"/>
        <v>1.0078990521327014</v>
      </c>
      <c r="D144">
        <f t="shared" si="4"/>
        <v>2.0959346787654392</v>
      </c>
    </row>
    <row r="145" spans="1:4" hidden="1">
      <c r="A145" s="4">
        <v>47969</v>
      </c>
      <c r="B145">
        <v>0.36674170616113738</v>
      </c>
      <c r="C145">
        <f t="shared" si="5"/>
        <v>1.0036674170616113</v>
      </c>
      <c r="D145">
        <f t="shared" si="4"/>
        <v>2.1036213453663666</v>
      </c>
    </row>
    <row r="146" spans="1:4">
      <c r="A146" s="4">
        <v>48000</v>
      </c>
      <c r="B146">
        <v>0.33853080568720373</v>
      </c>
      <c r="C146">
        <f t="shared" si="5"/>
        <v>1.003385308056872</v>
      </c>
      <c r="D146">
        <f t="shared" si="4"/>
        <v>2.1107427516554433</v>
      </c>
    </row>
    <row r="147" spans="1:4" hidden="1">
      <c r="A147" s="4">
        <v>48030</v>
      </c>
      <c r="B147">
        <v>0.31031990521327008</v>
      </c>
      <c r="C147">
        <f t="shared" si="5"/>
        <v>1.0031031990521326</v>
      </c>
      <c r="D147">
        <f t="shared" si="4"/>
        <v>2.1172928065616765</v>
      </c>
    </row>
    <row r="148" spans="1:4" hidden="1">
      <c r="A148" s="4">
        <v>48061</v>
      </c>
      <c r="B148">
        <v>0.15515995260663504</v>
      </c>
      <c r="C148">
        <f t="shared" si="5"/>
        <v>1.0015515995260664</v>
      </c>
      <c r="D148">
        <f t="shared" si="4"/>
        <v>2.1205779970768814</v>
      </c>
    </row>
    <row r="149" spans="1:4" hidden="1">
      <c r="A149" s="4">
        <v>48092</v>
      </c>
      <c r="B149">
        <v>8.4632701421800932E-2</v>
      </c>
      <c r="C149">
        <f t="shared" si="5"/>
        <v>1.0008463270142181</v>
      </c>
      <c r="D149">
        <f t="shared" si="4"/>
        <v>2.1223726995215642</v>
      </c>
    </row>
    <row r="150" spans="1:4" hidden="1">
      <c r="A150" s="4">
        <v>48122</v>
      </c>
      <c r="B150">
        <v>0.11315639810426539</v>
      </c>
      <c r="C150">
        <f t="shared" si="5"/>
        <v>1.0011315639810427</v>
      </c>
      <c r="D150">
        <f t="shared" si="4"/>
        <v>2.1247743000226911</v>
      </c>
    </row>
    <row r="151" spans="1:4" hidden="1">
      <c r="A151" s="4">
        <v>48153</v>
      </c>
      <c r="B151">
        <v>0.66479383886255905</v>
      </c>
      <c r="C151">
        <f t="shared" si="5"/>
        <v>1.0066479383886255</v>
      </c>
      <c r="D151">
        <f t="shared" si="4"/>
        <v>2.138899668658977</v>
      </c>
    </row>
    <row r="152" spans="1:4" hidden="1">
      <c r="A152" s="4">
        <v>48183</v>
      </c>
      <c r="B152">
        <v>1.3720213270142179</v>
      </c>
      <c r="C152">
        <f t="shared" si="5"/>
        <v>1.0137202132701422</v>
      </c>
      <c r="D152">
        <f t="shared" si="4"/>
        <v>2.1682458282764143</v>
      </c>
    </row>
    <row r="153" spans="1:4" hidden="1">
      <c r="A153" s="4">
        <v>48214</v>
      </c>
      <c r="B153">
        <v>0.59407109004739334</v>
      </c>
      <c r="C153">
        <f t="shared" si="5"/>
        <v>1.0059407109004739</v>
      </c>
      <c r="D153">
        <f t="shared" si="4"/>
        <v>2.1811267499033629</v>
      </c>
    </row>
    <row r="154" spans="1:4" hidden="1">
      <c r="A154" s="4">
        <v>48245</v>
      </c>
      <c r="B154">
        <v>0.46677014218009472</v>
      </c>
      <c r="C154">
        <f t="shared" si="5"/>
        <v>1.0046677014218008</v>
      </c>
      <c r="D154">
        <f t="shared" si="4"/>
        <v>2.1913075983350145</v>
      </c>
    </row>
    <row r="155" spans="1:4" hidden="1">
      <c r="A155" s="4">
        <v>48274</v>
      </c>
      <c r="B155">
        <v>0.7072274881516587</v>
      </c>
      <c r="C155">
        <f t="shared" si="5"/>
        <v>1.0070722748815166</v>
      </c>
      <c r="D155">
        <f t="shared" si="4"/>
        <v>2.2068051280203957</v>
      </c>
    </row>
    <row r="156" spans="1:4" hidden="1">
      <c r="A156" s="4">
        <v>48305</v>
      </c>
      <c r="B156">
        <v>0.79209478672985778</v>
      </c>
      <c r="C156">
        <f t="shared" si="5"/>
        <v>1.0079209478672986</v>
      </c>
      <c r="D156">
        <f t="shared" si="4"/>
        <v>2.2242851163927324</v>
      </c>
    </row>
    <row r="157" spans="1:4" hidden="1">
      <c r="A157" s="4">
        <v>48335</v>
      </c>
      <c r="B157">
        <v>0.36775829383886255</v>
      </c>
      <c r="C157">
        <f t="shared" si="5"/>
        <v>1.0036775829383886</v>
      </c>
      <c r="D157">
        <f t="shared" si="4"/>
        <v>2.2324651093868901</v>
      </c>
    </row>
    <row r="158" spans="1:4">
      <c r="A158" s="4">
        <v>48366</v>
      </c>
      <c r="B158">
        <v>0.33946919431279615</v>
      </c>
      <c r="C158">
        <f t="shared" si="5"/>
        <v>1.003394691943128</v>
      </c>
      <c r="D158">
        <f t="shared" si="4"/>
        <v>2.2400436407070403</v>
      </c>
    </row>
    <row r="159" spans="1:4" hidden="1">
      <c r="A159" s="4">
        <v>48396</v>
      </c>
      <c r="B159">
        <v>0.31118009478672981</v>
      </c>
      <c r="C159">
        <f t="shared" si="5"/>
        <v>1.0031118009478672</v>
      </c>
      <c r="D159">
        <f t="shared" si="4"/>
        <v>2.2470142106314563</v>
      </c>
    </row>
    <row r="160" spans="1:4" hidden="1">
      <c r="A160" s="4">
        <v>48427</v>
      </c>
      <c r="B160">
        <v>0.15559004739336491</v>
      </c>
      <c r="C160">
        <f t="shared" si="5"/>
        <v>1.0015559004739336</v>
      </c>
      <c r="D160">
        <f t="shared" si="4"/>
        <v>2.2505103411067133</v>
      </c>
    </row>
    <row r="161" spans="1:4" hidden="1">
      <c r="A161" s="4">
        <v>48458</v>
      </c>
      <c r="B161">
        <v>8.4867298578199038E-2</v>
      </c>
      <c r="C161">
        <f t="shared" si="5"/>
        <v>1.000848672985782</v>
      </c>
      <c r="D161">
        <f t="shared" si="4"/>
        <v>2.2524202884374334</v>
      </c>
    </row>
    <row r="162" spans="1:4" hidden="1">
      <c r="A162" s="4">
        <v>48488</v>
      </c>
      <c r="B162">
        <v>0.11341207582938387</v>
      </c>
      <c r="C162">
        <f t="shared" si="5"/>
        <v>1.0011341207582938</v>
      </c>
      <c r="D162">
        <f t="shared" si="4"/>
        <v>2.2549748050429521</v>
      </c>
    </row>
    <row r="163" spans="1:4" hidden="1">
      <c r="A163" s="4">
        <v>48519</v>
      </c>
      <c r="B163">
        <v>0.66629594549763016</v>
      </c>
      <c r="C163">
        <f t="shared" si="5"/>
        <v>1.0066629594549763</v>
      </c>
      <c r="D163">
        <f t="shared" si="4"/>
        <v>2.2699996107409466</v>
      </c>
    </row>
    <row r="164" spans="1:4" hidden="1">
      <c r="A164" s="4">
        <v>48549</v>
      </c>
      <c r="B164">
        <v>1.3751214194312793</v>
      </c>
      <c r="C164">
        <f t="shared" si="5"/>
        <v>1.0137512141943128</v>
      </c>
      <c r="D164">
        <f t="shared" si="4"/>
        <v>2.3012148616092518</v>
      </c>
    </row>
    <row r="165" spans="1:4" hidden="1">
      <c r="A165" s="4">
        <v>48580</v>
      </c>
      <c r="B165">
        <v>0.5954133981042653</v>
      </c>
      <c r="C165">
        <f t="shared" si="5"/>
        <v>1.0059541339810427</v>
      </c>
      <c r="D165">
        <f t="shared" si="4"/>
        <v>2.3149166032144399</v>
      </c>
    </row>
    <row r="166" spans="1:4" hidden="1">
      <c r="A166" s="4">
        <v>48611</v>
      </c>
      <c r="B166">
        <v>0.46782481279620847</v>
      </c>
      <c r="C166">
        <f t="shared" si="5"/>
        <v>1.0046782481279621</v>
      </c>
      <c r="D166">
        <f t="shared" si="4"/>
        <v>2.3257463574798165</v>
      </c>
    </row>
    <row r="167" spans="1:4" hidden="1">
      <c r="A167" s="4">
        <v>48639</v>
      </c>
      <c r="B167">
        <v>0.70882547393364925</v>
      </c>
      <c r="C167">
        <f t="shared" si="5"/>
        <v>1.0070882547393365</v>
      </c>
      <c r="D167">
        <f t="shared" si="4"/>
        <v>2.3422318401207174</v>
      </c>
    </row>
    <row r="168" spans="1:4" hidden="1">
      <c r="A168" s="4">
        <v>48670</v>
      </c>
      <c r="B168">
        <v>0.79388453080568711</v>
      </c>
      <c r="C168">
        <f t="shared" si="5"/>
        <v>1.0079388453080569</v>
      </c>
      <c r="D168">
        <f t="shared" si="4"/>
        <v>2.3608264563750412</v>
      </c>
    </row>
    <row r="169" spans="1:4" hidden="1">
      <c r="A169" s="4">
        <v>48700</v>
      </c>
      <c r="B169">
        <v>0.36858924644549756</v>
      </c>
      <c r="C169">
        <f t="shared" si="5"/>
        <v>1.0036858924644549</v>
      </c>
      <c r="D169">
        <f t="shared" si="4"/>
        <v>2.3695282088204799</v>
      </c>
    </row>
    <row r="170" spans="1:4">
      <c r="A170" s="4">
        <v>48731</v>
      </c>
      <c r="B170">
        <v>0.34023622748815158</v>
      </c>
      <c r="C170">
        <f t="shared" si="5"/>
        <v>1.0034023622748816</v>
      </c>
      <c r="D170">
        <f t="shared" si="4"/>
        <v>2.3775902022074384</v>
      </c>
    </row>
    <row r="171" spans="1:4" hidden="1">
      <c r="A171" s="4">
        <v>48761</v>
      </c>
      <c r="B171">
        <v>0.31188320853080564</v>
      </c>
      <c r="C171">
        <f t="shared" si="5"/>
        <v>1.0031188320853082</v>
      </c>
      <c r="D171">
        <f t="shared" si="4"/>
        <v>2.3850055068157974</v>
      </c>
    </row>
    <row r="172" spans="1:4" hidden="1">
      <c r="A172" s="4">
        <v>48792</v>
      </c>
      <c r="B172">
        <v>0.15594160426540282</v>
      </c>
      <c r="C172">
        <f t="shared" si="5"/>
        <v>1.001559416042654</v>
      </c>
      <c r="D172">
        <f t="shared" si="4"/>
        <v>2.3887247226649442</v>
      </c>
    </row>
    <row r="173" spans="1:4" hidden="1">
      <c r="A173" s="4">
        <v>48823</v>
      </c>
      <c r="B173">
        <v>8.5059056872037894E-2</v>
      </c>
      <c r="C173">
        <f t="shared" si="5"/>
        <v>1.0008505905687204</v>
      </c>
      <c r="D173">
        <f t="shared" si="4"/>
        <v>2.390756549385312</v>
      </c>
    </row>
    <row r="174" spans="1:4" hidden="1">
      <c r="A174" s="4">
        <v>48853</v>
      </c>
      <c r="B174">
        <v>0.11362790521327013</v>
      </c>
      <c r="C174">
        <f t="shared" si="5"/>
        <v>1.0011362790521328</v>
      </c>
      <c r="D174">
        <f t="shared" si="4"/>
        <v>2.3934731159711276</v>
      </c>
    </row>
    <row r="175" spans="1:4" hidden="1">
      <c r="A175" s="4">
        <v>48884</v>
      </c>
      <c r="B175">
        <v>0.66756394312796186</v>
      </c>
      <c r="C175">
        <f t="shared" si="5"/>
        <v>1.0066756394312797</v>
      </c>
      <c r="D175">
        <f t="shared" si="4"/>
        <v>2.4094510794818125</v>
      </c>
    </row>
    <row r="176" spans="1:4" hidden="1">
      <c r="A176" s="4">
        <v>48914</v>
      </c>
      <c r="B176">
        <v>1.3777383507109002</v>
      </c>
      <c r="C176">
        <f t="shared" si="5"/>
        <v>1.0137773835071091</v>
      </c>
      <c r="D176">
        <f t="shared" si="4"/>
        <v>2.4426470110454512</v>
      </c>
    </row>
    <row r="177" spans="1:4" hidden="1">
      <c r="A177" s="4">
        <v>48945</v>
      </c>
      <c r="B177">
        <v>0.59654650236966811</v>
      </c>
      <c r="C177">
        <f t="shared" si="5"/>
        <v>1.0059654650236967</v>
      </c>
      <c r="D177">
        <f t="shared" si="4"/>
        <v>2.45721853635508</v>
      </c>
    </row>
    <row r="178" spans="1:4" hidden="1">
      <c r="A178" s="4">
        <v>48976</v>
      </c>
      <c r="B178">
        <v>0.46871510900473923</v>
      </c>
      <c r="C178">
        <f t="shared" si="5"/>
        <v>1.0046871510900475</v>
      </c>
      <c r="D178">
        <f t="shared" si="4"/>
        <v>2.4687358908962418</v>
      </c>
    </row>
    <row r="179" spans="1:4" hidden="1">
      <c r="A179" s="4">
        <v>49004</v>
      </c>
      <c r="B179">
        <v>0.71017440758293826</v>
      </c>
      <c r="C179">
        <f t="shared" si="5"/>
        <v>1.0071017440758294</v>
      </c>
      <c r="D179">
        <f t="shared" si="4"/>
        <v>2.4862682213842016</v>
      </c>
    </row>
    <row r="180" spans="1:4" hidden="1">
      <c r="A180" s="4">
        <v>49035</v>
      </c>
      <c r="B180">
        <v>0.79539533649289085</v>
      </c>
      <c r="C180">
        <f t="shared" si="5"/>
        <v>1.0079539533649289</v>
      </c>
      <c r="D180">
        <f t="shared" si="4"/>
        <v>2.506043882869796</v>
      </c>
    </row>
    <row r="181" spans="1:4" hidden="1">
      <c r="A181" s="4">
        <v>49065</v>
      </c>
      <c r="B181">
        <v>0.36929069194312786</v>
      </c>
      <c r="C181">
        <f t="shared" si="5"/>
        <v>1.0036929069194314</v>
      </c>
      <c r="D181">
        <f t="shared" si="4"/>
        <v>2.5152984696652445</v>
      </c>
    </row>
    <row r="182" spans="1:4">
      <c r="A182" s="4">
        <v>49096</v>
      </c>
      <c r="B182">
        <v>0.34088371563981035</v>
      </c>
      <c r="C182">
        <f t="shared" si="5"/>
        <v>1.0034088371563981</v>
      </c>
      <c r="D182">
        <f t="shared" si="4"/>
        <v>2.5238727125480707</v>
      </c>
    </row>
    <row r="183" spans="1:4" hidden="1">
      <c r="A183" s="4">
        <v>49126</v>
      </c>
      <c r="B183">
        <v>0.31247673933649284</v>
      </c>
      <c r="C183">
        <f t="shared" si="5"/>
        <v>1.003124767393365</v>
      </c>
      <c r="D183">
        <f t="shared" si="4"/>
        <v>2.5317592277052445</v>
      </c>
    </row>
    <row r="184" spans="1:4" hidden="1">
      <c r="A184" s="4">
        <v>49157</v>
      </c>
      <c r="B184">
        <v>0.15623836966824642</v>
      </c>
      <c r="C184">
        <f t="shared" si="5"/>
        <v>1.0015623836966825</v>
      </c>
      <c r="D184">
        <f t="shared" si="4"/>
        <v>2.5357148070465367</v>
      </c>
    </row>
    <row r="185" spans="1:4" hidden="1">
      <c r="A185" s="4">
        <v>49188</v>
      </c>
      <c r="B185">
        <v>8.5220928909952587E-2</v>
      </c>
      <c r="C185">
        <f t="shared" si="5"/>
        <v>1.0008522092890995</v>
      </c>
      <c r="D185">
        <f t="shared" si="4"/>
        <v>2.5378757667596088</v>
      </c>
    </row>
    <row r="186" spans="1:4" hidden="1">
      <c r="A186" s="4">
        <v>49218</v>
      </c>
      <c r="B186">
        <v>0.11381074881516587</v>
      </c>
      <c r="C186">
        <f t="shared" si="5"/>
        <v>1.0011381074881516</v>
      </c>
      <c r="D186">
        <f t="shared" si="4"/>
        <v>2.5407641421737561</v>
      </c>
    </row>
    <row r="187" spans="1:4" hidden="1">
      <c r="A187" s="4">
        <v>49249</v>
      </c>
      <c r="B187">
        <v>0.66863814928909937</v>
      </c>
      <c r="C187">
        <f t="shared" si="5"/>
        <v>1.006686381492891</v>
      </c>
      <c r="D187">
        <f t="shared" si="4"/>
        <v>2.5577526605117877</v>
      </c>
    </row>
    <row r="188" spans="1:4" hidden="1">
      <c r="A188" s="4">
        <v>49279</v>
      </c>
      <c r="B188">
        <v>1.3799553293838862</v>
      </c>
      <c r="C188">
        <f t="shared" si="5"/>
        <v>1.0137995532938389</v>
      </c>
      <c r="D188">
        <f t="shared" si="4"/>
        <v>2.5930485046629781</v>
      </c>
    </row>
    <row r="189" spans="1:4" hidden="1">
      <c r="A189" s="4">
        <v>49310</v>
      </c>
      <c r="B189">
        <v>0.59750643127962078</v>
      </c>
      <c r="C189">
        <f t="shared" si="5"/>
        <v>1.0059750643127963</v>
      </c>
      <c r="D189">
        <f t="shared" si="4"/>
        <v>2.6085421362445396</v>
      </c>
    </row>
    <row r="190" spans="1:4" hidden="1">
      <c r="A190" s="4">
        <v>49341</v>
      </c>
      <c r="B190">
        <v>0.4694693388625592</v>
      </c>
      <c r="C190">
        <f t="shared" si="5"/>
        <v>1.0046946933886256</v>
      </c>
      <c r="D190">
        <f t="shared" si="4"/>
        <v>2.6207884417655181</v>
      </c>
    </row>
    <row r="191" spans="1:4" hidden="1">
      <c r="A191" s="4">
        <v>49369</v>
      </c>
      <c r="B191">
        <v>0.71131718009478673</v>
      </c>
      <c r="C191">
        <f t="shared" si="5"/>
        <v>1.0071131718009478</v>
      </c>
      <c r="D191">
        <f t="shared" si="4"/>
        <v>2.6394305602057346</v>
      </c>
    </row>
    <row r="192" spans="1:4" hidden="1">
      <c r="A192" s="4">
        <v>49400</v>
      </c>
      <c r="B192">
        <v>0.79667524170616111</v>
      </c>
      <c r="C192">
        <f t="shared" si="5"/>
        <v>1.0079667524170617</v>
      </c>
      <c r="D192">
        <f t="shared" si="4"/>
        <v>2.6604582500009202</v>
      </c>
    </row>
    <row r="193" spans="1:4" hidden="1">
      <c r="A193" s="4">
        <v>49430</v>
      </c>
      <c r="B193">
        <v>0.36988493364928909</v>
      </c>
      <c r="C193">
        <f t="shared" si="5"/>
        <v>1.0036988493364929</v>
      </c>
      <c r="D193">
        <f t="shared" si="4"/>
        <v>2.670298884233703</v>
      </c>
    </row>
    <row r="194" spans="1:4">
      <c r="A194" s="4">
        <v>49461</v>
      </c>
      <c r="B194">
        <v>0.34143224644549758</v>
      </c>
      <c r="C194">
        <f t="shared" si="5"/>
        <v>1.0034143224644549</v>
      </c>
      <c r="D194">
        <f t="shared" si="4"/>
        <v>2.6794161457009511</v>
      </c>
    </row>
    <row r="195" spans="1:4" hidden="1">
      <c r="A195" s="4">
        <v>49491</v>
      </c>
      <c r="B195">
        <v>0.31297955924170612</v>
      </c>
      <c r="C195">
        <f t="shared" si="5"/>
        <v>1.003129795592417</v>
      </c>
      <c r="D195">
        <f t="shared" si="4"/>
        <v>2.6878021705440167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A3880-CE18-44B1-B6F6-D092A17C396B}">
  <dimension ref="A1:D241"/>
  <sheetViews>
    <sheetView workbookViewId="0">
      <selection activeCell="D25" sqref="D25:D241"/>
    </sheetView>
  </sheetViews>
  <sheetFormatPr defaultRowHeight="15"/>
  <cols>
    <col min="1" max="1" width="11.140625" customWidth="1"/>
    <col min="2" max="2" width="10.140625" customWidth="1"/>
    <col min="4" max="4" width="13" customWidth="1"/>
  </cols>
  <sheetData>
    <row r="1" spans="1:4">
      <c r="A1" t="s">
        <v>21</v>
      </c>
      <c r="B1" t="s">
        <v>150</v>
      </c>
      <c r="C1" t="s">
        <v>152</v>
      </c>
      <c r="D1" t="s">
        <v>149</v>
      </c>
    </row>
    <row r="2" spans="1:4" hidden="1">
      <c r="A2" s="4">
        <v>43586</v>
      </c>
      <c r="B2" s="5">
        <v>0.13</v>
      </c>
      <c r="C2">
        <f>1+B2/100</f>
        <v>1.0013000000000001</v>
      </c>
      <c r="D2">
        <v>1.0013000000000001</v>
      </c>
    </row>
    <row r="3" spans="1:4" hidden="1">
      <c r="A3" s="4">
        <v>43617</v>
      </c>
      <c r="B3" s="5">
        <v>0.01</v>
      </c>
      <c r="C3">
        <f t="shared" ref="C3:C66" si="0">1+B3/100</f>
        <v>1.0001</v>
      </c>
      <c r="D3">
        <f>C3*D2</f>
        <v>1.0014001300000002</v>
      </c>
    </row>
    <row r="4" spans="1:4" hidden="1">
      <c r="A4" s="4">
        <v>43647</v>
      </c>
      <c r="B4" s="5">
        <v>0.19</v>
      </c>
      <c r="C4">
        <f t="shared" si="0"/>
        <v>1.0019</v>
      </c>
      <c r="D4">
        <f t="shared" ref="D4:D67" si="1">C4*D3</f>
        <v>1.0033027902470002</v>
      </c>
    </row>
    <row r="5" spans="1:4" hidden="1">
      <c r="A5" s="4">
        <v>43678</v>
      </c>
      <c r="B5" s="5">
        <v>0.11</v>
      </c>
      <c r="C5">
        <f t="shared" si="0"/>
        <v>1.0011000000000001</v>
      </c>
      <c r="D5">
        <f t="shared" si="1"/>
        <v>1.0044064233162719</v>
      </c>
    </row>
    <row r="6" spans="1:4" hidden="1">
      <c r="A6" s="4">
        <v>43709</v>
      </c>
      <c r="B6" s="5">
        <v>-0.04</v>
      </c>
      <c r="C6">
        <f t="shared" si="0"/>
        <v>0.99960000000000004</v>
      </c>
      <c r="D6">
        <f t="shared" si="1"/>
        <v>1.0040046607469455</v>
      </c>
    </row>
    <row r="7" spans="1:4">
      <c r="A7" s="4">
        <v>43739</v>
      </c>
      <c r="B7" s="5">
        <v>0.1</v>
      </c>
      <c r="C7">
        <f t="shared" si="0"/>
        <v>1.0009999999999999</v>
      </c>
      <c r="D7">
        <f t="shared" si="1"/>
        <v>1.0050086654076924</v>
      </c>
    </row>
    <row r="8" spans="1:4" hidden="1">
      <c r="A8" s="4">
        <v>43770</v>
      </c>
      <c r="B8" s="5">
        <v>0.51</v>
      </c>
      <c r="C8">
        <f t="shared" si="0"/>
        <v>1.0051000000000001</v>
      </c>
      <c r="D8">
        <f t="shared" si="1"/>
        <v>1.0101342096012718</v>
      </c>
    </row>
    <row r="9" spans="1:4" hidden="1">
      <c r="A9" s="4">
        <v>43800</v>
      </c>
      <c r="B9" s="5">
        <v>1.1499999999999999</v>
      </c>
      <c r="C9">
        <f t="shared" si="0"/>
        <v>1.0115000000000001</v>
      </c>
      <c r="D9">
        <f t="shared" si="1"/>
        <v>1.0217507530116865</v>
      </c>
    </row>
    <row r="10" spans="1:4" hidden="1">
      <c r="A10" s="4">
        <v>43831</v>
      </c>
      <c r="B10" s="5">
        <v>0.21</v>
      </c>
      <c r="C10">
        <f t="shared" si="0"/>
        <v>1.0021</v>
      </c>
      <c r="D10">
        <f t="shared" si="1"/>
        <v>1.0238964295930111</v>
      </c>
    </row>
    <row r="11" spans="1:4" hidden="1">
      <c r="A11" s="4">
        <v>43862</v>
      </c>
      <c r="B11" s="5">
        <v>0.25</v>
      </c>
      <c r="C11">
        <f t="shared" si="0"/>
        <v>1.0024999999999999</v>
      </c>
      <c r="D11">
        <f t="shared" si="1"/>
        <v>1.0264561706669935</v>
      </c>
    </row>
    <row r="12" spans="1:4" hidden="1">
      <c r="A12" s="4">
        <v>43891</v>
      </c>
      <c r="B12" s="5">
        <v>7.0000000000000007E-2</v>
      </c>
      <c r="C12">
        <f t="shared" si="0"/>
        <v>1.0006999999999999</v>
      </c>
      <c r="D12">
        <f t="shared" si="1"/>
        <v>1.0271746899864602</v>
      </c>
    </row>
    <row r="13" spans="1:4">
      <c r="A13" s="4">
        <v>43922</v>
      </c>
      <c r="B13" s="5">
        <v>-0.31</v>
      </c>
      <c r="C13">
        <f t="shared" si="0"/>
        <v>0.99690000000000001</v>
      </c>
      <c r="D13">
        <f t="shared" si="1"/>
        <v>1.0239904484475022</v>
      </c>
    </row>
    <row r="14" spans="1:4" hidden="1">
      <c r="A14" s="4">
        <v>43952</v>
      </c>
      <c r="B14" s="5">
        <v>-0.38</v>
      </c>
      <c r="C14">
        <f t="shared" si="0"/>
        <v>0.99619999999999997</v>
      </c>
      <c r="D14">
        <f t="shared" si="1"/>
        <v>1.0200992847434016</v>
      </c>
    </row>
    <row r="15" spans="1:4" hidden="1">
      <c r="A15" s="4">
        <v>43983</v>
      </c>
      <c r="B15" s="5">
        <v>0.26</v>
      </c>
      <c r="C15">
        <f t="shared" si="0"/>
        <v>1.0025999999999999</v>
      </c>
      <c r="D15">
        <f t="shared" si="1"/>
        <v>1.0227515428837344</v>
      </c>
    </row>
    <row r="16" spans="1:4" hidden="1">
      <c r="A16" s="4">
        <v>44013</v>
      </c>
      <c r="B16" s="5">
        <v>0.36</v>
      </c>
      <c r="C16">
        <f t="shared" si="0"/>
        <v>1.0036</v>
      </c>
      <c r="D16">
        <f t="shared" si="1"/>
        <v>1.0264334484381159</v>
      </c>
    </row>
    <row r="17" spans="1:4" hidden="1">
      <c r="A17" s="4">
        <v>44044</v>
      </c>
      <c r="B17" s="5">
        <v>0.24</v>
      </c>
      <c r="C17">
        <f t="shared" si="0"/>
        <v>1.0024</v>
      </c>
      <c r="D17">
        <f t="shared" si="1"/>
        <v>1.0288968887143672</v>
      </c>
    </row>
    <row r="18" spans="1:4" hidden="1">
      <c r="A18" s="4">
        <v>44075</v>
      </c>
      <c r="B18" s="5">
        <v>0.64</v>
      </c>
      <c r="C18">
        <f t="shared" si="0"/>
        <v>1.0064</v>
      </c>
      <c r="D18">
        <f t="shared" si="1"/>
        <v>1.0354818288021392</v>
      </c>
    </row>
    <row r="19" spans="1:4">
      <c r="A19" s="4">
        <v>44105</v>
      </c>
      <c r="B19" s="5">
        <v>0.86</v>
      </c>
      <c r="C19">
        <f t="shared" si="0"/>
        <v>1.0085999999999999</v>
      </c>
      <c r="D19">
        <f t="shared" si="1"/>
        <v>1.0443869725298376</v>
      </c>
    </row>
    <row r="20" spans="1:4" hidden="1">
      <c r="A20" s="4">
        <v>44136</v>
      </c>
      <c r="B20" s="5">
        <v>0.89</v>
      </c>
      <c r="C20">
        <f t="shared" si="0"/>
        <v>1.0088999999999999</v>
      </c>
      <c r="D20">
        <f t="shared" si="1"/>
        <v>1.0536820165853531</v>
      </c>
    </row>
    <row r="21" spans="1:4" hidden="1">
      <c r="A21" s="4">
        <v>44166</v>
      </c>
      <c r="B21" s="5">
        <v>1.35</v>
      </c>
      <c r="C21">
        <f t="shared" si="0"/>
        <v>1.0135000000000001</v>
      </c>
      <c r="D21">
        <f t="shared" si="1"/>
        <v>1.0679067238092554</v>
      </c>
    </row>
    <row r="22" spans="1:4" hidden="1">
      <c r="A22" s="4">
        <v>44197</v>
      </c>
      <c r="B22" s="5">
        <v>0.25</v>
      </c>
      <c r="C22">
        <f t="shared" si="0"/>
        <v>1.0024999999999999</v>
      </c>
      <c r="D22">
        <f t="shared" si="1"/>
        <v>1.0705764906187785</v>
      </c>
    </row>
    <row r="23" spans="1:4" hidden="1">
      <c r="A23" s="4">
        <v>44228</v>
      </c>
      <c r="B23" s="5">
        <v>0.86</v>
      </c>
      <c r="C23">
        <f t="shared" si="0"/>
        <v>1.0085999999999999</v>
      </c>
      <c r="D23">
        <f t="shared" si="1"/>
        <v>1.0797834484380999</v>
      </c>
    </row>
    <row r="24" spans="1:4" hidden="1">
      <c r="A24" s="4">
        <v>44256</v>
      </c>
      <c r="B24" s="5">
        <v>0.93</v>
      </c>
      <c r="C24">
        <f t="shared" si="0"/>
        <v>1.0093000000000001</v>
      </c>
      <c r="D24">
        <f t="shared" si="1"/>
        <v>1.0898254345085743</v>
      </c>
    </row>
    <row r="25" spans="1:4">
      <c r="A25" s="4">
        <v>44287</v>
      </c>
      <c r="B25" s="5">
        <v>0.31</v>
      </c>
      <c r="C25">
        <f t="shared" si="0"/>
        <v>1.0031000000000001</v>
      </c>
      <c r="D25">
        <f t="shared" si="1"/>
        <v>1.093203893355551</v>
      </c>
    </row>
    <row r="26" spans="1:4" hidden="1">
      <c r="A26" s="4">
        <v>44317</v>
      </c>
      <c r="B26" s="5">
        <v>0.83</v>
      </c>
      <c r="C26">
        <f t="shared" si="0"/>
        <v>1.0083</v>
      </c>
      <c r="D26">
        <f t="shared" si="1"/>
        <v>1.1022774856704021</v>
      </c>
    </row>
    <row r="27" spans="1:4" hidden="1">
      <c r="A27" s="4">
        <v>44348</v>
      </c>
      <c r="B27" s="5">
        <v>0.53</v>
      </c>
      <c r="C27">
        <f t="shared" si="0"/>
        <v>1.0053000000000001</v>
      </c>
      <c r="D27">
        <f t="shared" si="1"/>
        <v>1.1081195563444552</v>
      </c>
    </row>
    <row r="28" spans="1:4" hidden="1">
      <c r="A28" s="4">
        <v>44378</v>
      </c>
      <c r="B28" s="5">
        <v>0.96</v>
      </c>
      <c r="C28">
        <f t="shared" si="0"/>
        <v>1.0096000000000001</v>
      </c>
      <c r="D28">
        <f t="shared" si="1"/>
        <v>1.1187575040853621</v>
      </c>
    </row>
    <row r="29" spans="1:4" hidden="1">
      <c r="A29" s="4">
        <v>44409</v>
      </c>
      <c r="B29" s="5">
        <v>0.87</v>
      </c>
      <c r="C29">
        <f t="shared" si="0"/>
        <v>1.0086999999999999</v>
      </c>
      <c r="D29">
        <f t="shared" si="1"/>
        <v>1.1284906943709048</v>
      </c>
    </row>
    <row r="30" spans="1:4" hidden="1">
      <c r="A30" s="4">
        <v>44440</v>
      </c>
      <c r="B30" s="5">
        <v>1.1599999999999999</v>
      </c>
      <c r="C30">
        <f t="shared" si="0"/>
        <v>1.0116000000000001</v>
      </c>
      <c r="D30">
        <f t="shared" si="1"/>
        <v>1.1415811864256074</v>
      </c>
    </row>
    <row r="31" spans="1:4">
      <c r="A31" s="4">
        <v>44470</v>
      </c>
      <c r="B31" s="5">
        <v>1.25</v>
      </c>
      <c r="C31">
        <f t="shared" si="0"/>
        <v>1.0125</v>
      </c>
      <c r="D31">
        <f t="shared" si="1"/>
        <v>1.1558509512559274</v>
      </c>
    </row>
    <row r="32" spans="1:4" hidden="1">
      <c r="A32" s="4">
        <v>44501</v>
      </c>
      <c r="B32" s="5">
        <v>0.95</v>
      </c>
      <c r="C32">
        <f t="shared" si="0"/>
        <v>1.0095000000000001</v>
      </c>
      <c r="D32">
        <f t="shared" si="1"/>
        <v>1.1668315352928589</v>
      </c>
    </row>
    <row r="33" spans="1:4" hidden="1">
      <c r="A33" s="4">
        <v>44531</v>
      </c>
      <c r="B33" s="5">
        <v>0.73</v>
      </c>
      <c r="C33">
        <f t="shared" si="0"/>
        <v>1.0073000000000001</v>
      </c>
      <c r="D33">
        <f t="shared" si="1"/>
        <v>1.1753494055004969</v>
      </c>
    </row>
    <row r="34" spans="1:4" hidden="1">
      <c r="A34" s="4">
        <v>44562</v>
      </c>
      <c r="B34" s="5">
        <v>0.54</v>
      </c>
      <c r="C34">
        <f t="shared" si="0"/>
        <v>1.0054000000000001</v>
      </c>
      <c r="D34">
        <f t="shared" si="1"/>
        <v>1.1816962922901997</v>
      </c>
    </row>
    <row r="35" spans="1:4" hidden="1">
      <c r="A35" s="4">
        <v>44593</v>
      </c>
      <c r="B35" s="5">
        <v>1.01</v>
      </c>
      <c r="C35">
        <f t="shared" si="0"/>
        <v>1.0101</v>
      </c>
      <c r="D35">
        <f t="shared" si="1"/>
        <v>1.1936314248423308</v>
      </c>
    </row>
    <row r="36" spans="1:4" hidden="1">
      <c r="A36" s="4">
        <v>44621</v>
      </c>
      <c r="B36" s="5">
        <v>1.62</v>
      </c>
      <c r="C36">
        <f t="shared" si="0"/>
        <v>1.0162</v>
      </c>
      <c r="D36">
        <f t="shared" si="1"/>
        <v>1.2129682539247766</v>
      </c>
    </row>
    <row r="37" spans="1:4">
      <c r="A37" s="4">
        <v>44652</v>
      </c>
      <c r="B37" s="5">
        <v>1.06</v>
      </c>
      <c r="C37">
        <f t="shared" si="0"/>
        <v>1.0105999999999999</v>
      </c>
      <c r="D37">
        <f t="shared" si="1"/>
        <v>1.2258257174163791</v>
      </c>
    </row>
    <row r="38" spans="1:4" hidden="1">
      <c r="A38" s="4">
        <v>44682</v>
      </c>
      <c r="B38" s="5">
        <v>0.47</v>
      </c>
      <c r="C38">
        <f t="shared" si="0"/>
        <v>1.0046999999999999</v>
      </c>
      <c r="D38">
        <f t="shared" si="1"/>
        <v>1.231587098288236</v>
      </c>
    </row>
    <row r="39" spans="1:4" hidden="1">
      <c r="A39" s="4">
        <v>44713</v>
      </c>
      <c r="B39" s="5">
        <v>0.67</v>
      </c>
      <c r="C39">
        <f t="shared" si="0"/>
        <v>1.0066999999999999</v>
      </c>
      <c r="D39">
        <f t="shared" si="1"/>
        <v>1.2398387318467672</v>
      </c>
    </row>
    <row r="40" spans="1:4" hidden="1">
      <c r="A40" s="4">
        <v>44743</v>
      </c>
      <c r="B40" s="5">
        <v>-0.68</v>
      </c>
      <c r="C40">
        <f t="shared" si="0"/>
        <v>0.99319999999999997</v>
      </c>
      <c r="D40">
        <f t="shared" si="1"/>
        <v>1.2314078284702092</v>
      </c>
    </row>
    <row r="41" spans="1:4" hidden="1">
      <c r="A41" s="4">
        <v>44774</v>
      </c>
      <c r="B41" s="5">
        <v>-0.36</v>
      </c>
      <c r="C41">
        <f t="shared" si="0"/>
        <v>0.99639999999999995</v>
      </c>
      <c r="D41">
        <f t="shared" si="1"/>
        <v>1.2269747602877163</v>
      </c>
    </row>
    <row r="42" spans="1:4" hidden="1">
      <c r="A42" s="4">
        <v>44805</v>
      </c>
      <c r="B42" s="5">
        <v>-0.28999999999999998</v>
      </c>
      <c r="C42">
        <f t="shared" si="0"/>
        <v>0.99709999999999999</v>
      </c>
      <c r="D42">
        <f t="shared" si="1"/>
        <v>1.2234165334828819</v>
      </c>
    </row>
    <row r="43" spans="1:4">
      <c r="A43" s="4">
        <v>44835</v>
      </c>
      <c r="B43">
        <v>0.33</v>
      </c>
      <c r="C43">
        <f t="shared" si="0"/>
        <v>1.0033000000000001</v>
      </c>
      <c r="D43">
        <f t="shared" si="1"/>
        <v>1.2274538080433754</v>
      </c>
    </row>
    <row r="44" spans="1:4" hidden="1">
      <c r="A44" s="4">
        <v>44866</v>
      </c>
      <c r="B44">
        <v>0.94638500140897963</v>
      </c>
      <c r="C44">
        <f t="shared" si="0"/>
        <v>1.0094638500140898</v>
      </c>
      <c r="D44">
        <f t="shared" si="1"/>
        <v>1.2390702467819212</v>
      </c>
    </row>
    <row r="45" spans="1:4" hidden="1">
      <c r="A45" s="4">
        <v>44896</v>
      </c>
      <c r="B45">
        <v>1.9531775560993834</v>
      </c>
      <c r="C45">
        <f t="shared" si="0"/>
        <v>1.0195317755609938</v>
      </c>
      <c r="D45">
        <f t="shared" si="1"/>
        <v>1.263271488746371</v>
      </c>
    </row>
    <row r="46" spans="1:4" hidden="1">
      <c r="A46" s="4">
        <v>44927</v>
      </c>
      <c r="B46">
        <v>0.84570574593993919</v>
      </c>
      <c r="C46">
        <f t="shared" si="0"/>
        <v>1.0084570574593994</v>
      </c>
      <c r="D46">
        <f t="shared" si="1"/>
        <v>1.27395504831352</v>
      </c>
    </row>
    <row r="47" spans="1:4" hidden="1">
      <c r="A47" s="4">
        <v>44958</v>
      </c>
      <c r="B47">
        <v>0.66448308609566664</v>
      </c>
      <c r="C47">
        <f t="shared" si="0"/>
        <v>1.0066448308609566</v>
      </c>
      <c r="D47">
        <f t="shared" si="1"/>
        <v>1.2824202641340252</v>
      </c>
    </row>
    <row r="48" spans="1:4" hidden="1">
      <c r="A48" s="4">
        <v>44986</v>
      </c>
      <c r="B48">
        <v>1.006792554690404</v>
      </c>
      <c r="C48">
        <f t="shared" si="0"/>
        <v>1.0100679255469041</v>
      </c>
      <c r="D48">
        <f t="shared" si="1"/>
        <v>1.2953315758731676</v>
      </c>
    </row>
    <row r="49" spans="1:4">
      <c r="A49" s="4">
        <v>45017</v>
      </c>
      <c r="B49">
        <v>1.1276076612532524</v>
      </c>
      <c r="C49">
        <f t="shared" si="0"/>
        <v>1.0112760766125326</v>
      </c>
      <c r="D49">
        <f t="shared" si="1"/>
        <v>1.3099378339613461</v>
      </c>
    </row>
    <row r="50" spans="1:4" hidden="1">
      <c r="A50" s="4">
        <v>45047</v>
      </c>
      <c r="B50">
        <v>0.41494999999999999</v>
      </c>
      <c r="C50">
        <f t="shared" si="0"/>
        <v>1.0041495</v>
      </c>
      <c r="D50">
        <f t="shared" si="1"/>
        <v>1.3153734210033687</v>
      </c>
    </row>
    <row r="51" spans="1:4" hidden="1">
      <c r="A51" s="4">
        <v>45078</v>
      </c>
      <c r="B51">
        <v>0.38303300000000001</v>
      </c>
      <c r="C51">
        <f t="shared" si="0"/>
        <v>1.00383033</v>
      </c>
      <c r="D51">
        <f t="shared" si="1"/>
        <v>1.3204117352790405</v>
      </c>
    </row>
    <row r="52" spans="1:4" hidden="1">
      <c r="A52" s="4">
        <v>45108</v>
      </c>
      <c r="B52">
        <v>0.35111999999999999</v>
      </c>
      <c r="C52">
        <f t="shared" si="0"/>
        <v>1.0035111999999999</v>
      </c>
      <c r="D52">
        <f t="shared" si="1"/>
        <v>1.3250479649639522</v>
      </c>
    </row>
    <row r="53" spans="1:4" hidden="1">
      <c r="A53" s="4">
        <v>45139</v>
      </c>
      <c r="B53">
        <v>0.17555687203791467</v>
      </c>
      <c r="C53">
        <f t="shared" si="0"/>
        <v>1.0017555687203792</v>
      </c>
      <c r="D53">
        <f t="shared" si="1"/>
        <v>1.3273741777242449</v>
      </c>
    </row>
    <row r="54" spans="1:4" hidden="1">
      <c r="A54" s="4">
        <v>45170</v>
      </c>
      <c r="B54">
        <v>9.5758293838862543E-2</v>
      </c>
      <c r="C54">
        <f t="shared" si="0"/>
        <v>1.0009575829383885</v>
      </c>
      <c r="D54">
        <f t="shared" si="1"/>
        <v>1.3286452485896911</v>
      </c>
    </row>
    <row r="55" spans="1:4">
      <c r="A55" s="4">
        <v>45200</v>
      </c>
      <c r="B55">
        <v>0.12767772511848341</v>
      </c>
      <c r="C55">
        <f t="shared" si="0"/>
        <v>1.0012767772511848</v>
      </c>
      <c r="D55">
        <f t="shared" si="1"/>
        <v>1.3303416326179853</v>
      </c>
    </row>
    <row r="56" spans="1:4" hidden="1">
      <c r="A56" s="4">
        <v>45231</v>
      </c>
      <c r="B56">
        <v>0.66754478672985762</v>
      </c>
      <c r="C56">
        <f t="shared" si="0"/>
        <v>1.0066754478672986</v>
      </c>
      <c r="D56">
        <f t="shared" si="1"/>
        <v>1.3392222588322236</v>
      </c>
    </row>
    <row r="57" spans="1:4" hidden="1">
      <c r="A57" s="4">
        <v>45261</v>
      </c>
      <c r="B57">
        <v>1.3776988151658764</v>
      </c>
      <c r="C57">
        <f t="shared" si="0"/>
        <v>1.0137769881516587</v>
      </c>
      <c r="D57">
        <f t="shared" si="1"/>
        <v>1.3576727080245927</v>
      </c>
    </row>
    <row r="58" spans="1:4" hidden="1">
      <c r="A58" s="4">
        <v>45292</v>
      </c>
      <c r="B58">
        <v>0.59652938388625576</v>
      </c>
      <c r="C58">
        <f t="shared" si="0"/>
        <v>1.0059652938388626</v>
      </c>
      <c r="D58">
        <f t="shared" si="1"/>
        <v>1.3657716246649636</v>
      </c>
    </row>
    <row r="59" spans="1:4" hidden="1">
      <c r="A59" s="4">
        <v>45323</v>
      </c>
      <c r="B59">
        <v>0.46870165876777242</v>
      </c>
      <c r="C59">
        <f t="shared" si="0"/>
        <v>1.0046870165876778</v>
      </c>
      <c r="D59">
        <f t="shared" si="1"/>
        <v>1.3721730189247479</v>
      </c>
    </row>
    <row r="60" spans="1:4" hidden="1">
      <c r="A60" s="4">
        <v>45352</v>
      </c>
      <c r="B60">
        <v>0.71015402843601882</v>
      </c>
      <c r="C60">
        <f t="shared" si="0"/>
        <v>1.0071015402843602</v>
      </c>
      <c r="D60">
        <f t="shared" si="1"/>
        <v>1.3819175608957541</v>
      </c>
    </row>
    <row r="61" spans="1:4">
      <c r="A61" s="4">
        <v>45383</v>
      </c>
      <c r="B61">
        <v>0.79537251184834112</v>
      </c>
      <c r="C61">
        <f t="shared" si="0"/>
        <v>1.0079537251184834</v>
      </c>
      <c r="D61">
        <f t="shared" si="1"/>
        <v>1.392908953311524</v>
      </c>
    </row>
    <row r="62" spans="1:4" hidden="1">
      <c r="A62" s="4">
        <v>45413</v>
      </c>
      <c r="B62">
        <v>0.3692800947867298</v>
      </c>
      <c r="C62">
        <f t="shared" si="0"/>
        <v>1.0036928009478674</v>
      </c>
      <c r="D62">
        <f t="shared" si="1"/>
        <v>1.3980526888146056</v>
      </c>
    </row>
    <row r="63" spans="1:4" hidden="1">
      <c r="A63" s="4">
        <v>45444</v>
      </c>
      <c r="B63">
        <v>0.34087393364928903</v>
      </c>
      <c r="C63">
        <f t="shared" si="0"/>
        <v>1.003408739336493</v>
      </c>
      <c r="D63">
        <f t="shared" si="1"/>
        <v>1.4028182860094578</v>
      </c>
    </row>
    <row r="64" spans="1:4" hidden="1">
      <c r="A64" s="4">
        <v>45474</v>
      </c>
      <c r="B64">
        <v>0.31246777251184826</v>
      </c>
      <c r="C64">
        <f t="shared" si="0"/>
        <v>1.0031246777251184</v>
      </c>
      <c r="D64">
        <f t="shared" si="1"/>
        <v>1.4072016410601402</v>
      </c>
    </row>
    <row r="65" spans="1:4" hidden="1">
      <c r="A65" s="4">
        <v>45505</v>
      </c>
      <c r="B65">
        <v>0.15623388625592413</v>
      </c>
      <c r="C65">
        <f t="shared" si="0"/>
        <v>1.0015623388625592</v>
      </c>
      <c r="D65">
        <f t="shared" si="1"/>
        <v>1.4094001668714256</v>
      </c>
    </row>
    <row r="66" spans="1:4" hidden="1">
      <c r="A66" s="4">
        <v>45536</v>
      </c>
      <c r="B66">
        <v>8.5218483412322257E-2</v>
      </c>
      <c r="C66">
        <f t="shared" si="0"/>
        <v>1.0008521848341232</v>
      </c>
      <c r="D66">
        <f t="shared" si="1"/>
        <v>1.410601236318844</v>
      </c>
    </row>
    <row r="67" spans="1:4">
      <c r="A67" s="4">
        <v>45566</v>
      </c>
      <c r="B67">
        <v>0.11362464454976301</v>
      </c>
      <c r="C67">
        <f t="shared" ref="C67:C130" si="2">1+B67/100</f>
        <v>1.0011362464454976</v>
      </c>
      <c r="D67">
        <f t="shared" si="1"/>
        <v>1.4122040269596259</v>
      </c>
    </row>
    <row r="68" spans="1:4" hidden="1">
      <c r="A68" s="4">
        <v>45597</v>
      </c>
      <c r="B68">
        <v>0.64748625592417042</v>
      </c>
      <c r="C68">
        <f t="shared" si="2"/>
        <v>1.0064748625592417</v>
      </c>
      <c r="D68">
        <f t="shared" ref="D68:D131" si="3">C68*D67</f>
        <v>1.421347853939797</v>
      </c>
    </row>
    <row r="69" spans="1:4" hidden="1">
      <c r="A69" s="4">
        <v>45627</v>
      </c>
      <c r="B69">
        <v>1.3363014218009477</v>
      </c>
      <c r="C69">
        <f t="shared" si="2"/>
        <v>1.0133630142180095</v>
      </c>
      <c r="D69">
        <f t="shared" si="3"/>
        <v>1.4403413455207317</v>
      </c>
    </row>
    <row r="70" spans="1:4" hidden="1">
      <c r="A70" s="4">
        <v>45658</v>
      </c>
      <c r="B70">
        <v>0.57860473933649281</v>
      </c>
      <c r="C70">
        <f t="shared" si="2"/>
        <v>1.0057860473933649</v>
      </c>
      <c r="D70">
        <f t="shared" si="3"/>
        <v>1.4486752288085376</v>
      </c>
    </row>
    <row r="71" spans="1:4" hidden="1">
      <c r="A71" s="4">
        <v>45689</v>
      </c>
      <c r="B71">
        <v>0.45461800947867292</v>
      </c>
      <c r="C71">
        <f t="shared" si="2"/>
        <v>1.0045461800947868</v>
      </c>
      <c r="D71">
        <f t="shared" si="3"/>
        <v>1.4552611672975577</v>
      </c>
    </row>
    <row r="72" spans="1:4" hidden="1">
      <c r="A72" s="4">
        <v>45717</v>
      </c>
      <c r="B72">
        <v>0.68881516587677716</v>
      </c>
      <c r="C72">
        <f t="shared" si="2"/>
        <v>1.0068881516587678</v>
      </c>
      <c r="D72">
        <f t="shared" si="3"/>
        <v>1.4652852269210188</v>
      </c>
    </row>
    <row r="73" spans="1:4">
      <c r="A73" s="4">
        <v>45748</v>
      </c>
      <c r="B73">
        <v>0.77147298578199042</v>
      </c>
      <c r="C73">
        <f t="shared" si="2"/>
        <v>1.00771472985782</v>
      </c>
      <c r="D73">
        <f t="shared" si="3"/>
        <v>1.4765895066113688</v>
      </c>
    </row>
    <row r="74" spans="1:4" hidden="1">
      <c r="A74" s="4">
        <v>45778</v>
      </c>
      <c r="B74">
        <v>0.35818388625592412</v>
      </c>
      <c r="C74">
        <f t="shared" si="2"/>
        <v>1.0035818388625593</v>
      </c>
      <c r="D74">
        <f t="shared" si="3"/>
        <v>1.4818784122901967</v>
      </c>
    </row>
    <row r="75" spans="1:4" hidden="1">
      <c r="A75" s="4">
        <v>45809</v>
      </c>
      <c r="B75">
        <v>0.33063127962085304</v>
      </c>
      <c r="C75">
        <f t="shared" si="2"/>
        <v>1.0033063127962085</v>
      </c>
      <c r="D75">
        <f t="shared" si="3"/>
        <v>1.4867779658471769</v>
      </c>
    </row>
    <row r="76" spans="1:4" hidden="1">
      <c r="A76" s="4">
        <v>45839</v>
      </c>
      <c r="B76">
        <v>0.30307867298578195</v>
      </c>
      <c r="C76">
        <f t="shared" si="2"/>
        <v>1.0030307867298578</v>
      </c>
      <c r="D76">
        <f t="shared" si="3"/>
        <v>1.4912840727763115</v>
      </c>
    </row>
    <row r="77" spans="1:4" hidden="1">
      <c r="A77" s="4">
        <v>45870</v>
      </c>
      <c r="B77">
        <v>0.15153933649289097</v>
      </c>
      <c r="C77">
        <f t="shared" si="2"/>
        <v>1.001515393364929</v>
      </c>
      <c r="D77">
        <f t="shared" si="3"/>
        <v>1.493543954765421</v>
      </c>
    </row>
    <row r="78" spans="1:4" hidden="1">
      <c r="A78" s="4">
        <v>45901</v>
      </c>
      <c r="B78">
        <v>8.2657819905213259E-2</v>
      </c>
      <c r="C78">
        <f t="shared" si="2"/>
        <v>1.0008265781990522</v>
      </c>
      <c r="D78">
        <f t="shared" si="3"/>
        <v>1.4947784856377564</v>
      </c>
    </row>
    <row r="79" spans="1:4">
      <c r="A79" s="4">
        <v>45931</v>
      </c>
      <c r="B79">
        <v>0.11021042654028435</v>
      </c>
      <c r="C79">
        <f t="shared" si="2"/>
        <v>1.0011021042654029</v>
      </c>
      <c r="D79">
        <f t="shared" si="3"/>
        <v>1.4964258873826102</v>
      </c>
    </row>
    <row r="80" spans="1:4" hidden="1">
      <c r="A80" s="4">
        <v>45962</v>
      </c>
      <c r="B80">
        <v>0.64681800947867285</v>
      </c>
      <c r="C80">
        <f t="shared" si="2"/>
        <v>1.0064681800947868</v>
      </c>
      <c r="D80">
        <f t="shared" si="3"/>
        <v>1.5061050395207021</v>
      </c>
    </row>
    <row r="81" spans="1:4" hidden="1">
      <c r="A81" s="4">
        <v>45992</v>
      </c>
      <c r="B81">
        <v>1.3349222748815164</v>
      </c>
      <c r="C81">
        <f t="shared" si="2"/>
        <v>1.0133492227488152</v>
      </c>
      <c r="D81">
        <f t="shared" si="3"/>
        <v>1.526210371176377</v>
      </c>
    </row>
    <row r="82" spans="1:4" hidden="1">
      <c r="A82" s="4">
        <v>46023</v>
      </c>
      <c r="B82">
        <v>0.5780075829383885</v>
      </c>
      <c r="C82">
        <f t="shared" si="2"/>
        <v>1.0057800758293838</v>
      </c>
      <c r="D82">
        <f t="shared" si="3"/>
        <v>1.5350319828533685</v>
      </c>
    </row>
    <row r="83" spans="1:4" hidden="1">
      <c r="A83" s="4">
        <v>46054</v>
      </c>
      <c r="B83">
        <v>0.45414881516587668</v>
      </c>
      <c r="C83">
        <f t="shared" si="2"/>
        <v>1.0045414881516588</v>
      </c>
      <c r="D83">
        <f t="shared" si="3"/>
        <v>1.5420033124159143</v>
      </c>
    </row>
    <row r="84" spans="1:4" hidden="1">
      <c r="A84" s="4">
        <v>46082</v>
      </c>
      <c r="B84">
        <v>0.68810426540284353</v>
      </c>
      <c r="C84">
        <f t="shared" si="2"/>
        <v>1.0068810426540284</v>
      </c>
      <c r="D84">
        <f t="shared" si="3"/>
        <v>1.5526139029813013</v>
      </c>
    </row>
    <row r="85" spans="1:4">
      <c r="A85" s="4">
        <v>46113</v>
      </c>
      <c r="B85">
        <v>0.77067677725118466</v>
      </c>
      <c r="C85">
        <f t="shared" si="2"/>
        <v>1.0077067677725118</v>
      </c>
      <c r="D85">
        <f t="shared" si="3"/>
        <v>1.5645795377719514</v>
      </c>
    </row>
    <row r="86" spans="1:4" hidden="1">
      <c r="A86" s="4">
        <v>46143</v>
      </c>
      <c r="B86">
        <v>0.3578142180094786</v>
      </c>
      <c r="C86">
        <f t="shared" si="2"/>
        <v>1.0035781421800949</v>
      </c>
      <c r="D86">
        <f t="shared" si="3"/>
        <v>1.5701778258101666</v>
      </c>
    </row>
    <row r="87" spans="1:4" hidden="1">
      <c r="A87" s="4">
        <v>46174</v>
      </c>
      <c r="B87">
        <v>0.33029004739336487</v>
      </c>
      <c r="C87">
        <f t="shared" si="2"/>
        <v>1.0033029004739336</v>
      </c>
      <c r="D87">
        <f t="shared" si="3"/>
        <v>1.5753639668951951</v>
      </c>
    </row>
    <row r="88" spans="1:4" hidden="1">
      <c r="A88" s="4">
        <v>46204</v>
      </c>
      <c r="B88">
        <v>0.30276587677725114</v>
      </c>
      <c r="C88">
        <f t="shared" si="2"/>
        <v>1.0030276587677724</v>
      </c>
      <c r="D88">
        <f t="shared" si="3"/>
        <v>1.580133631421998</v>
      </c>
    </row>
    <row r="89" spans="1:4" hidden="1">
      <c r="A89" s="4">
        <v>46235</v>
      </c>
      <c r="B89">
        <v>0.15138293838862557</v>
      </c>
      <c r="C89">
        <f t="shared" si="2"/>
        <v>1.0015138293838863</v>
      </c>
      <c r="D89">
        <f t="shared" si="3"/>
        <v>1.5825256841437116</v>
      </c>
    </row>
    <row r="90" spans="1:4" hidden="1">
      <c r="A90" s="4">
        <v>46266</v>
      </c>
      <c r="B90">
        <v>8.2572511848341218E-2</v>
      </c>
      <c r="C90">
        <f t="shared" si="2"/>
        <v>1.0008257251184833</v>
      </c>
      <c r="D90">
        <f t="shared" si="3"/>
        <v>1.5838324153517542</v>
      </c>
    </row>
    <row r="91" spans="1:4">
      <c r="A91" s="4">
        <v>46296</v>
      </c>
      <c r="B91">
        <v>0.11009668246445496</v>
      </c>
      <c r="C91">
        <f t="shared" si="2"/>
        <v>1.0011009668246444</v>
      </c>
      <c r="D91">
        <f t="shared" si="3"/>
        <v>1.5855761622968529</v>
      </c>
    </row>
    <row r="92" spans="1:4" hidden="1">
      <c r="A92" s="4">
        <v>46327</v>
      </c>
      <c r="B92">
        <v>0.65048222748815143</v>
      </c>
      <c r="C92">
        <f t="shared" si="2"/>
        <v>1.0065048222748816</v>
      </c>
      <c r="D92">
        <f t="shared" si="3"/>
        <v>1.5958900534358829</v>
      </c>
    </row>
    <row r="93" spans="1:4" hidden="1">
      <c r="A93" s="4">
        <v>46357</v>
      </c>
      <c r="B93">
        <v>1.3424845971563977</v>
      </c>
      <c r="C93">
        <f t="shared" si="2"/>
        <v>1.013424845971564</v>
      </c>
      <c r="D93">
        <f t="shared" si="3"/>
        <v>1.6173146315908107</v>
      </c>
    </row>
    <row r="94" spans="1:4" hidden="1">
      <c r="A94" s="4">
        <v>46388</v>
      </c>
      <c r="B94">
        <v>0.5812819905213269</v>
      </c>
      <c r="C94">
        <f t="shared" si="2"/>
        <v>1.0058128199052132</v>
      </c>
      <c r="D94">
        <f t="shared" si="3"/>
        <v>1.6267157902743143</v>
      </c>
    </row>
    <row r="95" spans="1:4" hidden="1">
      <c r="A95" s="4">
        <v>46419</v>
      </c>
      <c r="B95">
        <v>0.45672156398104258</v>
      </c>
      <c r="C95">
        <f t="shared" si="2"/>
        <v>1.0045672156398104</v>
      </c>
      <c r="D95">
        <f t="shared" si="3"/>
        <v>1.6341453520731819</v>
      </c>
    </row>
    <row r="96" spans="1:4" hidden="1">
      <c r="A96" s="4">
        <v>46447</v>
      </c>
      <c r="B96">
        <v>0.69200236966824635</v>
      </c>
      <c r="C96">
        <f t="shared" si="2"/>
        <v>1.0069200236966824</v>
      </c>
      <c r="D96">
        <f t="shared" si="3"/>
        <v>1.6454536766333518</v>
      </c>
    </row>
    <row r="97" spans="1:4">
      <c r="A97" s="4">
        <v>46478</v>
      </c>
      <c r="B97">
        <v>0.77504265402843586</v>
      </c>
      <c r="C97">
        <f t="shared" si="2"/>
        <v>1.0077504265402843</v>
      </c>
      <c r="D97">
        <f t="shared" si="3"/>
        <v>1.6582066444795394</v>
      </c>
    </row>
    <row r="98" spans="1:4" hidden="1">
      <c r="A98" s="4">
        <v>46508</v>
      </c>
      <c r="B98">
        <v>0.35984123222748809</v>
      </c>
      <c r="C98">
        <f t="shared" si="2"/>
        <v>1.003598412322275</v>
      </c>
      <c r="D98">
        <f t="shared" si="3"/>
        <v>1.6641735557019128</v>
      </c>
    </row>
    <row r="99" spans="1:4" hidden="1">
      <c r="A99" s="4">
        <v>46539</v>
      </c>
      <c r="B99">
        <v>0.3321611374407582</v>
      </c>
      <c r="C99">
        <f t="shared" si="2"/>
        <v>1.0033216113744077</v>
      </c>
      <c r="D99">
        <f t="shared" si="3"/>
        <v>1.6697012935135207</v>
      </c>
    </row>
    <row r="100" spans="1:4" hidden="1">
      <c r="A100" s="4">
        <v>46569</v>
      </c>
      <c r="B100">
        <v>0.30448104265402837</v>
      </c>
      <c r="C100">
        <f t="shared" si="2"/>
        <v>1.0030448104265404</v>
      </c>
      <c r="D100">
        <f t="shared" si="3"/>
        <v>1.6747852174212186</v>
      </c>
    </row>
    <row r="101" spans="1:4" hidden="1">
      <c r="A101" s="4">
        <v>46600</v>
      </c>
      <c r="B101">
        <v>0.15224052132701418</v>
      </c>
      <c r="C101">
        <f t="shared" si="2"/>
        <v>1.0015224052132701</v>
      </c>
      <c r="D101">
        <f t="shared" si="3"/>
        <v>1.6773349191673284</v>
      </c>
    </row>
    <row r="102" spans="1:4" hidden="1">
      <c r="A102" s="4">
        <v>46631</v>
      </c>
      <c r="B102">
        <v>8.3040284360189551E-2</v>
      </c>
      <c r="C102">
        <f t="shared" si="2"/>
        <v>1.0008304028436019</v>
      </c>
      <c r="D102">
        <f t="shared" si="3"/>
        <v>1.6787277828538778</v>
      </c>
    </row>
    <row r="103" spans="1:4">
      <c r="A103" s="4">
        <v>46661</v>
      </c>
      <c r="B103">
        <v>0.11072037914691941</v>
      </c>
      <c r="C103">
        <f t="shared" si="2"/>
        <v>1.0011072037914692</v>
      </c>
      <c r="D103">
        <f t="shared" si="3"/>
        <v>1.6805864766198984</v>
      </c>
    </row>
    <row r="104" spans="1:4" hidden="1">
      <c r="A104" s="4">
        <v>46692</v>
      </c>
      <c r="B104">
        <v>0.65446943127962065</v>
      </c>
      <c r="C104">
        <f t="shared" si="2"/>
        <v>1.0065446943127963</v>
      </c>
      <c r="D104">
        <f t="shared" si="3"/>
        <v>1.6915854013755949</v>
      </c>
    </row>
    <row r="105" spans="1:4" hidden="1">
      <c r="A105" s="4">
        <v>46722</v>
      </c>
      <c r="B105">
        <v>1.3507135071090044</v>
      </c>
      <c r="C105">
        <f t="shared" si="2"/>
        <v>1.01350713507109</v>
      </c>
      <c r="D105">
        <f t="shared" si="3"/>
        <v>1.714433873876259</v>
      </c>
    </row>
    <row r="106" spans="1:4" hidden="1">
      <c r="A106" s="4">
        <v>46753</v>
      </c>
      <c r="B106">
        <v>0.58484502369668234</v>
      </c>
      <c r="C106">
        <f t="shared" si="2"/>
        <v>1.0058484502369669</v>
      </c>
      <c r="D106">
        <f t="shared" si="3"/>
        <v>1.7244606550721946</v>
      </c>
    </row>
    <row r="107" spans="1:4" hidden="1">
      <c r="A107" s="4">
        <v>46784</v>
      </c>
      <c r="B107">
        <v>0.45952109004739328</v>
      </c>
      <c r="C107">
        <f t="shared" si="2"/>
        <v>1.0045952109004739</v>
      </c>
      <c r="D107">
        <f t="shared" si="3"/>
        <v>1.7323849154718207</v>
      </c>
    </row>
    <row r="108" spans="1:4" hidden="1">
      <c r="A108" s="4">
        <v>46813</v>
      </c>
      <c r="B108">
        <v>0.69624407582938375</v>
      </c>
      <c r="C108">
        <f t="shared" si="2"/>
        <v>1.0069624407582938</v>
      </c>
      <c r="D108">
        <f t="shared" si="3"/>
        <v>1.7444465428163551</v>
      </c>
    </row>
    <row r="109" spans="1:4">
      <c r="A109" s="4">
        <v>46844</v>
      </c>
      <c r="B109">
        <v>0.77979336492890983</v>
      </c>
      <c r="C109">
        <f t="shared" si="2"/>
        <v>1.007797933649289</v>
      </c>
      <c r="D109">
        <f t="shared" si="3"/>
        <v>1.7580496212119687</v>
      </c>
    </row>
    <row r="110" spans="1:4" hidden="1">
      <c r="A110" s="4">
        <v>46874</v>
      </c>
      <c r="B110">
        <v>0.36204691943127953</v>
      </c>
      <c r="C110">
        <f t="shared" si="2"/>
        <v>1.0036204691943127</v>
      </c>
      <c r="D110">
        <f t="shared" si="3"/>
        <v>1.7644145857076396</v>
      </c>
    </row>
    <row r="111" spans="1:4" hidden="1">
      <c r="A111" s="4">
        <v>46905</v>
      </c>
      <c r="B111">
        <v>0.33419715639810421</v>
      </c>
      <c r="C111">
        <f t="shared" si="2"/>
        <v>1.0033419715639811</v>
      </c>
      <c r="D111">
        <f t="shared" si="3"/>
        <v>1.7703112090801481</v>
      </c>
    </row>
    <row r="112" spans="1:4" hidden="1">
      <c r="A112" s="4">
        <v>46935</v>
      </c>
      <c r="B112">
        <v>0.30634739336492883</v>
      </c>
      <c r="C112">
        <f t="shared" si="2"/>
        <v>1.0030634739336493</v>
      </c>
      <c r="D112">
        <f t="shared" si="3"/>
        <v>1.7757345113236123</v>
      </c>
    </row>
    <row r="113" spans="1:4" hidden="1">
      <c r="A113" s="4">
        <v>46966</v>
      </c>
      <c r="B113">
        <v>0.15317369668246442</v>
      </c>
      <c r="C113">
        <f t="shared" si="2"/>
        <v>1.0015317369668246</v>
      </c>
      <c r="D113">
        <f t="shared" si="3"/>
        <v>1.778454469517873</v>
      </c>
    </row>
    <row r="114" spans="1:4" hidden="1">
      <c r="A114" s="4">
        <v>46997</v>
      </c>
      <c r="B114">
        <v>8.3549289099526053E-2</v>
      </c>
      <c r="C114">
        <f t="shared" si="2"/>
        <v>1.0008354928909953</v>
      </c>
      <c r="D114">
        <f t="shared" si="3"/>
        <v>1.779940355584114</v>
      </c>
    </row>
    <row r="115" spans="1:4">
      <c r="A115" s="4">
        <v>47027</v>
      </c>
      <c r="B115">
        <v>0.1113990521327014</v>
      </c>
      <c r="C115">
        <f t="shared" si="2"/>
        <v>1.0011139905213271</v>
      </c>
      <c r="D115">
        <f t="shared" si="3"/>
        <v>1.7819231922687624</v>
      </c>
    </row>
    <row r="116" spans="1:4" hidden="1">
      <c r="A116" s="4">
        <v>47058</v>
      </c>
      <c r="B116">
        <v>0.65791090047393341</v>
      </c>
      <c r="C116">
        <f t="shared" si="2"/>
        <v>1.0065791090047393</v>
      </c>
      <c r="D116">
        <f t="shared" si="3"/>
        <v>1.7936466591887716</v>
      </c>
    </row>
    <row r="117" spans="1:4" hidden="1">
      <c r="A117" s="4">
        <v>47088</v>
      </c>
      <c r="B117">
        <v>1.3578161137440754</v>
      </c>
      <c r="C117">
        <f t="shared" si="2"/>
        <v>1.0135781611374408</v>
      </c>
      <c r="D117">
        <f t="shared" si="3"/>
        <v>1.8180010825508692</v>
      </c>
    </row>
    <row r="118" spans="1:4" hidden="1">
      <c r="A118" s="4">
        <v>47119</v>
      </c>
      <c r="B118">
        <v>0.5879203791469193</v>
      </c>
      <c r="C118">
        <f t="shared" si="2"/>
        <v>1.0058792037914692</v>
      </c>
      <c r="D118">
        <f t="shared" si="3"/>
        <v>1.8286894814082975</v>
      </c>
    </row>
    <row r="119" spans="1:4" hidden="1">
      <c r="A119" s="4">
        <v>47150</v>
      </c>
      <c r="B119">
        <v>0.46193744075829374</v>
      </c>
      <c r="C119">
        <f t="shared" si="2"/>
        <v>1.0046193744075829</v>
      </c>
      <c r="D119">
        <f t="shared" si="3"/>
        <v>1.8371368827981309</v>
      </c>
    </row>
    <row r="120" spans="1:4" hidden="1">
      <c r="A120" s="4">
        <v>47178</v>
      </c>
      <c r="B120">
        <v>0.6999052132701421</v>
      </c>
      <c r="C120">
        <f t="shared" si="2"/>
        <v>1.0069990521327015</v>
      </c>
      <c r="D120">
        <f t="shared" si="3"/>
        <v>1.8499950996157437</v>
      </c>
    </row>
    <row r="121" spans="1:4">
      <c r="A121" s="4">
        <v>47209</v>
      </c>
      <c r="B121">
        <v>0.78389383886255903</v>
      </c>
      <c r="C121">
        <f t="shared" si="2"/>
        <v>1.0078389383886255</v>
      </c>
      <c r="D121">
        <f t="shared" si="3"/>
        <v>1.8644970972208905</v>
      </c>
    </row>
    <row r="122" spans="1:4" hidden="1">
      <c r="A122" s="4">
        <v>47239</v>
      </c>
      <c r="B122">
        <v>0.36395071090047387</v>
      </c>
      <c r="C122">
        <f t="shared" si="2"/>
        <v>1.0036395071090047</v>
      </c>
      <c r="D122">
        <f t="shared" si="3"/>
        <v>1.8712829476609447</v>
      </c>
    </row>
    <row r="123" spans="1:4" hidden="1">
      <c r="A123" s="4">
        <v>47270</v>
      </c>
      <c r="B123">
        <v>0.33595450236966817</v>
      </c>
      <c r="C123">
        <f t="shared" si="2"/>
        <v>1.0033595450236967</v>
      </c>
      <c r="D123">
        <f t="shared" si="3"/>
        <v>1.8775696069756875</v>
      </c>
    </row>
    <row r="124" spans="1:4" hidden="1">
      <c r="A124" s="4">
        <v>47300</v>
      </c>
      <c r="B124">
        <v>0.30795829383886247</v>
      </c>
      <c r="C124">
        <f t="shared" si="2"/>
        <v>1.0030795829383887</v>
      </c>
      <c r="D124">
        <f t="shared" si="3"/>
        <v>1.883351738302967</v>
      </c>
    </row>
    <row r="125" spans="1:4" hidden="1">
      <c r="A125" s="4">
        <v>47331</v>
      </c>
      <c r="B125">
        <v>0.15397914691943124</v>
      </c>
      <c r="C125">
        <f t="shared" si="2"/>
        <v>1.0015397914691944</v>
      </c>
      <c r="D125">
        <f t="shared" si="3"/>
        <v>1.8862517072430982</v>
      </c>
    </row>
    <row r="126" spans="1:4" hidden="1">
      <c r="A126" s="4">
        <v>47362</v>
      </c>
      <c r="B126">
        <v>8.3988625592417043E-2</v>
      </c>
      <c r="C126">
        <f t="shared" si="2"/>
        <v>1.0008398862559242</v>
      </c>
      <c r="D126">
        <f t="shared" si="3"/>
        <v>1.8878359441272252</v>
      </c>
    </row>
    <row r="127" spans="1:4">
      <c r="A127" s="4">
        <v>47392</v>
      </c>
      <c r="B127">
        <v>0.11198483412322273</v>
      </c>
      <c r="C127">
        <f t="shared" si="2"/>
        <v>1.0011198483412322</v>
      </c>
      <c r="D127">
        <f t="shared" si="3"/>
        <v>1.8899500340777746</v>
      </c>
    </row>
    <row r="128" spans="1:4" hidden="1">
      <c r="A128" s="4">
        <v>47423</v>
      </c>
      <c r="B128">
        <v>0.66068412322274861</v>
      </c>
      <c r="C128">
        <f t="shared" si="2"/>
        <v>1.0066068412322275</v>
      </c>
      <c r="D128">
        <f t="shared" si="3"/>
        <v>1.9024366338897696</v>
      </c>
    </row>
    <row r="129" spans="1:4" hidden="1">
      <c r="A129" s="4">
        <v>47453</v>
      </c>
      <c r="B129">
        <v>1.3635395734597153</v>
      </c>
      <c r="C129">
        <f t="shared" si="2"/>
        <v>1.0136353957345972</v>
      </c>
      <c r="D129">
        <f t="shared" si="3"/>
        <v>1.9283771102528515</v>
      </c>
    </row>
    <row r="130" spans="1:4" hidden="1">
      <c r="A130" s="4">
        <v>47484</v>
      </c>
      <c r="B130">
        <v>0.59039857819905206</v>
      </c>
      <c r="C130">
        <f t="shared" si="2"/>
        <v>1.0059039857819905</v>
      </c>
      <c r="D130">
        <f t="shared" si="3"/>
        <v>1.9397622212941001</v>
      </c>
    </row>
    <row r="131" spans="1:4" hidden="1">
      <c r="A131" s="4">
        <v>47515</v>
      </c>
      <c r="B131">
        <v>0.46388459715639807</v>
      </c>
      <c r="C131">
        <f t="shared" ref="C131:C194" si="4">1+B131/100</f>
        <v>1.0046388459715641</v>
      </c>
      <c r="D131">
        <f t="shared" si="3"/>
        <v>1.9487604794601425</v>
      </c>
    </row>
    <row r="132" spans="1:4" hidden="1">
      <c r="A132" s="4">
        <v>47543</v>
      </c>
      <c r="B132">
        <v>0.70285545023696683</v>
      </c>
      <c r="C132">
        <f t="shared" si="4"/>
        <v>1.0070285545023696</v>
      </c>
      <c r="D132">
        <f t="shared" ref="D132:D195" si="5">C132*D131</f>
        <v>1.962457448702092</v>
      </c>
    </row>
    <row r="133" spans="1:4">
      <c r="A133" s="4">
        <v>47574</v>
      </c>
      <c r="B133">
        <v>0.78719810426540271</v>
      </c>
      <c r="C133">
        <f t="shared" si="4"/>
        <v>1.007871981042654</v>
      </c>
      <c r="D133">
        <f t="shared" si="5"/>
        <v>1.9779058765352899</v>
      </c>
    </row>
    <row r="134" spans="1:4" hidden="1">
      <c r="A134" s="4">
        <v>47604</v>
      </c>
      <c r="B134">
        <v>0.36548483412322269</v>
      </c>
      <c r="C134">
        <f t="shared" si="4"/>
        <v>1.0036548483412322</v>
      </c>
      <c r="D134">
        <f t="shared" si="5"/>
        <v>1.9851348225472583</v>
      </c>
    </row>
    <row r="135" spans="1:4" hidden="1">
      <c r="A135" s="4">
        <v>47635</v>
      </c>
      <c r="B135">
        <v>0.33737061611374403</v>
      </c>
      <c r="C135">
        <f t="shared" si="4"/>
        <v>1.0033737061611374</v>
      </c>
      <c r="D135">
        <f t="shared" si="5"/>
        <v>1.9918320841287744</v>
      </c>
    </row>
    <row r="136" spans="1:4" hidden="1">
      <c r="A136" s="4">
        <v>47665</v>
      </c>
      <c r="B136">
        <v>0.30925639810426536</v>
      </c>
      <c r="C136">
        <f t="shared" si="4"/>
        <v>1.0030925639810426</v>
      </c>
      <c r="D136">
        <f t="shared" si="5"/>
        <v>1.9979919522884362</v>
      </c>
    </row>
    <row r="137" spans="1:4" hidden="1">
      <c r="A137" s="4">
        <v>47696</v>
      </c>
      <c r="B137">
        <v>0.15462819905213268</v>
      </c>
      <c r="C137">
        <f t="shared" si="4"/>
        <v>1.0015462819905214</v>
      </c>
      <c r="D137">
        <f t="shared" si="5"/>
        <v>2.0010814112614663</v>
      </c>
    </row>
    <row r="138" spans="1:4" hidden="1">
      <c r="A138" s="4">
        <v>47727</v>
      </c>
      <c r="B138">
        <v>8.4342654028436007E-2</v>
      </c>
      <c r="C138">
        <f t="shared" si="4"/>
        <v>1.0008434265402844</v>
      </c>
      <c r="D138">
        <f t="shared" si="5"/>
        <v>2.0027691764329938</v>
      </c>
    </row>
    <row r="139" spans="1:4">
      <c r="A139" s="4">
        <v>47757</v>
      </c>
      <c r="B139">
        <v>0.11245687203791468</v>
      </c>
      <c r="C139">
        <f t="shared" si="4"/>
        <v>1.0011245687203791</v>
      </c>
      <c r="D139">
        <f t="shared" si="5"/>
        <v>2.0050214280029497</v>
      </c>
    </row>
    <row r="140" spans="1:4" hidden="1">
      <c r="A140" s="4">
        <v>47788</v>
      </c>
      <c r="B140">
        <v>0.66295616113744049</v>
      </c>
      <c r="C140">
        <f t="shared" si="4"/>
        <v>1.0066295616113745</v>
      </c>
      <c r="D140">
        <f t="shared" si="5"/>
        <v>2.0183138410920214</v>
      </c>
    </row>
    <row r="141" spans="1:4" hidden="1">
      <c r="A141" s="4">
        <v>47818</v>
      </c>
      <c r="B141">
        <v>1.3682286729857818</v>
      </c>
      <c r="C141">
        <f t="shared" si="4"/>
        <v>1.0136822867298578</v>
      </c>
      <c r="D141">
        <f t="shared" si="5"/>
        <v>2.0459289897766832</v>
      </c>
    </row>
    <row r="142" spans="1:4" hidden="1">
      <c r="A142" s="4">
        <v>47849</v>
      </c>
      <c r="B142">
        <v>0.59242890995260655</v>
      </c>
      <c r="C142">
        <f t="shared" si="4"/>
        <v>1.0059242890995261</v>
      </c>
      <c r="D142">
        <f t="shared" si="5"/>
        <v>2.0580496645892219</v>
      </c>
    </row>
    <row r="143" spans="1:4" hidden="1">
      <c r="A143" s="4">
        <v>47880</v>
      </c>
      <c r="B143">
        <v>0.46547985781990514</v>
      </c>
      <c r="C143">
        <f t="shared" si="4"/>
        <v>1.0046547985781991</v>
      </c>
      <c r="D143">
        <f t="shared" si="5"/>
        <v>2.0676294712418151</v>
      </c>
    </row>
    <row r="144" spans="1:4" hidden="1">
      <c r="A144" s="4">
        <v>47908</v>
      </c>
      <c r="B144">
        <v>0.70527251184834117</v>
      </c>
      <c r="C144">
        <f t="shared" si="4"/>
        <v>1.0070527251184833</v>
      </c>
      <c r="D144">
        <f t="shared" si="5"/>
        <v>2.0822118935493585</v>
      </c>
    </row>
    <row r="145" spans="1:4">
      <c r="A145" s="4">
        <v>47939</v>
      </c>
      <c r="B145">
        <v>0.78990521327014207</v>
      </c>
      <c r="C145">
        <f t="shared" si="4"/>
        <v>1.0078990521327014</v>
      </c>
      <c r="D145">
        <f t="shared" si="5"/>
        <v>2.0986593938478357</v>
      </c>
    </row>
    <row r="146" spans="1:4" hidden="1">
      <c r="A146" s="4">
        <v>47969</v>
      </c>
      <c r="B146">
        <v>0.36674170616113738</v>
      </c>
      <c r="C146">
        <f t="shared" si="4"/>
        <v>1.0036674170616113</v>
      </c>
      <c r="D146">
        <f t="shared" si="5"/>
        <v>2.106356053115344</v>
      </c>
    </row>
    <row r="147" spans="1:4" hidden="1">
      <c r="A147" s="4">
        <v>48000</v>
      </c>
      <c r="B147">
        <v>0.33853080568720373</v>
      </c>
      <c r="C147">
        <f t="shared" si="4"/>
        <v>1.003385308056872</v>
      </c>
      <c r="D147">
        <f t="shared" si="5"/>
        <v>2.1134867172325964</v>
      </c>
    </row>
    <row r="148" spans="1:4" hidden="1">
      <c r="A148" s="4">
        <v>48030</v>
      </c>
      <c r="B148">
        <v>0.31031990521327008</v>
      </c>
      <c r="C148">
        <f t="shared" si="4"/>
        <v>1.0031031990521326</v>
      </c>
      <c r="D148">
        <f t="shared" si="5"/>
        <v>2.1200452872102074</v>
      </c>
    </row>
    <row r="149" spans="1:4" hidden="1">
      <c r="A149" s="4">
        <v>48061</v>
      </c>
      <c r="B149">
        <v>0.15515995260663504</v>
      </c>
      <c r="C149">
        <f t="shared" si="4"/>
        <v>1.0015515995260664</v>
      </c>
      <c r="D149">
        <f t="shared" si="5"/>
        <v>2.123334748473082</v>
      </c>
    </row>
    <row r="150" spans="1:4" hidden="1">
      <c r="A150" s="4">
        <v>48092</v>
      </c>
      <c r="B150">
        <v>8.4632701421800932E-2</v>
      </c>
      <c r="C150">
        <f t="shared" si="4"/>
        <v>1.0008463270142181</v>
      </c>
      <c r="D150">
        <f t="shared" si="5"/>
        <v>2.1251317840309425</v>
      </c>
    </row>
    <row r="151" spans="1:4">
      <c r="A151" s="4">
        <v>48122</v>
      </c>
      <c r="B151">
        <v>0.11315639810426539</v>
      </c>
      <c r="C151">
        <f t="shared" si="4"/>
        <v>1.0011315639810427</v>
      </c>
      <c r="D151">
        <f t="shared" si="5"/>
        <v>2.1275365066127212</v>
      </c>
    </row>
    <row r="152" spans="1:4" hidden="1">
      <c r="A152" s="4">
        <v>48153</v>
      </c>
      <c r="B152">
        <v>0.66479383886255905</v>
      </c>
      <c r="C152">
        <f t="shared" si="4"/>
        <v>1.0066479383886255</v>
      </c>
      <c r="D152">
        <f t="shared" si="5"/>
        <v>2.1416802382282341</v>
      </c>
    </row>
    <row r="153" spans="1:4" hidden="1">
      <c r="A153" s="4">
        <v>48183</v>
      </c>
      <c r="B153">
        <v>1.3720213270142179</v>
      </c>
      <c r="C153">
        <f t="shared" si="4"/>
        <v>1.0137202132701422</v>
      </c>
      <c r="D153">
        <f t="shared" si="5"/>
        <v>2.1710645478531743</v>
      </c>
    </row>
    <row r="154" spans="1:4" hidden="1">
      <c r="A154" s="4">
        <v>48214</v>
      </c>
      <c r="B154">
        <v>0.59407109004739334</v>
      </c>
      <c r="C154">
        <f t="shared" si="4"/>
        <v>1.0059407109004739</v>
      </c>
      <c r="D154">
        <f t="shared" si="5"/>
        <v>2.183962214678238</v>
      </c>
    </row>
    <row r="155" spans="1:4" hidden="1">
      <c r="A155" s="4">
        <v>48245</v>
      </c>
      <c r="B155">
        <v>0.46677014218009472</v>
      </c>
      <c r="C155">
        <f t="shared" si="4"/>
        <v>1.0046677014218008</v>
      </c>
      <c r="D155">
        <f t="shared" si="5"/>
        <v>2.1941562982128509</v>
      </c>
    </row>
    <row r="156" spans="1:4" hidden="1">
      <c r="A156" s="4">
        <v>48274</v>
      </c>
      <c r="B156">
        <v>0.7072274881516587</v>
      </c>
      <c r="C156">
        <f t="shared" si="4"/>
        <v>1.0070722748815166</v>
      </c>
      <c r="D156">
        <f t="shared" si="5"/>
        <v>2.2096739746868233</v>
      </c>
    </row>
    <row r="157" spans="1:4">
      <c r="A157" s="4">
        <v>48305</v>
      </c>
      <c r="B157">
        <v>0.79209478672985778</v>
      </c>
      <c r="C157">
        <f t="shared" si="4"/>
        <v>1.0079209478672986</v>
      </c>
      <c r="D157">
        <f t="shared" si="5"/>
        <v>2.2271766870440439</v>
      </c>
    </row>
    <row r="158" spans="1:4" hidden="1">
      <c r="A158" s="4">
        <v>48335</v>
      </c>
      <c r="B158">
        <v>0.36775829383886255</v>
      </c>
      <c r="C158">
        <f t="shared" si="4"/>
        <v>1.0036775829383886</v>
      </c>
      <c r="D158">
        <f t="shared" si="5"/>
        <v>2.2353673140290939</v>
      </c>
    </row>
    <row r="159" spans="1:4" hidden="1">
      <c r="A159" s="4">
        <v>48366</v>
      </c>
      <c r="B159">
        <v>0.33946919431279615</v>
      </c>
      <c r="C159">
        <f t="shared" si="4"/>
        <v>1.003394691943128</v>
      </c>
      <c r="D159">
        <f t="shared" si="5"/>
        <v>2.2429556974399603</v>
      </c>
    </row>
    <row r="160" spans="1:4" hidden="1">
      <c r="A160" s="4">
        <v>48396</v>
      </c>
      <c r="B160">
        <v>0.31118009478672981</v>
      </c>
      <c r="C160">
        <f t="shared" si="4"/>
        <v>1.0031118009478672</v>
      </c>
      <c r="D160">
        <f t="shared" si="5"/>
        <v>2.2499353291052779</v>
      </c>
    </row>
    <row r="161" spans="1:4" hidden="1">
      <c r="A161" s="4">
        <v>48427</v>
      </c>
      <c r="B161">
        <v>0.15559004739336491</v>
      </c>
      <c r="C161">
        <f t="shared" si="4"/>
        <v>1.0015559004739336</v>
      </c>
      <c r="D161">
        <f t="shared" si="5"/>
        <v>2.2534360045501529</v>
      </c>
    </row>
    <row r="162" spans="1:4" hidden="1">
      <c r="A162" s="4">
        <v>48458</v>
      </c>
      <c r="B162">
        <v>8.4867298578199038E-2</v>
      </c>
      <c r="C162">
        <f t="shared" si="4"/>
        <v>1.000848672985782</v>
      </c>
      <c r="D162">
        <f t="shared" si="5"/>
        <v>2.2553484348124031</v>
      </c>
    </row>
    <row r="163" spans="1:4">
      <c r="A163" s="4">
        <v>48488</v>
      </c>
      <c r="B163">
        <v>0.11341207582938387</v>
      </c>
      <c r="C163">
        <f t="shared" si="4"/>
        <v>1.0011341207582938</v>
      </c>
      <c r="D163">
        <f t="shared" si="5"/>
        <v>2.2579062722895094</v>
      </c>
    </row>
    <row r="164" spans="1:4" hidden="1">
      <c r="A164" s="4">
        <v>48519</v>
      </c>
      <c r="B164">
        <v>0.66629594549763016</v>
      </c>
      <c r="C164">
        <f t="shared" si="4"/>
        <v>1.0066629594549763</v>
      </c>
      <c r="D164">
        <f t="shared" si="5"/>
        <v>2.2729506102349109</v>
      </c>
    </row>
    <row r="165" spans="1:4" hidden="1">
      <c r="A165" s="4">
        <v>48549</v>
      </c>
      <c r="B165">
        <v>1.3751214194312793</v>
      </c>
      <c r="C165">
        <f t="shared" si="4"/>
        <v>1.0137512141943128</v>
      </c>
      <c r="D165">
        <f t="shared" si="5"/>
        <v>2.3042064409293452</v>
      </c>
    </row>
    <row r="166" spans="1:4" hidden="1">
      <c r="A166" s="4">
        <v>48580</v>
      </c>
      <c r="B166">
        <v>0.5954133981042653</v>
      </c>
      <c r="C166">
        <f t="shared" si="4"/>
        <v>1.0059541339810427</v>
      </c>
      <c r="D166">
        <f t="shared" si="5"/>
        <v>2.3179259947986202</v>
      </c>
    </row>
    <row r="167" spans="1:4" hidden="1">
      <c r="A167" s="4">
        <v>48611</v>
      </c>
      <c r="B167">
        <v>0.46782481279620847</v>
      </c>
      <c r="C167">
        <f t="shared" si="4"/>
        <v>1.0046782481279621</v>
      </c>
      <c r="D167">
        <f t="shared" si="5"/>
        <v>2.3287698277445417</v>
      </c>
    </row>
    <row r="168" spans="1:4" hidden="1">
      <c r="A168" s="4">
        <v>48639</v>
      </c>
      <c r="B168">
        <v>0.70882547393364925</v>
      </c>
      <c r="C168">
        <f t="shared" si="4"/>
        <v>1.0070882547393365</v>
      </c>
      <c r="D168">
        <f t="shared" si="5"/>
        <v>2.3452767415128757</v>
      </c>
    </row>
    <row r="169" spans="1:4">
      <c r="A169" s="4">
        <v>48670</v>
      </c>
      <c r="B169">
        <v>0.79388453080568711</v>
      </c>
      <c r="C169">
        <f t="shared" si="4"/>
        <v>1.0079388453080569</v>
      </c>
      <c r="D169">
        <f t="shared" si="5"/>
        <v>2.36389553076833</v>
      </c>
    </row>
    <row r="170" spans="1:4" hidden="1">
      <c r="A170" s="4">
        <v>48700</v>
      </c>
      <c r="B170">
        <v>0.36858924644549756</v>
      </c>
      <c r="C170">
        <f t="shared" si="4"/>
        <v>1.0036858924644549</v>
      </c>
      <c r="D170">
        <f t="shared" si="5"/>
        <v>2.3726085954919478</v>
      </c>
    </row>
    <row r="171" spans="1:4" hidden="1">
      <c r="A171" s="4">
        <v>48731</v>
      </c>
      <c r="B171">
        <v>0.34023622748815158</v>
      </c>
      <c r="C171">
        <f t="shared" si="4"/>
        <v>1.0034023622748816</v>
      </c>
      <c r="D171">
        <f t="shared" si="5"/>
        <v>2.3806810694703091</v>
      </c>
    </row>
    <row r="172" spans="1:4" hidden="1">
      <c r="A172" s="4">
        <v>48761</v>
      </c>
      <c r="B172">
        <v>0.31188320853080564</v>
      </c>
      <c r="C172">
        <f t="shared" si="4"/>
        <v>1.0031188320853082</v>
      </c>
      <c r="D172">
        <f t="shared" si="5"/>
        <v>2.3881060139746588</v>
      </c>
    </row>
    <row r="173" spans="1:4" hidden="1">
      <c r="A173" s="4">
        <v>48792</v>
      </c>
      <c r="B173">
        <v>0.15594160426540282</v>
      </c>
      <c r="C173">
        <f t="shared" si="4"/>
        <v>1.001559416042654</v>
      </c>
      <c r="D173">
        <f t="shared" si="5"/>
        <v>2.3918300648044095</v>
      </c>
    </row>
    <row r="174" spans="1:4" hidden="1">
      <c r="A174" s="4">
        <v>48823</v>
      </c>
      <c r="B174">
        <v>8.5059056872037894E-2</v>
      </c>
      <c r="C174">
        <f t="shared" si="4"/>
        <v>1.0008505905687204</v>
      </c>
      <c r="D174">
        <f t="shared" si="5"/>
        <v>2.3938645328995141</v>
      </c>
    </row>
    <row r="175" spans="1:4">
      <c r="A175" s="4">
        <v>48853</v>
      </c>
      <c r="B175">
        <v>0.11362790521327013</v>
      </c>
      <c r="C175">
        <f t="shared" si="4"/>
        <v>1.0011362790521328</v>
      </c>
      <c r="D175">
        <f t="shared" si="5"/>
        <v>2.3965846310218915</v>
      </c>
    </row>
    <row r="176" spans="1:4" hidden="1">
      <c r="A176" s="4">
        <v>48884</v>
      </c>
      <c r="B176">
        <v>0.66756394312796186</v>
      </c>
      <c r="C176">
        <f t="shared" si="4"/>
        <v>1.0066756394312797</v>
      </c>
      <c r="D176">
        <f t="shared" si="5"/>
        <v>2.4125833658851401</v>
      </c>
    </row>
    <row r="177" spans="1:4" hidden="1">
      <c r="A177" s="4">
        <v>48914</v>
      </c>
      <c r="B177">
        <v>1.3777383507109002</v>
      </c>
      <c r="C177">
        <f t="shared" si="4"/>
        <v>1.0137773835071091</v>
      </c>
      <c r="D177">
        <f t="shared" si="5"/>
        <v>2.445822452159812</v>
      </c>
    </row>
    <row r="178" spans="1:4" hidden="1">
      <c r="A178" s="4">
        <v>48945</v>
      </c>
      <c r="B178">
        <v>0.59654650236966811</v>
      </c>
      <c r="C178">
        <f t="shared" si="4"/>
        <v>1.0059654650236967</v>
      </c>
      <c r="D178">
        <f t="shared" si="5"/>
        <v>2.4604129204523435</v>
      </c>
    </row>
    <row r="179" spans="1:4" hidden="1">
      <c r="A179" s="4">
        <v>48976</v>
      </c>
      <c r="B179">
        <v>0.46871510900473923</v>
      </c>
      <c r="C179">
        <f t="shared" si="4"/>
        <v>1.0046871510900475</v>
      </c>
      <c r="D179">
        <f t="shared" si="5"/>
        <v>2.4719452475544084</v>
      </c>
    </row>
    <row r="180" spans="1:4" hidden="1">
      <c r="A180" s="4">
        <v>49004</v>
      </c>
      <c r="B180">
        <v>0.71017440758293826</v>
      </c>
      <c r="C180">
        <f t="shared" si="4"/>
        <v>1.0071017440758294</v>
      </c>
      <c r="D180">
        <f t="shared" si="5"/>
        <v>2.4895003700720024</v>
      </c>
    </row>
    <row r="181" spans="1:4">
      <c r="A181" s="4">
        <v>49035</v>
      </c>
      <c r="B181">
        <v>0.79539533649289085</v>
      </c>
      <c r="C181">
        <f t="shared" si="4"/>
        <v>1.0079539533649289</v>
      </c>
      <c r="D181">
        <f t="shared" si="5"/>
        <v>2.5093017399175284</v>
      </c>
    </row>
    <row r="182" spans="1:4" hidden="1">
      <c r="A182" s="4">
        <v>49065</v>
      </c>
      <c r="B182">
        <v>0.36929069194312786</v>
      </c>
      <c r="C182">
        <f t="shared" si="4"/>
        <v>1.0036929069194314</v>
      </c>
      <c r="D182">
        <f t="shared" si="5"/>
        <v>2.5185683576758109</v>
      </c>
    </row>
    <row r="183" spans="1:4" hidden="1">
      <c r="A183" s="4">
        <v>49096</v>
      </c>
      <c r="B183">
        <v>0.34088371563981035</v>
      </c>
      <c r="C183">
        <f t="shared" si="4"/>
        <v>1.0034088371563981</v>
      </c>
      <c r="D183">
        <f t="shared" si="5"/>
        <v>2.5271537470743848</v>
      </c>
    </row>
    <row r="184" spans="1:4" hidden="1">
      <c r="A184" s="4">
        <v>49126</v>
      </c>
      <c r="B184">
        <v>0.31247673933649284</v>
      </c>
      <c r="C184">
        <f t="shared" si="4"/>
        <v>1.003124767393365</v>
      </c>
      <c r="D184">
        <f t="shared" si="5"/>
        <v>2.535050514701263</v>
      </c>
    </row>
    <row r="185" spans="1:4" hidden="1">
      <c r="A185" s="4">
        <v>49157</v>
      </c>
      <c r="B185">
        <v>0.15623836966824642</v>
      </c>
      <c r="C185">
        <f t="shared" si="4"/>
        <v>1.0015623836966825</v>
      </c>
      <c r="D185">
        <f t="shared" si="5"/>
        <v>2.5390112362956989</v>
      </c>
    </row>
    <row r="186" spans="1:4" hidden="1">
      <c r="A186" s="4">
        <v>49188</v>
      </c>
      <c r="B186">
        <v>8.5220928909952587E-2</v>
      </c>
      <c r="C186">
        <f t="shared" si="4"/>
        <v>1.0008522092890995</v>
      </c>
      <c r="D186">
        <f t="shared" si="5"/>
        <v>2.5411750052563979</v>
      </c>
    </row>
    <row r="187" spans="1:4">
      <c r="A187" s="4">
        <v>49218</v>
      </c>
      <c r="B187">
        <v>0.11381074881516587</v>
      </c>
      <c r="C187">
        <f t="shared" si="4"/>
        <v>1.0011381074881516</v>
      </c>
      <c r="D187">
        <f t="shared" si="5"/>
        <v>2.544067135558584</v>
      </c>
    </row>
    <row r="188" spans="1:4" hidden="1">
      <c r="A188" s="4">
        <v>49249</v>
      </c>
      <c r="B188">
        <v>0.66863814928909937</v>
      </c>
      <c r="C188">
        <f t="shared" si="4"/>
        <v>1.006686381492891</v>
      </c>
      <c r="D188">
        <f t="shared" si="5"/>
        <v>2.5610777389704551</v>
      </c>
    </row>
    <row r="189" spans="1:4" hidden="1">
      <c r="A189" s="4">
        <v>49279</v>
      </c>
      <c r="B189">
        <v>1.3799553293838862</v>
      </c>
      <c r="C189">
        <f t="shared" si="4"/>
        <v>1.0137995532938389</v>
      </c>
      <c r="D189">
        <f t="shared" si="5"/>
        <v>2.5964194677190422</v>
      </c>
    </row>
    <row r="190" spans="1:4" hidden="1">
      <c r="A190" s="4">
        <v>49310</v>
      </c>
      <c r="B190">
        <v>0.59750643127962078</v>
      </c>
      <c r="C190">
        <f t="shared" si="4"/>
        <v>1.0059750643127963</v>
      </c>
      <c r="D190">
        <f t="shared" si="5"/>
        <v>2.6119332410216596</v>
      </c>
    </row>
    <row r="191" spans="1:4" hidden="1">
      <c r="A191" s="4">
        <v>49341</v>
      </c>
      <c r="B191">
        <v>0.4694693388625592</v>
      </c>
      <c r="C191">
        <f t="shared" si="4"/>
        <v>1.0046946933886256</v>
      </c>
      <c r="D191">
        <f t="shared" si="5"/>
        <v>2.6241954667398155</v>
      </c>
    </row>
    <row r="192" spans="1:4" hidden="1">
      <c r="A192" s="4">
        <v>49369</v>
      </c>
      <c r="B192">
        <v>0.71131718009478673</v>
      </c>
      <c r="C192">
        <f t="shared" si="4"/>
        <v>1.0071131718009478</v>
      </c>
      <c r="D192">
        <f t="shared" si="5"/>
        <v>2.6428618199340042</v>
      </c>
    </row>
    <row r="193" spans="1:4">
      <c r="A193" s="4">
        <v>49400</v>
      </c>
      <c r="B193">
        <v>0.79667524170616111</v>
      </c>
      <c r="C193">
        <f t="shared" si="4"/>
        <v>1.0079667524170617</v>
      </c>
      <c r="D193">
        <f t="shared" si="5"/>
        <v>2.6639168457259235</v>
      </c>
    </row>
    <row r="194" spans="1:4" hidden="1">
      <c r="A194" s="4">
        <v>49430</v>
      </c>
      <c r="B194">
        <v>0.36988493364928909</v>
      </c>
      <c r="C194">
        <f t="shared" si="4"/>
        <v>1.0036988493364929</v>
      </c>
      <c r="D194">
        <f t="shared" si="5"/>
        <v>2.6737702727832091</v>
      </c>
    </row>
    <row r="195" spans="1:4" hidden="1">
      <c r="A195" s="4">
        <v>49461</v>
      </c>
      <c r="B195">
        <v>0.34143224644549758</v>
      </c>
      <c r="C195">
        <f t="shared" ref="C195:C241" si="6">1+B195/100</f>
        <v>1.0034143224644549</v>
      </c>
      <c r="D195">
        <f t="shared" si="5"/>
        <v>2.6828993866903645</v>
      </c>
    </row>
    <row r="196" spans="1:4" hidden="1">
      <c r="A196" s="4">
        <v>49491</v>
      </c>
      <c r="B196">
        <v>0.31297955924170612</v>
      </c>
      <c r="C196">
        <f t="shared" si="6"/>
        <v>1.003129795592417</v>
      </c>
      <c r="D196">
        <f t="shared" ref="D196:D241" si="7">C196*D195</f>
        <v>2.6912963133657262</v>
      </c>
    </row>
    <row r="197" spans="1:4" hidden="1">
      <c r="A197" s="4">
        <v>49522</v>
      </c>
      <c r="B197">
        <v>0.15648977962085306</v>
      </c>
      <c r="C197">
        <f t="shared" si="6"/>
        <v>1.0015648977962086</v>
      </c>
      <c r="D197">
        <f t="shared" si="7"/>
        <v>2.6955079170354566</v>
      </c>
    </row>
    <row r="198" spans="1:4" hidden="1">
      <c r="A198" s="4">
        <v>49553</v>
      </c>
      <c r="B198">
        <v>8.5358061611374395E-2</v>
      </c>
      <c r="C198">
        <f t="shared" si="6"/>
        <v>1.0008535806161138</v>
      </c>
      <c r="D198">
        <f t="shared" si="7"/>
        <v>2.6978087503440196</v>
      </c>
    </row>
    <row r="199" spans="1:4">
      <c r="A199" s="4">
        <v>49583</v>
      </c>
      <c r="B199">
        <v>0.11396756398104264</v>
      </c>
      <c r="C199">
        <f t="shared" si="6"/>
        <v>1.0011396756398103</v>
      </c>
      <c r="D199">
        <f t="shared" si="7"/>
        <v>2.7008833772576537</v>
      </c>
    </row>
    <row r="200" spans="1:4" hidden="1">
      <c r="A200" s="4">
        <v>49614</v>
      </c>
      <c r="B200">
        <v>0.66955943838862542</v>
      </c>
      <c r="C200">
        <f t="shared" si="6"/>
        <v>1.0066955943838862</v>
      </c>
      <c r="D200">
        <f t="shared" si="7"/>
        <v>2.7189673968299517</v>
      </c>
    </row>
    <row r="201" spans="1:4" hidden="1">
      <c r="A201" s="4">
        <v>49644</v>
      </c>
      <c r="B201">
        <v>1.381856713270142</v>
      </c>
      <c r="C201">
        <f t="shared" si="6"/>
        <v>1.0138185671327014</v>
      </c>
      <c r="D201">
        <f t="shared" si="7"/>
        <v>2.7565396303346725</v>
      </c>
    </row>
    <row r="202" spans="1:4" hidden="1">
      <c r="A202" s="4">
        <v>49675</v>
      </c>
      <c r="B202">
        <v>0.59832971090047393</v>
      </c>
      <c r="C202">
        <f t="shared" si="6"/>
        <v>1.0059832971090048</v>
      </c>
      <c r="D202">
        <f t="shared" si="7"/>
        <v>2.7730328259357111</v>
      </c>
    </row>
    <row r="203" spans="1:4" hidden="1">
      <c r="A203" s="4">
        <v>49706</v>
      </c>
      <c r="B203">
        <v>0.47011620142180088</v>
      </c>
      <c r="C203">
        <f t="shared" si="6"/>
        <v>1.0047011620142181</v>
      </c>
      <c r="D203">
        <f t="shared" si="7"/>
        <v>2.78606930252118</v>
      </c>
    </row>
    <row r="204" spans="1:4" hidden="1">
      <c r="A204" s="4">
        <v>49735</v>
      </c>
      <c r="B204">
        <v>0.71229727488151651</v>
      </c>
      <c r="C204">
        <f t="shared" si="6"/>
        <v>1.0071229727488151</v>
      </c>
      <c r="D204">
        <f t="shared" si="7"/>
        <v>2.8059143982393486</v>
      </c>
    </row>
    <row r="205" spans="1:4">
      <c r="A205" s="4">
        <v>49766</v>
      </c>
      <c r="B205">
        <v>0.79777294786729847</v>
      </c>
      <c r="C205">
        <f t="shared" si="6"/>
        <v>1.0079777294786729</v>
      </c>
      <c r="D205">
        <f t="shared" si="7"/>
        <v>2.8282992242488154</v>
      </c>
    </row>
    <row r="206" spans="1:4" hidden="1">
      <c r="A206" s="4">
        <v>49796</v>
      </c>
      <c r="B206">
        <v>0.37039458293838856</v>
      </c>
      <c r="C206">
        <f t="shared" si="6"/>
        <v>1.0037039458293839</v>
      </c>
      <c r="D206">
        <f t="shared" si="7"/>
        <v>2.8387750913647216</v>
      </c>
    </row>
    <row r="207" spans="1:4" hidden="1">
      <c r="A207" s="4">
        <v>49827</v>
      </c>
      <c r="B207">
        <v>0.34190269194312795</v>
      </c>
      <c r="C207">
        <f t="shared" si="6"/>
        <v>1.0034190269194312</v>
      </c>
      <c r="D207">
        <f t="shared" si="7"/>
        <v>2.8484809398203081</v>
      </c>
    </row>
    <row r="208" spans="1:4" hidden="1">
      <c r="A208" s="4">
        <v>49857</v>
      </c>
      <c r="B208">
        <v>0.31341080094786727</v>
      </c>
      <c r="C208">
        <f t="shared" si="6"/>
        <v>1.0031341080094787</v>
      </c>
      <c r="D208">
        <f t="shared" si="7"/>
        <v>2.8574083867486464</v>
      </c>
    </row>
    <row r="209" spans="1:4" hidden="1">
      <c r="A209" s="4">
        <v>49888</v>
      </c>
      <c r="B209">
        <v>0.15670540047393364</v>
      </c>
      <c r="C209">
        <f t="shared" si="6"/>
        <v>1.0015670540047394</v>
      </c>
      <c r="D209">
        <f t="shared" si="7"/>
        <v>2.861886100004277</v>
      </c>
    </row>
    <row r="210" spans="1:4" hidden="1">
      <c r="A210" s="4">
        <v>49919</v>
      </c>
      <c r="B210">
        <v>8.5475672985781986E-2</v>
      </c>
      <c r="C210">
        <f t="shared" si="6"/>
        <v>1.0008547567298578</v>
      </c>
      <c r="D210">
        <f t="shared" si="7"/>
        <v>2.8643323164083423</v>
      </c>
    </row>
    <row r="211" spans="1:4">
      <c r="A211" s="4">
        <v>49949</v>
      </c>
      <c r="B211">
        <v>0.11410348815165874</v>
      </c>
      <c r="C211">
        <f t="shared" si="6"/>
        <v>1.0011410348815166</v>
      </c>
      <c r="D211">
        <f t="shared" si="7"/>
        <v>2.8676006194936194</v>
      </c>
    </row>
    <row r="212" spans="1:4" hidden="1">
      <c r="A212" s="4">
        <v>49980</v>
      </c>
      <c r="B212">
        <v>0.67035799289099507</v>
      </c>
      <c r="C212">
        <f t="shared" si="6"/>
        <v>1.0067035799289099</v>
      </c>
      <c r="D212">
        <f t="shared" si="7"/>
        <v>2.8868238094505867</v>
      </c>
    </row>
    <row r="213" spans="1:4" hidden="1">
      <c r="A213" s="4">
        <v>50010</v>
      </c>
      <c r="B213">
        <v>1.3835047938388623</v>
      </c>
      <c r="C213">
        <f t="shared" si="6"/>
        <v>1.0138350479383886</v>
      </c>
      <c r="D213">
        <f t="shared" si="7"/>
        <v>2.9267631552440174</v>
      </c>
    </row>
    <row r="214" spans="1:4" hidden="1">
      <c r="A214" s="4">
        <v>50041</v>
      </c>
      <c r="B214">
        <v>0.59904331279620837</v>
      </c>
      <c r="C214">
        <f t="shared" si="6"/>
        <v>1.0059904331279621</v>
      </c>
      <c r="D214">
        <f t="shared" si="7"/>
        <v>2.9442957342068903</v>
      </c>
    </row>
    <row r="215" spans="1:4" hidden="1">
      <c r="A215" s="4">
        <v>50072</v>
      </c>
      <c r="B215">
        <v>0.47067688862559232</v>
      </c>
      <c r="C215">
        <f t="shared" si="6"/>
        <v>1.0047067688862559</v>
      </c>
      <c r="D215">
        <f t="shared" si="7"/>
        <v>2.9581538537605914</v>
      </c>
    </row>
    <row r="216" spans="1:4" hidden="1">
      <c r="A216" s="4">
        <v>50100</v>
      </c>
      <c r="B216">
        <v>0.7131468009478672</v>
      </c>
      <c r="C216">
        <f t="shared" si="6"/>
        <v>1.0071314680094787</v>
      </c>
      <c r="D216">
        <f t="shared" si="7"/>
        <v>2.9792498333358011</v>
      </c>
    </row>
    <row r="217" spans="1:4">
      <c r="A217" s="4">
        <v>50131</v>
      </c>
      <c r="B217">
        <v>0.79872441706161124</v>
      </c>
      <c r="C217">
        <f t="shared" si="6"/>
        <v>1.0079872441706161</v>
      </c>
      <c r="D217">
        <f t="shared" si="7"/>
        <v>3.0030458291999214</v>
      </c>
    </row>
    <row r="218" spans="1:4" hidden="1">
      <c r="A218" s="4">
        <v>50161</v>
      </c>
      <c r="B218">
        <v>0.37083633649289094</v>
      </c>
      <c r="C218">
        <f t="shared" si="6"/>
        <v>1.0037083633649289</v>
      </c>
      <c r="D218">
        <f t="shared" si="7"/>
        <v>3.0141822143361288</v>
      </c>
    </row>
    <row r="219" spans="1:4" hidden="1">
      <c r="A219" s="4">
        <v>50192</v>
      </c>
      <c r="B219">
        <v>0.3423104644549762</v>
      </c>
      <c r="C219">
        <f t="shared" si="6"/>
        <v>1.0034231046445499</v>
      </c>
      <c r="D219">
        <f t="shared" si="7"/>
        <v>3.0245000754735423</v>
      </c>
    </row>
    <row r="220" spans="1:4" hidden="1">
      <c r="A220" s="4">
        <v>50222</v>
      </c>
      <c r="B220">
        <v>0.31378459241706153</v>
      </c>
      <c r="C220">
        <f t="shared" si="6"/>
        <v>1.0031378459241707</v>
      </c>
      <c r="D220">
        <f t="shared" si="7"/>
        <v>3.0339904907080206</v>
      </c>
    </row>
    <row r="221" spans="1:4" hidden="1">
      <c r="A221" s="4">
        <v>50253</v>
      </c>
      <c r="B221">
        <v>0.15689229620853076</v>
      </c>
      <c r="C221">
        <f t="shared" si="6"/>
        <v>1.0015689229620852</v>
      </c>
      <c r="D221">
        <f t="shared" si="7"/>
        <v>3.0387505880556405</v>
      </c>
    </row>
    <row r="222" spans="1:4" hidden="1">
      <c r="A222" s="4">
        <v>50284</v>
      </c>
      <c r="B222">
        <v>8.5577616113744051E-2</v>
      </c>
      <c r="C222">
        <f t="shared" si="6"/>
        <v>1.0008557761611374</v>
      </c>
      <c r="D222">
        <f t="shared" si="7"/>
        <v>3.0413510783685407</v>
      </c>
    </row>
    <row r="223" spans="1:4">
      <c r="A223" s="4">
        <v>50314</v>
      </c>
      <c r="B223">
        <v>0.11422240758293838</v>
      </c>
      <c r="C223">
        <f t="shared" si="6"/>
        <v>1.0011422240758294</v>
      </c>
      <c r="D223">
        <f t="shared" si="7"/>
        <v>3.0448249827933029</v>
      </c>
    </row>
    <row r="224" spans="1:4" hidden="1">
      <c r="A224" s="4">
        <v>50345</v>
      </c>
      <c r="B224">
        <v>0.67105664454976288</v>
      </c>
      <c r="C224">
        <f t="shared" si="6"/>
        <v>1.0067105664454976</v>
      </c>
      <c r="D224">
        <f t="shared" si="7"/>
        <v>3.0652574831552486</v>
      </c>
    </row>
    <row r="225" spans="1:4" hidden="1">
      <c r="A225" s="4">
        <v>50375</v>
      </c>
      <c r="B225">
        <v>1.3849466919431277</v>
      </c>
      <c r="C225">
        <f t="shared" si="6"/>
        <v>1.0138494669194313</v>
      </c>
      <c r="D225">
        <f t="shared" si="7"/>
        <v>3.1077096652677465</v>
      </c>
    </row>
    <row r="226" spans="1:4" hidden="1">
      <c r="A226" s="4">
        <v>50406</v>
      </c>
      <c r="B226">
        <v>0.59966763981042648</v>
      </c>
      <c r="C226">
        <f t="shared" si="6"/>
        <v>1.0059966763981043</v>
      </c>
      <c r="D226">
        <f t="shared" si="7"/>
        <v>3.1263455944696181</v>
      </c>
    </row>
    <row r="227" spans="1:4" hidden="1">
      <c r="A227" s="4">
        <v>50437</v>
      </c>
      <c r="B227">
        <v>0.4711674312796208</v>
      </c>
      <c r="C227">
        <f t="shared" si="6"/>
        <v>1.0047116743127962</v>
      </c>
      <c r="D227">
        <f t="shared" si="7"/>
        <v>3.1410759167000042</v>
      </c>
    </row>
    <row r="228" spans="1:4" hidden="1">
      <c r="A228" s="4">
        <v>50465</v>
      </c>
      <c r="B228">
        <v>0.71389004739336481</v>
      </c>
      <c r="C228">
        <f t="shared" si="6"/>
        <v>1.0071389004739337</v>
      </c>
      <c r="D228">
        <f t="shared" si="7"/>
        <v>3.1634997450503959</v>
      </c>
    </row>
    <row r="229" spans="1:4">
      <c r="A229" s="4">
        <v>50496</v>
      </c>
      <c r="B229">
        <v>0.79955685308056856</v>
      </c>
      <c r="C229">
        <f t="shared" si="6"/>
        <v>1.0079955685308057</v>
      </c>
      <c r="D229">
        <f t="shared" si="7"/>
        <v>3.1887937240591326</v>
      </c>
    </row>
    <row r="230" spans="1:4" hidden="1">
      <c r="A230" s="4">
        <v>50526</v>
      </c>
      <c r="B230">
        <v>0.3712228246445497</v>
      </c>
      <c r="C230">
        <f t="shared" si="6"/>
        <v>1.0037122282464455</v>
      </c>
      <c r="D230">
        <f t="shared" si="7"/>
        <v>3.2006312541936728</v>
      </c>
    </row>
    <row r="231" spans="1:4" hidden="1">
      <c r="A231" s="4">
        <v>50557</v>
      </c>
      <c r="B231">
        <v>0.34266722274881511</v>
      </c>
      <c r="C231">
        <f t="shared" si="6"/>
        <v>1.003426672227488</v>
      </c>
      <c r="D231">
        <f t="shared" si="7"/>
        <v>3.2115987684228484</v>
      </c>
    </row>
    <row r="232" spans="1:4" hidden="1">
      <c r="A232" s="4">
        <v>50587</v>
      </c>
      <c r="B232">
        <v>0.31411162085308053</v>
      </c>
      <c r="C232">
        <f t="shared" si="6"/>
        <v>1.0031411162085309</v>
      </c>
      <c r="D232">
        <f t="shared" si="7"/>
        <v>3.221686773369639</v>
      </c>
    </row>
    <row r="233" spans="1:4" hidden="1">
      <c r="A233" s="4">
        <v>50618</v>
      </c>
      <c r="B233">
        <v>0.15705581042654027</v>
      </c>
      <c r="C233">
        <f t="shared" si="6"/>
        <v>1.0015705581042653</v>
      </c>
      <c r="D233">
        <f t="shared" si="7"/>
        <v>3.2267466196409593</v>
      </c>
    </row>
    <row r="234" spans="1:4" hidden="1">
      <c r="A234" s="4">
        <v>50649</v>
      </c>
      <c r="B234">
        <v>8.5666805687203779E-2</v>
      </c>
      <c r="C234">
        <f t="shared" si="6"/>
        <v>1.000856668056872</v>
      </c>
      <c r="D234">
        <f t="shared" si="7"/>
        <v>3.2295108703976254</v>
      </c>
    </row>
    <row r="235" spans="1:4">
      <c r="A235" s="4">
        <v>50679</v>
      </c>
      <c r="B235">
        <v>0.11432733649289098</v>
      </c>
      <c r="C235">
        <f t="shared" si="6"/>
        <v>1.0011432733649288</v>
      </c>
      <c r="D235">
        <f t="shared" si="7"/>
        <v>3.2332030841574992</v>
      </c>
    </row>
    <row r="236" spans="1:4" hidden="1">
      <c r="A236" s="4">
        <v>50710</v>
      </c>
      <c r="B236">
        <v>0.67167310189573437</v>
      </c>
      <c r="C236">
        <f t="shared" si="6"/>
        <v>1.0067167310189573</v>
      </c>
      <c r="D236">
        <f t="shared" si="7"/>
        <v>3.2549196396034485</v>
      </c>
    </row>
    <row r="237" spans="1:4" hidden="1">
      <c r="A237" s="4">
        <v>50740</v>
      </c>
      <c r="B237">
        <v>1.3862189549763031</v>
      </c>
      <c r="C237">
        <f t="shared" si="6"/>
        <v>1.013862189549763</v>
      </c>
      <c r="D237">
        <f t="shared" si="7"/>
        <v>3.3000399526168778</v>
      </c>
    </row>
    <row r="238" spans="1:4" hidden="1">
      <c r="A238" s="4">
        <v>50771</v>
      </c>
      <c r="B238">
        <v>0.60021851658767766</v>
      </c>
      <c r="C238">
        <f t="shared" si="6"/>
        <v>1.0060021851658767</v>
      </c>
      <c r="D238">
        <f t="shared" si="7"/>
        <v>3.3198474034672754</v>
      </c>
    </row>
    <row r="239" spans="1:4" hidden="1">
      <c r="A239" s="4">
        <v>50802</v>
      </c>
      <c r="B239">
        <v>0.47160026303317526</v>
      </c>
      <c r="C239">
        <f t="shared" si="6"/>
        <v>1.0047160026303317</v>
      </c>
      <c r="D239">
        <f t="shared" si="7"/>
        <v>3.3355038125543266</v>
      </c>
    </row>
    <row r="240" spans="1:4" hidden="1">
      <c r="A240" s="4">
        <v>50830</v>
      </c>
      <c r="B240">
        <v>0.71454585308056862</v>
      </c>
      <c r="C240">
        <f t="shared" si="6"/>
        <v>1.0071454585308057</v>
      </c>
      <c r="D240">
        <f t="shared" si="7"/>
        <v>3.3593375167262778</v>
      </c>
    </row>
    <row r="241" spans="1:4">
      <c r="A241" s="4">
        <v>50861</v>
      </c>
      <c r="B241">
        <v>0.80029135545023689</v>
      </c>
      <c r="C241">
        <f t="shared" si="6"/>
        <v>1.0080029135545023</v>
      </c>
      <c r="D241">
        <f t="shared" si="7"/>
        <v>3.3862220044730349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4D44B-E7FF-49DC-A651-E185864C6814}">
  <dimension ref="A1:D302"/>
  <sheetViews>
    <sheetView workbookViewId="0">
      <selection activeCell="D8" sqref="D8:D302"/>
    </sheetView>
  </sheetViews>
  <sheetFormatPr defaultRowHeight="15"/>
  <cols>
    <col min="1" max="1" width="11.140625" customWidth="1"/>
    <col min="2" max="2" width="10.140625" customWidth="1"/>
    <col min="4" max="4" width="13" customWidth="1"/>
  </cols>
  <sheetData>
    <row r="1" spans="1:4">
      <c r="A1" t="s">
        <v>21</v>
      </c>
      <c r="B1" t="s">
        <v>150</v>
      </c>
      <c r="C1" t="s">
        <v>22</v>
      </c>
      <c r="D1" t="s">
        <v>149</v>
      </c>
    </row>
    <row r="2" spans="1:4">
      <c r="A2" s="4">
        <v>43586</v>
      </c>
      <c r="B2" t="s">
        <v>39</v>
      </c>
      <c r="C2">
        <f>1+B2/100</f>
        <v>1.0013000000000001</v>
      </c>
      <c r="D2">
        <v>1.0013000000000001</v>
      </c>
    </row>
    <row r="3" spans="1:4" hidden="1">
      <c r="A3" s="4">
        <v>43617</v>
      </c>
      <c r="B3" t="s">
        <v>40</v>
      </c>
      <c r="C3">
        <f t="shared" ref="C3:C66" si="0">1+B3/100</f>
        <v>1.0001</v>
      </c>
      <c r="D3">
        <f>C3*D2</f>
        <v>1.0014001300000002</v>
      </c>
    </row>
    <row r="4" spans="1:4" hidden="1">
      <c r="A4" s="4">
        <v>43647</v>
      </c>
      <c r="B4" t="s">
        <v>41</v>
      </c>
      <c r="C4">
        <f t="shared" si="0"/>
        <v>1.0019</v>
      </c>
      <c r="D4">
        <f t="shared" ref="D4:D67" si="1">C4*D3</f>
        <v>1.0033027902470002</v>
      </c>
    </row>
    <row r="5" spans="1:4" hidden="1">
      <c r="A5" s="4">
        <v>43678</v>
      </c>
      <c r="B5" t="s">
        <v>42</v>
      </c>
      <c r="C5">
        <f t="shared" si="0"/>
        <v>1.0011000000000001</v>
      </c>
      <c r="D5">
        <f t="shared" si="1"/>
        <v>1.0044064233162719</v>
      </c>
    </row>
    <row r="6" spans="1:4" hidden="1">
      <c r="A6" s="4">
        <v>43709</v>
      </c>
      <c r="B6" t="s">
        <v>43</v>
      </c>
      <c r="C6">
        <f t="shared" si="0"/>
        <v>0.99960000000000004</v>
      </c>
      <c r="D6">
        <f t="shared" si="1"/>
        <v>1.0040046607469455</v>
      </c>
    </row>
    <row r="7" spans="1:4" hidden="1">
      <c r="A7" s="4">
        <v>43739</v>
      </c>
      <c r="B7" t="s">
        <v>44</v>
      </c>
      <c r="C7">
        <f t="shared" si="0"/>
        <v>1.0009999999999999</v>
      </c>
      <c r="D7">
        <f t="shared" si="1"/>
        <v>1.0050086654076924</v>
      </c>
    </row>
    <row r="8" spans="1:4">
      <c r="A8" s="4">
        <v>43770</v>
      </c>
      <c r="B8" t="s">
        <v>45</v>
      </c>
      <c r="C8">
        <f t="shared" si="0"/>
        <v>1.0051000000000001</v>
      </c>
      <c r="D8">
        <f t="shared" si="1"/>
        <v>1.0101342096012718</v>
      </c>
    </row>
    <row r="9" spans="1:4" hidden="1">
      <c r="A9" s="4">
        <v>43800</v>
      </c>
      <c r="B9" t="s">
        <v>46</v>
      </c>
      <c r="C9">
        <f t="shared" si="0"/>
        <v>1.0115000000000001</v>
      </c>
      <c r="D9">
        <f t="shared" si="1"/>
        <v>1.0217507530116865</v>
      </c>
    </row>
    <row r="10" spans="1:4" hidden="1">
      <c r="A10" s="4">
        <v>43831</v>
      </c>
      <c r="B10" t="s">
        <v>47</v>
      </c>
      <c r="C10">
        <f t="shared" si="0"/>
        <v>1.0021</v>
      </c>
      <c r="D10">
        <f t="shared" si="1"/>
        <v>1.0238964295930111</v>
      </c>
    </row>
    <row r="11" spans="1:4" hidden="1">
      <c r="A11" s="4">
        <v>43862</v>
      </c>
      <c r="B11" t="s">
        <v>48</v>
      </c>
      <c r="C11">
        <f t="shared" si="0"/>
        <v>1.0024999999999999</v>
      </c>
      <c r="D11">
        <f t="shared" si="1"/>
        <v>1.0264561706669935</v>
      </c>
    </row>
    <row r="12" spans="1:4" hidden="1">
      <c r="A12" s="4">
        <v>43891</v>
      </c>
      <c r="B12" t="s">
        <v>49</v>
      </c>
      <c r="C12">
        <f t="shared" si="0"/>
        <v>1.0006999999999999</v>
      </c>
      <c r="D12">
        <f t="shared" si="1"/>
        <v>1.0271746899864602</v>
      </c>
    </row>
    <row r="13" spans="1:4" hidden="1">
      <c r="A13" s="4">
        <v>43922</v>
      </c>
      <c r="B13" t="s">
        <v>50</v>
      </c>
      <c r="C13">
        <f t="shared" si="0"/>
        <v>0.99690000000000001</v>
      </c>
      <c r="D13">
        <f t="shared" si="1"/>
        <v>1.0239904484475022</v>
      </c>
    </row>
    <row r="14" spans="1:4">
      <c r="A14" s="4">
        <v>43952</v>
      </c>
      <c r="B14" t="s">
        <v>51</v>
      </c>
      <c r="C14">
        <f t="shared" si="0"/>
        <v>0.99619999999999997</v>
      </c>
      <c r="D14">
        <f t="shared" si="1"/>
        <v>1.0200992847434016</v>
      </c>
    </row>
    <row r="15" spans="1:4" hidden="1">
      <c r="A15" s="4">
        <v>43983</v>
      </c>
      <c r="B15" t="s">
        <v>52</v>
      </c>
      <c r="C15">
        <f t="shared" si="0"/>
        <v>1.0025999999999999</v>
      </c>
      <c r="D15">
        <f t="shared" si="1"/>
        <v>1.0227515428837344</v>
      </c>
    </row>
    <row r="16" spans="1:4" hidden="1">
      <c r="A16" s="4">
        <v>44013</v>
      </c>
      <c r="B16" t="s">
        <v>53</v>
      </c>
      <c r="C16">
        <f t="shared" si="0"/>
        <v>1.0036</v>
      </c>
      <c r="D16">
        <f t="shared" si="1"/>
        <v>1.0264334484381159</v>
      </c>
    </row>
    <row r="17" spans="1:4" hidden="1">
      <c r="A17" s="4">
        <v>44044</v>
      </c>
      <c r="B17" t="s">
        <v>54</v>
      </c>
      <c r="C17">
        <f t="shared" si="0"/>
        <v>1.0024</v>
      </c>
      <c r="D17">
        <f t="shared" si="1"/>
        <v>1.0288968887143672</v>
      </c>
    </row>
    <row r="18" spans="1:4" hidden="1">
      <c r="A18" s="4">
        <v>44075</v>
      </c>
      <c r="B18" t="s">
        <v>55</v>
      </c>
      <c r="C18">
        <f t="shared" si="0"/>
        <v>1.0064</v>
      </c>
      <c r="D18">
        <f t="shared" si="1"/>
        <v>1.0354818288021392</v>
      </c>
    </row>
    <row r="19" spans="1:4" hidden="1">
      <c r="A19" s="4">
        <v>44105</v>
      </c>
      <c r="B19" t="s">
        <v>56</v>
      </c>
      <c r="C19">
        <f t="shared" si="0"/>
        <v>1.0085999999999999</v>
      </c>
      <c r="D19">
        <f t="shared" si="1"/>
        <v>1.0443869725298376</v>
      </c>
    </row>
    <row r="20" spans="1:4">
      <c r="A20" s="4">
        <v>44136</v>
      </c>
      <c r="B20" t="s">
        <v>57</v>
      </c>
      <c r="C20">
        <f t="shared" si="0"/>
        <v>1.0088999999999999</v>
      </c>
      <c r="D20">
        <f t="shared" si="1"/>
        <v>1.0536820165853531</v>
      </c>
    </row>
    <row r="21" spans="1:4" hidden="1">
      <c r="A21" s="4">
        <v>44166</v>
      </c>
      <c r="B21" t="s">
        <v>58</v>
      </c>
      <c r="C21">
        <f t="shared" si="0"/>
        <v>1.0135000000000001</v>
      </c>
      <c r="D21">
        <f t="shared" si="1"/>
        <v>1.0679067238092554</v>
      </c>
    </row>
    <row r="22" spans="1:4" hidden="1">
      <c r="A22" s="4">
        <v>44197</v>
      </c>
      <c r="B22" t="s">
        <v>48</v>
      </c>
      <c r="C22">
        <f t="shared" si="0"/>
        <v>1.0024999999999999</v>
      </c>
      <c r="D22">
        <f t="shared" si="1"/>
        <v>1.0705764906187785</v>
      </c>
    </row>
    <row r="23" spans="1:4" hidden="1">
      <c r="A23" s="4">
        <v>44228</v>
      </c>
      <c r="B23" t="s">
        <v>56</v>
      </c>
      <c r="C23">
        <f t="shared" si="0"/>
        <v>1.0085999999999999</v>
      </c>
      <c r="D23">
        <f t="shared" si="1"/>
        <v>1.0797834484380999</v>
      </c>
    </row>
    <row r="24" spans="1:4" hidden="1">
      <c r="A24" s="4">
        <v>44256</v>
      </c>
      <c r="B24" t="s">
        <v>59</v>
      </c>
      <c r="C24">
        <f t="shared" si="0"/>
        <v>1.0093000000000001</v>
      </c>
      <c r="D24">
        <f t="shared" si="1"/>
        <v>1.0898254345085743</v>
      </c>
    </row>
    <row r="25" spans="1:4" hidden="1">
      <c r="A25" s="4">
        <v>44287</v>
      </c>
      <c r="B25" t="s">
        <v>60</v>
      </c>
      <c r="C25">
        <f t="shared" si="0"/>
        <v>1.0031000000000001</v>
      </c>
      <c r="D25">
        <f t="shared" si="1"/>
        <v>1.093203893355551</v>
      </c>
    </row>
    <row r="26" spans="1:4">
      <c r="A26" s="4">
        <v>44317</v>
      </c>
      <c r="B26" t="s">
        <v>61</v>
      </c>
      <c r="C26">
        <f t="shared" si="0"/>
        <v>1.0083</v>
      </c>
      <c r="D26">
        <f t="shared" si="1"/>
        <v>1.1022774856704021</v>
      </c>
    </row>
    <row r="27" spans="1:4" hidden="1">
      <c r="A27" s="4">
        <v>44348</v>
      </c>
      <c r="B27" t="s">
        <v>62</v>
      </c>
      <c r="C27">
        <f t="shared" si="0"/>
        <v>1.0053000000000001</v>
      </c>
      <c r="D27">
        <f t="shared" si="1"/>
        <v>1.1081195563444552</v>
      </c>
    </row>
    <row r="28" spans="1:4" hidden="1">
      <c r="A28" s="4">
        <v>44378</v>
      </c>
      <c r="B28" t="s">
        <v>63</v>
      </c>
      <c r="C28">
        <f t="shared" si="0"/>
        <v>1.0096000000000001</v>
      </c>
      <c r="D28">
        <f t="shared" si="1"/>
        <v>1.1187575040853621</v>
      </c>
    </row>
    <row r="29" spans="1:4" hidden="1">
      <c r="A29" s="4">
        <v>44409</v>
      </c>
      <c r="B29" t="s">
        <v>64</v>
      </c>
      <c r="C29">
        <f t="shared" si="0"/>
        <v>1.0086999999999999</v>
      </c>
      <c r="D29">
        <f t="shared" si="1"/>
        <v>1.1284906943709048</v>
      </c>
    </row>
    <row r="30" spans="1:4" hidden="1">
      <c r="A30" s="4">
        <v>44440</v>
      </c>
      <c r="B30" t="s">
        <v>65</v>
      </c>
      <c r="C30">
        <f t="shared" si="0"/>
        <v>1.0116000000000001</v>
      </c>
      <c r="D30">
        <f t="shared" si="1"/>
        <v>1.1415811864256074</v>
      </c>
    </row>
    <row r="31" spans="1:4" hidden="1">
      <c r="A31" s="4">
        <v>44470</v>
      </c>
      <c r="B31" t="s">
        <v>66</v>
      </c>
      <c r="C31">
        <f t="shared" si="0"/>
        <v>1.0125</v>
      </c>
      <c r="D31">
        <f t="shared" si="1"/>
        <v>1.1558509512559274</v>
      </c>
    </row>
    <row r="32" spans="1:4">
      <c r="A32" s="4">
        <v>44501</v>
      </c>
      <c r="B32" t="s">
        <v>67</v>
      </c>
      <c r="C32">
        <f t="shared" si="0"/>
        <v>1.0095000000000001</v>
      </c>
      <c r="D32">
        <f t="shared" si="1"/>
        <v>1.1668315352928589</v>
      </c>
    </row>
    <row r="33" spans="1:4" hidden="1">
      <c r="A33" s="4">
        <v>44531</v>
      </c>
      <c r="B33" t="s">
        <v>68</v>
      </c>
      <c r="C33">
        <f t="shared" si="0"/>
        <v>1.0073000000000001</v>
      </c>
      <c r="D33">
        <f t="shared" si="1"/>
        <v>1.1753494055004969</v>
      </c>
    </row>
    <row r="34" spans="1:4" hidden="1">
      <c r="A34" s="4">
        <v>44562</v>
      </c>
      <c r="B34" t="s">
        <v>69</v>
      </c>
      <c r="C34">
        <f t="shared" si="0"/>
        <v>1.0054000000000001</v>
      </c>
      <c r="D34">
        <f t="shared" si="1"/>
        <v>1.1816962922901997</v>
      </c>
    </row>
    <row r="35" spans="1:4" hidden="1">
      <c r="A35" s="4">
        <v>44593</v>
      </c>
      <c r="B35" t="s">
        <v>70</v>
      </c>
      <c r="C35">
        <f t="shared" si="0"/>
        <v>1.0101</v>
      </c>
      <c r="D35">
        <f t="shared" si="1"/>
        <v>1.1936314248423308</v>
      </c>
    </row>
    <row r="36" spans="1:4" hidden="1">
      <c r="A36" s="4">
        <v>44621</v>
      </c>
      <c r="B36" t="s">
        <v>71</v>
      </c>
      <c r="C36">
        <f t="shared" si="0"/>
        <v>1.0162</v>
      </c>
      <c r="D36">
        <f t="shared" si="1"/>
        <v>1.2129682539247766</v>
      </c>
    </row>
    <row r="37" spans="1:4" hidden="1">
      <c r="A37" s="4">
        <v>44652</v>
      </c>
      <c r="B37" t="s">
        <v>72</v>
      </c>
      <c r="C37">
        <f t="shared" si="0"/>
        <v>1.0105999999999999</v>
      </c>
      <c r="D37">
        <f t="shared" si="1"/>
        <v>1.2258257174163791</v>
      </c>
    </row>
    <row r="38" spans="1:4">
      <c r="A38" s="4">
        <v>44682</v>
      </c>
      <c r="B38" t="s">
        <v>73</v>
      </c>
      <c r="C38">
        <f t="shared" si="0"/>
        <v>1.0046999999999999</v>
      </c>
      <c r="D38">
        <f t="shared" si="1"/>
        <v>1.231587098288236</v>
      </c>
    </row>
    <row r="39" spans="1:4" hidden="1">
      <c r="A39" s="4">
        <v>44713</v>
      </c>
      <c r="B39" t="s">
        <v>74</v>
      </c>
      <c r="C39">
        <f t="shared" si="0"/>
        <v>1.0066999999999999</v>
      </c>
      <c r="D39">
        <f t="shared" si="1"/>
        <v>1.2398387318467672</v>
      </c>
    </row>
    <row r="40" spans="1:4" hidden="1">
      <c r="A40" s="4">
        <v>44743</v>
      </c>
      <c r="B40" t="s">
        <v>75</v>
      </c>
      <c r="C40">
        <f t="shared" si="0"/>
        <v>0.99319999999999997</v>
      </c>
      <c r="D40">
        <f t="shared" si="1"/>
        <v>1.2314078284702092</v>
      </c>
    </row>
    <row r="41" spans="1:4" hidden="1">
      <c r="A41" s="4">
        <v>44774</v>
      </c>
      <c r="B41" t="s">
        <v>76</v>
      </c>
      <c r="C41">
        <f t="shared" si="0"/>
        <v>0.99639999999999995</v>
      </c>
      <c r="D41">
        <f t="shared" si="1"/>
        <v>1.2269747602877163</v>
      </c>
    </row>
    <row r="42" spans="1:4" hidden="1">
      <c r="A42" s="4">
        <v>44805</v>
      </c>
      <c r="B42" t="s">
        <v>77</v>
      </c>
      <c r="C42">
        <f t="shared" si="0"/>
        <v>0.99709999999999999</v>
      </c>
      <c r="D42">
        <f t="shared" si="1"/>
        <v>1.2234165334828819</v>
      </c>
    </row>
    <row r="43" spans="1:4" hidden="1">
      <c r="A43" s="4">
        <v>44835</v>
      </c>
      <c r="B43">
        <v>0.33</v>
      </c>
      <c r="C43">
        <f t="shared" si="0"/>
        <v>1.0033000000000001</v>
      </c>
      <c r="D43">
        <f t="shared" si="1"/>
        <v>1.2274538080433754</v>
      </c>
    </row>
    <row r="44" spans="1:4">
      <c r="A44" s="4">
        <v>44866</v>
      </c>
      <c r="B44">
        <v>0.94638500140897963</v>
      </c>
      <c r="C44">
        <f t="shared" si="0"/>
        <v>1.0094638500140898</v>
      </c>
      <c r="D44">
        <f t="shared" si="1"/>
        <v>1.2390702467819212</v>
      </c>
    </row>
    <row r="45" spans="1:4" hidden="1">
      <c r="A45" s="4">
        <v>44896</v>
      </c>
      <c r="B45">
        <v>1.9531775560993834</v>
      </c>
      <c r="C45">
        <f t="shared" si="0"/>
        <v>1.0195317755609938</v>
      </c>
      <c r="D45">
        <f t="shared" si="1"/>
        <v>1.263271488746371</v>
      </c>
    </row>
    <row r="46" spans="1:4" hidden="1">
      <c r="A46" s="4">
        <v>44927</v>
      </c>
      <c r="B46">
        <v>0.84570574593993919</v>
      </c>
      <c r="C46">
        <f t="shared" si="0"/>
        <v>1.0084570574593994</v>
      </c>
      <c r="D46">
        <f t="shared" si="1"/>
        <v>1.27395504831352</v>
      </c>
    </row>
    <row r="47" spans="1:4" hidden="1">
      <c r="A47" s="4">
        <v>44958</v>
      </c>
      <c r="B47">
        <v>0.66448308609566664</v>
      </c>
      <c r="C47">
        <f t="shared" si="0"/>
        <v>1.0066448308609566</v>
      </c>
      <c r="D47">
        <f t="shared" si="1"/>
        <v>1.2824202641340252</v>
      </c>
    </row>
    <row r="48" spans="1:4" hidden="1">
      <c r="A48" s="4">
        <v>44986</v>
      </c>
      <c r="B48">
        <v>1.006792554690404</v>
      </c>
      <c r="C48">
        <f t="shared" si="0"/>
        <v>1.0100679255469041</v>
      </c>
      <c r="D48">
        <f t="shared" si="1"/>
        <v>1.2953315758731676</v>
      </c>
    </row>
    <row r="49" spans="1:4" hidden="1">
      <c r="A49" s="4">
        <v>45017</v>
      </c>
      <c r="B49">
        <v>1.1276076612532524</v>
      </c>
      <c r="C49">
        <f t="shared" si="0"/>
        <v>1.0112760766125326</v>
      </c>
      <c r="D49">
        <f t="shared" si="1"/>
        <v>1.3099378339613461</v>
      </c>
    </row>
    <row r="50" spans="1:4">
      <c r="A50" s="4">
        <v>45047</v>
      </c>
      <c r="B50">
        <v>0.41494999999999999</v>
      </c>
      <c r="C50">
        <f t="shared" si="0"/>
        <v>1.0041495</v>
      </c>
      <c r="D50">
        <f t="shared" si="1"/>
        <v>1.3153734210033687</v>
      </c>
    </row>
    <row r="51" spans="1:4" hidden="1">
      <c r="A51" s="4">
        <v>45078</v>
      </c>
      <c r="B51">
        <v>0.38303300000000001</v>
      </c>
      <c r="C51">
        <f t="shared" si="0"/>
        <v>1.00383033</v>
      </c>
      <c r="D51">
        <f t="shared" si="1"/>
        <v>1.3204117352790405</v>
      </c>
    </row>
    <row r="52" spans="1:4" hidden="1">
      <c r="A52" s="4">
        <v>45108</v>
      </c>
      <c r="B52">
        <v>0.35111999999999999</v>
      </c>
      <c r="C52">
        <f t="shared" si="0"/>
        <v>1.0035111999999999</v>
      </c>
      <c r="D52">
        <f t="shared" si="1"/>
        <v>1.3250479649639522</v>
      </c>
    </row>
    <row r="53" spans="1:4" hidden="1">
      <c r="A53" s="4">
        <v>45139</v>
      </c>
      <c r="B53">
        <v>0.17555687203791467</v>
      </c>
      <c r="C53">
        <f t="shared" si="0"/>
        <v>1.0017555687203792</v>
      </c>
      <c r="D53">
        <f t="shared" si="1"/>
        <v>1.3273741777242449</v>
      </c>
    </row>
    <row r="54" spans="1:4" hidden="1">
      <c r="A54" s="4">
        <v>45170</v>
      </c>
      <c r="B54">
        <v>9.5758293838862543E-2</v>
      </c>
      <c r="C54">
        <f t="shared" si="0"/>
        <v>1.0009575829383885</v>
      </c>
      <c r="D54">
        <f t="shared" si="1"/>
        <v>1.3286452485896911</v>
      </c>
    </row>
    <row r="55" spans="1:4" hidden="1">
      <c r="A55" s="4">
        <v>45200</v>
      </c>
      <c r="B55">
        <v>0.12767772511848341</v>
      </c>
      <c r="C55">
        <f t="shared" si="0"/>
        <v>1.0012767772511848</v>
      </c>
      <c r="D55">
        <f t="shared" si="1"/>
        <v>1.3303416326179853</v>
      </c>
    </row>
    <row r="56" spans="1:4">
      <c r="A56" s="4">
        <v>45231</v>
      </c>
      <c r="B56">
        <v>0.66754478672985762</v>
      </c>
      <c r="C56">
        <f t="shared" si="0"/>
        <v>1.0066754478672986</v>
      </c>
      <c r="D56">
        <f t="shared" si="1"/>
        <v>1.3392222588322236</v>
      </c>
    </row>
    <row r="57" spans="1:4" hidden="1">
      <c r="A57" s="4">
        <v>45261</v>
      </c>
      <c r="B57">
        <v>1.3776988151658764</v>
      </c>
      <c r="C57">
        <f t="shared" si="0"/>
        <v>1.0137769881516587</v>
      </c>
      <c r="D57">
        <f t="shared" si="1"/>
        <v>1.3576727080245927</v>
      </c>
    </row>
    <row r="58" spans="1:4" hidden="1">
      <c r="A58" s="4">
        <v>45292</v>
      </c>
      <c r="B58">
        <v>0.59652938388625576</v>
      </c>
      <c r="C58">
        <f t="shared" si="0"/>
        <v>1.0059652938388626</v>
      </c>
      <c r="D58">
        <f t="shared" si="1"/>
        <v>1.3657716246649636</v>
      </c>
    </row>
    <row r="59" spans="1:4" hidden="1">
      <c r="A59" s="4">
        <v>45323</v>
      </c>
      <c r="B59">
        <v>0.46870165876777242</v>
      </c>
      <c r="C59">
        <f t="shared" si="0"/>
        <v>1.0046870165876778</v>
      </c>
      <c r="D59">
        <f t="shared" si="1"/>
        <v>1.3721730189247479</v>
      </c>
    </row>
    <row r="60" spans="1:4" hidden="1">
      <c r="A60" s="4">
        <v>45352</v>
      </c>
      <c r="B60">
        <v>0.71015402843601882</v>
      </c>
      <c r="C60">
        <f t="shared" si="0"/>
        <v>1.0071015402843602</v>
      </c>
      <c r="D60">
        <f t="shared" si="1"/>
        <v>1.3819175608957541</v>
      </c>
    </row>
    <row r="61" spans="1:4" hidden="1">
      <c r="A61" s="4">
        <v>45383</v>
      </c>
      <c r="B61">
        <v>0.79537251184834112</v>
      </c>
      <c r="C61">
        <f t="shared" si="0"/>
        <v>1.0079537251184834</v>
      </c>
      <c r="D61">
        <f t="shared" si="1"/>
        <v>1.392908953311524</v>
      </c>
    </row>
    <row r="62" spans="1:4">
      <c r="A62" s="4">
        <v>45413</v>
      </c>
      <c r="B62">
        <v>0.3692800947867298</v>
      </c>
      <c r="C62">
        <f t="shared" si="0"/>
        <v>1.0036928009478674</v>
      </c>
      <c r="D62">
        <f t="shared" si="1"/>
        <v>1.3980526888146056</v>
      </c>
    </row>
    <row r="63" spans="1:4" hidden="1">
      <c r="A63" s="4">
        <v>45444</v>
      </c>
      <c r="B63">
        <v>0.34087393364928903</v>
      </c>
      <c r="C63">
        <f t="shared" si="0"/>
        <v>1.003408739336493</v>
      </c>
      <c r="D63">
        <f t="shared" si="1"/>
        <v>1.4028182860094578</v>
      </c>
    </row>
    <row r="64" spans="1:4" hidden="1">
      <c r="A64" s="4">
        <v>45474</v>
      </c>
      <c r="B64">
        <v>0.31246777251184826</v>
      </c>
      <c r="C64">
        <f t="shared" si="0"/>
        <v>1.0031246777251184</v>
      </c>
      <c r="D64">
        <f t="shared" si="1"/>
        <v>1.4072016410601402</v>
      </c>
    </row>
    <row r="65" spans="1:4" hidden="1">
      <c r="A65" s="4">
        <v>45505</v>
      </c>
      <c r="B65">
        <v>0.15623388625592413</v>
      </c>
      <c r="C65">
        <f t="shared" si="0"/>
        <v>1.0015623388625592</v>
      </c>
      <c r="D65">
        <f t="shared" si="1"/>
        <v>1.4094001668714256</v>
      </c>
    </row>
    <row r="66" spans="1:4" hidden="1">
      <c r="A66" s="4">
        <v>45536</v>
      </c>
      <c r="B66">
        <v>8.5218483412322257E-2</v>
      </c>
      <c r="C66">
        <f t="shared" si="0"/>
        <v>1.0008521848341232</v>
      </c>
      <c r="D66">
        <f t="shared" si="1"/>
        <v>1.410601236318844</v>
      </c>
    </row>
    <row r="67" spans="1:4" hidden="1">
      <c r="A67" s="4">
        <v>45566</v>
      </c>
      <c r="B67">
        <v>0.11362464454976301</v>
      </c>
      <c r="C67">
        <f t="shared" ref="C67:C130" si="2">1+B67/100</f>
        <v>1.0011362464454976</v>
      </c>
      <c r="D67">
        <f t="shared" si="1"/>
        <v>1.4122040269596259</v>
      </c>
    </row>
    <row r="68" spans="1:4">
      <c r="A68" s="4">
        <v>45597</v>
      </c>
      <c r="B68">
        <v>0.64748625592417042</v>
      </c>
      <c r="C68">
        <f t="shared" si="2"/>
        <v>1.0064748625592417</v>
      </c>
      <c r="D68">
        <f t="shared" ref="D68:D131" si="3">C68*D67</f>
        <v>1.421347853939797</v>
      </c>
    </row>
    <row r="69" spans="1:4" hidden="1">
      <c r="A69" s="4">
        <v>45627</v>
      </c>
      <c r="B69">
        <v>1.3363014218009477</v>
      </c>
      <c r="C69">
        <f t="shared" si="2"/>
        <v>1.0133630142180095</v>
      </c>
      <c r="D69">
        <f t="shared" si="3"/>
        <v>1.4403413455207317</v>
      </c>
    </row>
    <row r="70" spans="1:4" hidden="1">
      <c r="A70" s="4">
        <v>45658</v>
      </c>
      <c r="B70">
        <v>0.57860473933649281</v>
      </c>
      <c r="C70">
        <f t="shared" si="2"/>
        <v>1.0057860473933649</v>
      </c>
      <c r="D70">
        <f t="shared" si="3"/>
        <v>1.4486752288085376</v>
      </c>
    </row>
    <row r="71" spans="1:4" hidden="1">
      <c r="A71" s="4">
        <v>45689</v>
      </c>
      <c r="B71">
        <v>0.45461800947867292</v>
      </c>
      <c r="C71">
        <f t="shared" si="2"/>
        <v>1.0045461800947868</v>
      </c>
      <c r="D71">
        <f t="shared" si="3"/>
        <v>1.4552611672975577</v>
      </c>
    </row>
    <row r="72" spans="1:4" hidden="1">
      <c r="A72" s="4">
        <v>45717</v>
      </c>
      <c r="B72">
        <v>0.68881516587677716</v>
      </c>
      <c r="C72">
        <f t="shared" si="2"/>
        <v>1.0068881516587678</v>
      </c>
      <c r="D72">
        <f t="shared" si="3"/>
        <v>1.4652852269210188</v>
      </c>
    </row>
    <row r="73" spans="1:4" hidden="1">
      <c r="A73" s="4">
        <v>45748</v>
      </c>
      <c r="B73">
        <v>0.77147298578199042</v>
      </c>
      <c r="C73">
        <f t="shared" si="2"/>
        <v>1.00771472985782</v>
      </c>
      <c r="D73">
        <f t="shared" si="3"/>
        <v>1.4765895066113688</v>
      </c>
    </row>
    <row r="74" spans="1:4">
      <c r="A74" s="4">
        <v>45778</v>
      </c>
      <c r="B74">
        <v>0.35818388625592412</v>
      </c>
      <c r="C74">
        <f t="shared" si="2"/>
        <v>1.0035818388625593</v>
      </c>
      <c r="D74">
        <f t="shared" si="3"/>
        <v>1.4818784122901967</v>
      </c>
    </row>
    <row r="75" spans="1:4" hidden="1">
      <c r="A75" s="4">
        <v>45809</v>
      </c>
      <c r="B75">
        <v>0.33063127962085304</v>
      </c>
      <c r="C75">
        <f t="shared" si="2"/>
        <v>1.0033063127962085</v>
      </c>
      <c r="D75">
        <f t="shared" si="3"/>
        <v>1.4867779658471769</v>
      </c>
    </row>
    <row r="76" spans="1:4" hidden="1">
      <c r="A76" s="4">
        <v>45839</v>
      </c>
      <c r="B76">
        <v>0.30307867298578195</v>
      </c>
      <c r="C76">
        <f t="shared" si="2"/>
        <v>1.0030307867298578</v>
      </c>
      <c r="D76">
        <f t="shared" si="3"/>
        <v>1.4912840727763115</v>
      </c>
    </row>
    <row r="77" spans="1:4" hidden="1">
      <c r="A77" s="4">
        <v>45870</v>
      </c>
      <c r="B77">
        <v>0.15153933649289097</v>
      </c>
      <c r="C77">
        <f t="shared" si="2"/>
        <v>1.001515393364929</v>
      </c>
      <c r="D77">
        <f t="shared" si="3"/>
        <v>1.493543954765421</v>
      </c>
    </row>
    <row r="78" spans="1:4" hidden="1">
      <c r="A78" s="4">
        <v>45901</v>
      </c>
      <c r="B78">
        <v>8.2657819905213259E-2</v>
      </c>
      <c r="C78">
        <f t="shared" si="2"/>
        <v>1.0008265781990522</v>
      </c>
      <c r="D78">
        <f t="shared" si="3"/>
        <v>1.4947784856377564</v>
      </c>
    </row>
    <row r="79" spans="1:4" hidden="1">
      <c r="A79" s="4">
        <v>45931</v>
      </c>
      <c r="B79">
        <v>0.11021042654028435</v>
      </c>
      <c r="C79">
        <f t="shared" si="2"/>
        <v>1.0011021042654029</v>
      </c>
      <c r="D79">
        <f t="shared" si="3"/>
        <v>1.4964258873826102</v>
      </c>
    </row>
    <row r="80" spans="1:4">
      <c r="A80" s="4">
        <v>45962</v>
      </c>
      <c r="B80">
        <v>0.64681800947867285</v>
      </c>
      <c r="C80">
        <f t="shared" si="2"/>
        <v>1.0064681800947868</v>
      </c>
      <c r="D80">
        <f t="shared" si="3"/>
        <v>1.5061050395207021</v>
      </c>
    </row>
    <row r="81" spans="1:4" hidden="1">
      <c r="A81" s="4">
        <v>45992</v>
      </c>
      <c r="B81">
        <v>1.3349222748815164</v>
      </c>
      <c r="C81">
        <f t="shared" si="2"/>
        <v>1.0133492227488152</v>
      </c>
      <c r="D81">
        <f t="shared" si="3"/>
        <v>1.526210371176377</v>
      </c>
    </row>
    <row r="82" spans="1:4" hidden="1">
      <c r="A82" s="4">
        <v>46023</v>
      </c>
      <c r="B82">
        <v>0.5780075829383885</v>
      </c>
      <c r="C82">
        <f t="shared" si="2"/>
        <v>1.0057800758293838</v>
      </c>
      <c r="D82">
        <f t="shared" si="3"/>
        <v>1.5350319828533685</v>
      </c>
    </row>
    <row r="83" spans="1:4" hidden="1">
      <c r="A83" s="4">
        <v>46054</v>
      </c>
      <c r="B83">
        <v>0.45414881516587668</v>
      </c>
      <c r="C83">
        <f t="shared" si="2"/>
        <v>1.0045414881516588</v>
      </c>
      <c r="D83">
        <f t="shared" si="3"/>
        <v>1.5420033124159143</v>
      </c>
    </row>
    <row r="84" spans="1:4" hidden="1">
      <c r="A84" s="4">
        <v>46082</v>
      </c>
      <c r="B84">
        <v>0.68810426540284353</v>
      </c>
      <c r="C84">
        <f t="shared" si="2"/>
        <v>1.0068810426540284</v>
      </c>
      <c r="D84">
        <f t="shared" si="3"/>
        <v>1.5526139029813013</v>
      </c>
    </row>
    <row r="85" spans="1:4" hidden="1">
      <c r="A85" s="4">
        <v>46113</v>
      </c>
      <c r="B85">
        <v>0.77067677725118466</v>
      </c>
      <c r="C85">
        <f t="shared" si="2"/>
        <v>1.0077067677725118</v>
      </c>
      <c r="D85">
        <f t="shared" si="3"/>
        <v>1.5645795377719514</v>
      </c>
    </row>
    <row r="86" spans="1:4">
      <c r="A86" s="4">
        <v>46143</v>
      </c>
      <c r="B86">
        <v>0.3578142180094786</v>
      </c>
      <c r="C86">
        <f t="shared" si="2"/>
        <v>1.0035781421800949</v>
      </c>
      <c r="D86">
        <f t="shared" si="3"/>
        <v>1.5701778258101666</v>
      </c>
    </row>
    <row r="87" spans="1:4" hidden="1">
      <c r="A87" s="4">
        <v>46174</v>
      </c>
      <c r="B87">
        <v>0.33029004739336487</v>
      </c>
      <c r="C87">
        <f t="shared" si="2"/>
        <v>1.0033029004739336</v>
      </c>
      <c r="D87">
        <f t="shared" si="3"/>
        <v>1.5753639668951951</v>
      </c>
    </row>
    <row r="88" spans="1:4" hidden="1">
      <c r="A88" s="4">
        <v>46204</v>
      </c>
      <c r="B88">
        <v>0.30276587677725114</v>
      </c>
      <c r="C88">
        <f t="shared" si="2"/>
        <v>1.0030276587677724</v>
      </c>
      <c r="D88">
        <f t="shared" si="3"/>
        <v>1.580133631421998</v>
      </c>
    </row>
    <row r="89" spans="1:4" hidden="1">
      <c r="A89" s="4">
        <v>46235</v>
      </c>
      <c r="B89">
        <v>0.15138293838862557</v>
      </c>
      <c r="C89">
        <f t="shared" si="2"/>
        <v>1.0015138293838863</v>
      </c>
      <c r="D89">
        <f t="shared" si="3"/>
        <v>1.5825256841437116</v>
      </c>
    </row>
    <row r="90" spans="1:4" hidden="1">
      <c r="A90" s="4">
        <v>46266</v>
      </c>
      <c r="B90">
        <v>8.2572511848341218E-2</v>
      </c>
      <c r="C90">
        <f t="shared" si="2"/>
        <v>1.0008257251184833</v>
      </c>
      <c r="D90">
        <f t="shared" si="3"/>
        <v>1.5838324153517542</v>
      </c>
    </row>
    <row r="91" spans="1:4" hidden="1">
      <c r="A91" s="4">
        <v>46296</v>
      </c>
      <c r="B91">
        <v>0.11009668246445496</v>
      </c>
      <c r="C91">
        <f t="shared" si="2"/>
        <v>1.0011009668246444</v>
      </c>
      <c r="D91">
        <f t="shared" si="3"/>
        <v>1.5855761622968529</v>
      </c>
    </row>
    <row r="92" spans="1:4">
      <c r="A92" s="4">
        <v>46327</v>
      </c>
      <c r="B92">
        <v>0.65048222748815143</v>
      </c>
      <c r="C92">
        <f t="shared" si="2"/>
        <v>1.0065048222748816</v>
      </c>
      <c r="D92">
        <f t="shared" si="3"/>
        <v>1.5958900534358829</v>
      </c>
    </row>
    <row r="93" spans="1:4" hidden="1">
      <c r="A93" s="4">
        <v>46357</v>
      </c>
      <c r="B93">
        <v>1.3424845971563977</v>
      </c>
      <c r="C93">
        <f t="shared" si="2"/>
        <v>1.013424845971564</v>
      </c>
      <c r="D93">
        <f t="shared" si="3"/>
        <v>1.6173146315908107</v>
      </c>
    </row>
    <row r="94" spans="1:4" hidden="1">
      <c r="A94" s="4">
        <v>46388</v>
      </c>
      <c r="B94">
        <v>0.5812819905213269</v>
      </c>
      <c r="C94">
        <f t="shared" si="2"/>
        <v>1.0058128199052132</v>
      </c>
      <c r="D94">
        <f t="shared" si="3"/>
        <v>1.6267157902743143</v>
      </c>
    </row>
    <row r="95" spans="1:4" hidden="1">
      <c r="A95" s="4">
        <v>46419</v>
      </c>
      <c r="B95">
        <v>0.45672156398104258</v>
      </c>
      <c r="C95">
        <f t="shared" si="2"/>
        <v>1.0045672156398104</v>
      </c>
      <c r="D95">
        <f t="shared" si="3"/>
        <v>1.6341453520731819</v>
      </c>
    </row>
    <row r="96" spans="1:4" hidden="1">
      <c r="A96" s="4">
        <v>46447</v>
      </c>
      <c r="B96">
        <v>0.69200236966824635</v>
      </c>
      <c r="C96">
        <f t="shared" si="2"/>
        <v>1.0069200236966824</v>
      </c>
      <c r="D96">
        <f t="shared" si="3"/>
        <v>1.6454536766333518</v>
      </c>
    </row>
    <row r="97" spans="1:4" hidden="1">
      <c r="A97" s="4">
        <v>46478</v>
      </c>
      <c r="B97">
        <v>0.77504265402843586</v>
      </c>
      <c r="C97">
        <f t="shared" si="2"/>
        <v>1.0077504265402843</v>
      </c>
      <c r="D97">
        <f t="shared" si="3"/>
        <v>1.6582066444795394</v>
      </c>
    </row>
    <row r="98" spans="1:4">
      <c r="A98" s="4">
        <v>46508</v>
      </c>
      <c r="B98">
        <v>0.35984123222748809</v>
      </c>
      <c r="C98">
        <f t="shared" si="2"/>
        <v>1.003598412322275</v>
      </c>
      <c r="D98">
        <f t="shared" si="3"/>
        <v>1.6641735557019128</v>
      </c>
    </row>
    <row r="99" spans="1:4" hidden="1">
      <c r="A99" s="4">
        <v>46539</v>
      </c>
      <c r="B99">
        <v>0.3321611374407582</v>
      </c>
      <c r="C99">
        <f t="shared" si="2"/>
        <v>1.0033216113744077</v>
      </c>
      <c r="D99">
        <f t="shared" si="3"/>
        <v>1.6697012935135207</v>
      </c>
    </row>
    <row r="100" spans="1:4" hidden="1">
      <c r="A100" s="4">
        <v>46569</v>
      </c>
      <c r="B100">
        <v>0.30448104265402837</v>
      </c>
      <c r="C100">
        <f t="shared" si="2"/>
        <v>1.0030448104265404</v>
      </c>
      <c r="D100">
        <f t="shared" si="3"/>
        <v>1.6747852174212186</v>
      </c>
    </row>
    <row r="101" spans="1:4" hidden="1">
      <c r="A101" s="4">
        <v>46600</v>
      </c>
      <c r="B101">
        <v>0.15224052132701418</v>
      </c>
      <c r="C101">
        <f t="shared" si="2"/>
        <v>1.0015224052132701</v>
      </c>
      <c r="D101">
        <f t="shared" si="3"/>
        <v>1.6773349191673284</v>
      </c>
    </row>
    <row r="102" spans="1:4" hidden="1">
      <c r="A102" s="4">
        <v>46631</v>
      </c>
      <c r="B102">
        <v>8.3040284360189551E-2</v>
      </c>
      <c r="C102">
        <f t="shared" si="2"/>
        <v>1.0008304028436019</v>
      </c>
      <c r="D102">
        <f t="shared" si="3"/>
        <v>1.6787277828538778</v>
      </c>
    </row>
    <row r="103" spans="1:4" hidden="1">
      <c r="A103" s="4">
        <v>46661</v>
      </c>
      <c r="B103">
        <v>0.11072037914691941</v>
      </c>
      <c r="C103">
        <f t="shared" si="2"/>
        <v>1.0011072037914692</v>
      </c>
      <c r="D103">
        <f t="shared" si="3"/>
        <v>1.6805864766198984</v>
      </c>
    </row>
    <row r="104" spans="1:4">
      <c r="A104" s="4">
        <v>46692</v>
      </c>
      <c r="B104">
        <v>0.65446943127962065</v>
      </c>
      <c r="C104">
        <f t="shared" si="2"/>
        <v>1.0065446943127963</v>
      </c>
      <c r="D104">
        <f t="shared" si="3"/>
        <v>1.6915854013755949</v>
      </c>
    </row>
    <row r="105" spans="1:4" hidden="1">
      <c r="A105" s="4">
        <v>46722</v>
      </c>
      <c r="B105">
        <v>1.3507135071090044</v>
      </c>
      <c r="C105">
        <f t="shared" si="2"/>
        <v>1.01350713507109</v>
      </c>
      <c r="D105">
        <f t="shared" si="3"/>
        <v>1.714433873876259</v>
      </c>
    </row>
    <row r="106" spans="1:4" hidden="1">
      <c r="A106" s="4">
        <v>46753</v>
      </c>
      <c r="B106">
        <v>0.58484502369668234</v>
      </c>
      <c r="C106">
        <f t="shared" si="2"/>
        <v>1.0058484502369669</v>
      </c>
      <c r="D106">
        <f t="shared" si="3"/>
        <v>1.7244606550721946</v>
      </c>
    </row>
    <row r="107" spans="1:4" hidden="1">
      <c r="A107" s="4">
        <v>46784</v>
      </c>
      <c r="B107">
        <v>0.45952109004739328</v>
      </c>
      <c r="C107">
        <f t="shared" si="2"/>
        <v>1.0045952109004739</v>
      </c>
      <c r="D107">
        <f t="shared" si="3"/>
        <v>1.7323849154718207</v>
      </c>
    </row>
    <row r="108" spans="1:4" hidden="1">
      <c r="A108" s="4">
        <v>46813</v>
      </c>
      <c r="B108">
        <v>0.69624407582938375</v>
      </c>
      <c r="C108">
        <f t="shared" si="2"/>
        <v>1.0069624407582938</v>
      </c>
      <c r="D108">
        <f t="shared" si="3"/>
        <v>1.7444465428163551</v>
      </c>
    </row>
    <row r="109" spans="1:4" hidden="1">
      <c r="A109" s="4">
        <v>46844</v>
      </c>
      <c r="B109">
        <v>0.77979336492890983</v>
      </c>
      <c r="C109">
        <f t="shared" si="2"/>
        <v>1.007797933649289</v>
      </c>
      <c r="D109">
        <f t="shared" si="3"/>
        <v>1.7580496212119687</v>
      </c>
    </row>
    <row r="110" spans="1:4">
      <c r="A110" s="4">
        <v>46874</v>
      </c>
      <c r="B110">
        <v>0.36204691943127953</v>
      </c>
      <c r="C110">
        <f t="shared" si="2"/>
        <v>1.0036204691943127</v>
      </c>
      <c r="D110">
        <f t="shared" si="3"/>
        <v>1.7644145857076396</v>
      </c>
    </row>
    <row r="111" spans="1:4" hidden="1">
      <c r="A111" s="4">
        <v>46905</v>
      </c>
      <c r="B111">
        <v>0.33419715639810421</v>
      </c>
      <c r="C111">
        <f t="shared" si="2"/>
        <v>1.0033419715639811</v>
      </c>
      <c r="D111">
        <f t="shared" si="3"/>
        <v>1.7703112090801481</v>
      </c>
    </row>
    <row r="112" spans="1:4" hidden="1">
      <c r="A112" s="4">
        <v>46935</v>
      </c>
      <c r="B112">
        <v>0.30634739336492883</v>
      </c>
      <c r="C112">
        <f t="shared" si="2"/>
        <v>1.0030634739336493</v>
      </c>
      <c r="D112">
        <f t="shared" si="3"/>
        <v>1.7757345113236123</v>
      </c>
    </row>
    <row r="113" spans="1:4" hidden="1">
      <c r="A113" s="4">
        <v>46966</v>
      </c>
      <c r="B113">
        <v>0.15317369668246442</v>
      </c>
      <c r="C113">
        <f t="shared" si="2"/>
        <v>1.0015317369668246</v>
      </c>
      <c r="D113">
        <f t="shared" si="3"/>
        <v>1.778454469517873</v>
      </c>
    </row>
    <row r="114" spans="1:4" hidden="1">
      <c r="A114" s="4">
        <v>46997</v>
      </c>
      <c r="B114">
        <v>8.3549289099526053E-2</v>
      </c>
      <c r="C114">
        <f t="shared" si="2"/>
        <v>1.0008354928909953</v>
      </c>
      <c r="D114">
        <f t="shared" si="3"/>
        <v>1.779940355584114</v>
      </c>
    </row>
    <row r="115" spans="1:4" hidden="1">
      <c r="A115" s="4">
        <v>47027</v>
      </c>
      <c r="B115">
        <v>0.1113990521327014</v>
      </c>
      <c r="C115">
        <f t="shared" si="2"/>
        <v>1.0011139905213271</v>
      </c>
      <c r="D115">
        <f t="shared" si="3"/>
        <v>1.7819231922687624</v>
      </c>
    </row>
    <row r="116" spans="1:4">
      <c r="A116" s="4">
        <v>47058</v>
      </c>
      <c r="B116">
        <v>0.65791090047393341</v>
      </c>
      <c r="C116">
        <f t="shared" si="2"/>
        <v>1.0065791090047393</v>
      </c>
      <c r="D116">
        <f t="shared" si="3"/>
        <v>1.7936466591887716</v>
      </c>
    </row>
    <row r="117" spans="1:4" hidden="1">
      <c r="A117" s="4">
        <v>47088</v>
      </c>
      <c r="B117">
        <v>1.3578161137440754</v>
      </c>
      <c r="C117">
        <f t="shared" si="2"/>
        <v>1.0135781611374408</v>
      </c>
      <c r="D117">
        <f t="shared" si="3"/>
        <v>1.8180010825508692</v>
      </c>
    </row>
    <row r="118" spans="1:4" hidden="1">
      <c r="A118" s="4">
        <v>47119</v>
      </c>
      <c r="B118">
        <v>0.5879203791469193</v>
      </c>
      <c r="C118">
        <f t="shared" si="2"/>
        <v>1.0058792037914692</v>
      </c>
      <c r="D118">
        <f t="shared" si="3"/>
        <v>1.8286894814082975</v>
      </c>
    </row>
    <row r="119" spans="1:4" hidden="1">
      <c r="A119" s="4">
        <v>47150</v>
      </c>
      <c r="B119">
        <v>0.46193744075829374</v>
      </c>
      <c r="C119">
        <f t="shared" si="2"/>
        <v>1.0046193744075829</v>
      </c>
      <c r="D119">
        <f t="shared" si="3"/>
        <v>1.8371368827981309</v>
      </c>
    </row>
    <row r="120" spans="1:4" hidden="1">
      <c r="A120" s="4">
        <v>47178</v>
      </c>
      <c r="B120">
        <v>0.6999052132701421</v>
      </c>
      <c r="C120">
        <f t="shared" si="2"/>
        <v>1.0069990521327015</v>
      </c>
      <c r="D120">
        <f t="shared" si="3"/>
        <v>1.8499950996157437</v>
      </c>
    </row>
    <row r="121" spans="1:4" hidden="1">
      <c r="A121" s="4">
        <v>47209</v>
      </c>
      <c r="B121">
        <v>0.78389383886255903</v>
      </c>
      <c r="C121">
        <f t="shared" si="2"/>
        <v>1.0078389383886255</v>
      </c>
      <c r="D121">
        <f t="shared" si="3"/>
        <v>1.8644970972208905</v>
      </c>
    </row>
    <row r="122" spans="1:4">
      <c r="A122" s="4">
        <v>47239</v>
      </c>
      <c r="B122">
        <v>0.36395071090047387</v>
      </c>
      <c r="C122">
        <f t="shared" si="2"/>
        <v>1.0036395071090047</v>
      </c>
      <c r="D122">
        <f t="shared" si="3"/>
        <v>1.8712829476609447</v>
      </c>
    </row>
    <row r="123" spans="1:4" hidden="1">
      <c r="A123" s="4">
        <v>47270</v>
      </c>
      <c r="B123">
        <v>0.33595450236966817</v>
      </c>
      <c r="C123">
        <f t="shared" si="2"/>
        <v>1.0033595450236967</v>
      </c>
      <c r="D123">
        <f t="shared" si="3"/>
        <v>1.8775696069756875</v>
      </c>
    </row>
    <row r="124" spans="1:4" hidden="1">
      <c r="A124" s="4">
        <v>47300</v>
      </c>
      <c r="B124">
        <v>0.30795829383886247</v>
      </c>
      <c r="C124">
        <f t="shared" si="2"/>
        <v>1.0030795829383887</v>
      </c>
      <c r="D124">
        <f t="shared" si="3"/>
        <v>1.883351738302967</v>
      </c>
    </row>
    <row r="125" spans="1:4" hidden="1">
      <c r="A125" s="4">
        <v>47331</v>
      </c>
      <c r="B125">
        <v>0.15397914691943124</v>
      </c>
      <c r="C125">
        <f t="shared" si="2"/>
        <v>1.0015397914691944</v>
      </c>
      <c r="D125">
        <f t="shared" si="3"/>
        <v>1.8862517072430982</v>
      </c>
    </row>
    <row r="126" spans="1:4" hidden="1">
      <c r="A126" s="4">
        <v>47362</v>
      </c>
      <c r="B126">
        <v>8.3988625592417043E-2</v>
      </c>
      <c r="C126">
        <f t="shared" si="2"/>
        <v>1.0008398862559242</v>
      </c>
      <c r="D126">
        <f t="shared" si="3"/>
        <v>1.8878359441272252</v>
      </c>
    </row>
    <row r="127" spans="1:4" hidden="1">
      <c r="A127" s="4">
        <v>47392</v>
      </c>
      <c r="B127">
        <v>0.11198483412322273</v>
      </c>
      <c r="C127">
        <f t="shared" si="2"/>
        <v>1.0011198483412322</v>
      </c>
      <c r="D127">
        <f t="shared" si="3"/>
        <v>1.8899500340777746</v>
      </c>
    </row>
    <row r="128" spans="1:4">
      <c r="A128" s="4">
        <v>47423</v>
      </c>
      <c r="B128">
        <v>0.66068412322274861</v>
      </c>
      <c r="C128">
        <f t="shared" si="2"/>
        <v>1.0066068412322275</v>
      </c>
      <c r="D128">
        <f t="shared" si="3"/>
        <v>1.9024366338897696</v>
      </c>
    </row>
    <row r="129" spans="1:4" hidden="1">
      <c r="A129" s="4">
        <v>47453</v>
      </c>
      <c r="B129">
        <v>1.3635395734597153</v>
      </c>
      <c r="C129">
        <f t="shared" si="2"/>
        <v>1.0136353957345972</v>
      </c>
      <c r="D129">
        <f t="shared" si="3"/>
        <v>1.9283771102528515</v>
      </c>
    </row>
    <row r="130" spans="1:4" hidden="1">
      <c r="A130" s="4">
        <v>47484</v>
      </c>
      <c r="B130">
        <v>0.59039857819905206</v>
      </c>
      <c r="C130">
        <f t="shared" si="2"/>
        <v>1.0059039857819905</v>
      </c>
      <c r="D130">
        <f t="shared" si="3"/>
        <v>1.9397622212941001</v>
      </c>
    </row>
    <row r="131" spans="1:4" hidden="1">
      <c r="A131" s="4">
        <v>47515</v>
      </c>
      <c r="B131">
        <v>0.46388459715639807</v>
      </c>
      <c r="C131">
        <f t="shared" ref="C131:C194" si="4">1+B131/100</f>
        <v>1.0046388459715641</v>
      </c>
      <c r="D131">
        <f t="shared" si="3"/>
        <v>1.9487604794601425</v>
      </c>
    </row>
    <row r="132" spans="1:4" hidden="1">
      <c r="A132" s="4">
        <v>47543</v>
      </c>
      <c r="B132">
        <v>0.70285545023696683</v>
      </c>
      <c r="C132">
        <f t="shared" si="4"/>
        <v>1.0070285545023696</v>
      </c>
      <c r="D132">
        <f t="shared" ref="D132:D195" si="5">C132*D131</f>
        <v>1.962457448702092</v>
      </c>
    </row>
    <row r="133" spans="1:4" hidden="1">
      <c r="A133" s="4">
        <v>47574</v>
      </c>
      <c r="B133">
        <v>0.78719810426540271</v>
      </c>
      <c r="C133">
        <f t="shared" si="4"/>
        <v>1.007871981042654</v>
      </c>
      <c r="D133">
        <f t="shared" si="5"/>
        <v>1.9779058765352899</v>
      </c>
    </row>
    <row r="134" spans="1:4">
      <c r="A134" s="4">
        <v>47604</v>
      </c>
      <c r="B134">
        <v>0.36548483412322269</v>
      </c>
      <c r="C134">
        <f t="shared" si="4"/>
        <v>1.0036548483412322</v>
      </c>
      <c r="D134">
        <f t="shared" si="5"/>
        <v>1.9851348225472583</v>
      </c>
    </row>
    <row r="135" spans="1:4" hidden="1">
      <c r="A135" s="4">
        <v>47635</v>
      </c>
      <c r="B135">
        <v>0.33737061611374403</v>
      </c>
      <c r="C135">
        <f t="shared" si="4"/>
        <v>1.0033737061611374</v>
      </c>
      <c r="D135">
        <f t="shared" si="5"/>
        <v>1.9918320841287744</v>
      </c>
    </row>
    <row r="136" spans="1:4" hidden="1">
      <c r="A136" s="4">
        <v>47665</v>
      </c>
      <c r="B136">
        <v>0.30925639810426536</v>
      </c>
      <c r="C136">
        <f t="shared" si="4"/>
        <v>1.0030925639810426</v>
      </c>
      <c r="D136">
        <f t="shared" si="5"/>
        <v>1.9979919522884362</v>
      </c>
    </row>
    <row r="137" spans="1:4" hidden="1">
      <c r="A137" s="4">
        <v>47696</v>
      </c>
      <c r="B137">
        <v>0.15462819905213268</v>
      </c>
      <c r="C137">
        <f t="shared" si="4"/>
        <v>1.0015462819905214</v>
      </c>
      <c r="D137">
        <f t="shared" si="5"/>
        <v>2.0010814112614663</v>
      </c>
    </row>
    <row r="138" spans="1:4" hidden="1">
      <c r="A138" s="4">
        <v>47727</v>
      </c>
      <c r="B138">
        <v>8.4342654028436007E-2</v>
      </c>
      <c r="C138">
        <f t="shared" si="4"/>
        <v>1.0008434265402844</v>
      </c>
      <c r="D138">
        <f t="shared" si="5"/>
        <v>2.0027691764329938</v>
      </c>
    </row>
    <row r="139" spans="1:4" hidden="1">
      <c r="A139" s="4">
        <v>47757</v>
      </c>
      <c r="B139">
        <v>0.11245687203791468</v>
      </c>
      <c r="C139">
        <f t="shared" si="4"/>
        <v>1.0011245687203791</v>
      </c>
      <c r="D139">
        <f t="shared" si="5"/>
        <v>2.0050214280029497</v>
      </c>
    </row>
    <row r="140" spans="1:4">
      <c r="A140" s="4">
        <v>47788</v>
      </c>
      <c r="B140">
        <v>0.66295616113744049</v>
      </c>
      <c r="C140">
        <f t="shared" si="4"/>
        <v>1.0066295616113745</v>
      </c>
      <c r="D140">
        <f t="shared" si="5"/>
        <v>2.0183138410920214</v>
      </c>
    </row>
    <row r="141" spans="1:4" hidden="1">
      <c r="A141" s="4">
        <v>47818</v>
      </c>
      <c r="B141">
        <v>1.3682286729857818</v>
      </c>
      <c r="C141">
        <f t="shared" si="4"/>
        <v>1.0136822867298578</v>
      </c>
      <c r="D141">
        <f t="shared" si="5"/>
        <v>2.0459289897766832</v>
      </c>
    </row>
    <row r="142" spans="1:4" hidden="1">
      <c r="A142" s="4">
        <v>47849</v>
      </c>
      <c r="B142">
        <v>0.59242890995260655</v>
      </c>
      <c r="C142">
        <f t="shared" si="4"/>
        <v>1.0059242890995261</v>
      </c>
      <c r="D142">
        <f t="shared" si="5"/>
        <v>2.0580496645892219</v>
      </c>
    </row>
    <row r="143" spans="1:4" hidden="1">
      <c r="A143" s="4">
        <v>47880</v>
      </c>
      <c r="B143">
        <v>0.46547985781990514</v>
      </c>
      <c r="C143">
        <f t="shared" si="4"/>
        <v>1.0046547985781991</v>
      </c>
      <c r="D143">
        <f t="shared" si="5"/>
        <v>2.0676294712418151</v>
      </c>
    </row>
    <row r="144" spans="1:4" hidden="1">
      <c r="A144" s="4">
        <v>47908</v>
      </c>
      <c r="B144">
        <v>0.70527251184834117</v>
      </c>
      <c r="C144">
        <f t="shared" si="4"/>
        <v>1.0070527251184833</v>
      </c>
      <c r="D144">
        <f t="shared" si="5"/>
        <v>2.0822118935493585</v>
      </c>
    </row>
    <row r="145" spans="1:4" hidden="1">
      <c r="A145" s="4">
        <v>47939</v>
      </c>
      <c r="B145">
        <v>0.78990521327014207</v>
      </c>
      <c r="C145">
        <f t="shared" si="4"/>
        <v>1.0078990521327014</v>
      </c>
      <c r="D145">
        <f t="shared" si="5"/>
        <v>2.0986593938478357</v>
      </c>
    </row>
    <row r="146" spans="1:4">
      <c r="A146" s="4">
        <v>47969</v>
      </c>
      <c r="B146">
        <v>0.36674170616113738</v>
      </c>
      <c r="C146">
        <f t="shared" si="4"/>
        <v>1.0036674170616113</v>
      </c>
      <c r="D146">
        <f t="shared" si="5"/>
        <v>2.106356053115344</v>
      </c>
    </row>
    <row r="147" spans="1:4" hidden="1">
      <c r="A147" s="4">
        <v>48000</v>
      </c>
      <c r="B147">
        <v>0.33853080568720373</v>
      </c>
      <c r="C147">
        <f t="shared" si="4"/>
        <v>1.003385308056872</v>
      </c>
      <c r="D147">
        <f t="shared" si="5"/>
        <v>2.1134867172325964</v>
      </c>
    </row>
    <row r="148" spans="1:4" hidden="1">
      <c r="A148" s="4">
        <v>48030</v>
      </c>
      <c r="B148">
        <v>0.31031990521327008</v>
      </c>
      <c r="C148">
        <f t="shared" si="4"/>
        <v>1.0031031990521326</v>
      </c>
      <c r="D148">
        <f t="shared" si="5"/>
        <v>2.1200452872102074</v>
      </c>
    </row>
    <row r="149" spans="1:4" hidden="1">
      <c r="A149" s="4">
        <v>48061</v>
      </c>
      <c r="B149">
        <v>0.15515995260663504</v>
      </c>
      <c r="C149">
        <f t="shared" si="4"/>
        <v>1.0015515995260664</v>
      </c>
      <c r="D149">
        <f t="shared" si="5"/>
        <v>2.123334748473082</v>
      </c>
    </row>
    <row r="150" spans="1:4" hidden="1">
      <c r="A150" s="4">
        <v>48092</v>
      </c>
      <c r="B150">
        <v>8.4632701421800932E-2</v>
      </c>
      <c r="C150">
        <f t="shared" si="4"/>
        <v>1.0008463270142181</v>
      </c>
      <c r="D150">
        <f t="shared" si="5"/>
        <v>2.1251317840309425</v>
      </c>
    </row>
    <row r="151" spans="1:4" hidden="1">
      <c r="A151" s="4">
        <v>48122</v>
      </c>
      <c r="B151">
        <v>0.11315639810426539</v>
      </c>
      <c r="C151">
        <f t="shared" si="4"/>
        <v>1.0011315639810427</v>
      </c>
      <c r="D151">
        <f t="shared" si="5"/>
        <v>2.1275365066127212</v>
      </c>
    </row>
    <row r="152" spans="1:4">
      <c r="A152" s="4">
        <v>48153</v>
      </c>
      <c r="B152">
        <v>0.66479383886255905</v>
      </c>
      <c r="C152">
        <f t="shared" si="4"/>
        <v>1.0066479383886255</v>
      </c>
      <c r="D152">
        <f t="shared" si="5"/>
        <v>2.1416802382282341</v>
      </c>
    </row>
    <row r="153" spans="1:4" hidden="1">
      <c r="A153" s="4">
        <v>48183</v>
      </c>
      <c r="B153">
        <v>1.3720213270142179</v>
      </c>
      <c r="C153">
        <f t="shared" si="4"/>
        <v>1.0137202132701422</v>
      </c>
      <c r="D153">
        <f t="shared" si="5"/>
        <v>2.1710645478531743</v>
      </c>
    </row>
    <row r="154" spans="1:4" hidden="1">
      <c r="A154" s="4">
        <v>48214</v>
      </c>
      <c r="B154">
        <v>0.59407109004739334</v>
      </c>
      <c r="C154">
        <f t="shared" si="4"/>
        <v>1.0059407109004739</v>
      </c>
      <c r="D154">
        <f t="shared" si="5"/>
        <v>2.183962214678238</v>
      </c>
    </row>
    <row r="155" spans="1:4" hidden="1">
      <c r="A155" s="4">
        <v>48245</v>
      </c>
      <c r="B155">
        <v>0.46677014218009472</v>
      </c>
      <c r="C155">
        <f t="shared" si="4"/>
        <v>1.0046677014218008</v>
      </c>
      <c r="D155">
        <f t="shared" si="5"/>
        <v>2.1941562982128509</v>
      </c>
    </row>
    <row r="156" spans="1:4" hidden="1">
      <c r="A156" s="4">
        <v>48274</v>
      </c>
      <c r="B156">
        <v>0.7072274881516587</v>
      </c>
      <c r="C156">
        <f t="shared" si="4"/>
        <v>1.0070722748815166</v>
      </c>
      <c r="D156">
        <f t="shared" si="5"/>
        <v>2.2096739746868233</v>
      </c>
    </row>
    <row r="157" spans="1:4" hidden="1">
      <c r="A157" s="4">
        <v>48305</v>
      </c>
      <c r="B157">
        <v>0.79209478672985778</v>
      </c>
      <c r="C157">
        <f t="shared" si="4"/>
        <v>1.0079209478672986</v>
      </c>
      <c r="D157">
        <f t="shared" si="5"/>
        <v>2.2271766870440439</v>
      </c>
    </row>
    <row r="158" spans="1:4">
      <c r="A158" s="4">
        <v>48335</v>
      </c>
      <c r="B158">
        <v>0.36775829383886255</v>
      </c>
      <c r="C158">
        <f t="shared" si="4"/>
        <v>1.0036775829383886</v>
      </c>
      <c r="D158">
        <f t="shared" si="5"/>
        <v>2.2353673140290939</v>
      </c>
    </row>
    <row r="159" spans="1:4" hidden="1">
      <c r="A159" s="4">
        <v>48366</v>
      </c>
      <c r="B159">
        <v>0.33946919431279615</v>
      </c>
      <c r="C159">
        <f t="shared" si="4"/>
        <v>1.003394691943128</v>
      </c>
      <c r="D159">
        <f t="shared" si="5"/>
        <v>2.2429556974399603</v>
      </c>
    </row>
    <row r="160" spans="1:4" hidden="1">
      <c r="A160" s="4">
        <v>48396</v>
      </c>
      <c r="B160">
        <v>0.31118009478672981</v>
      </c>
      <c r="C160">
        <f t="shared" si="4"/>
        <v>1.0031118009478672</v>
      </c>
      <c r="D160">
        <f t="shared" si="5"/>
        <v>2.2499353291052779</v>
      </c>
    </row>
    <row r="161" spans="1:4" hidden="1">
      <c r="A161" s="4">
        <v>48427</v>
      </c>
      <c r="B161">
        <v>0.15559004739336491</v>
      </c>
      <c r="C161">
        <f t="shared" si="4"/>
        <v>1.0015559004739336</v>
      </c>
      <c r="D161">
        <f t="shared" si="5"/>
        <v>2.2534360045501529</v>
      </c>
    </row>
    <row r="162" spans="1:4" hidden="1">
      <c r="A162" s="4">
        <v>48458</v>
      </c>
      <c r="B162">
        <v>8.4867298578199038E-2</v>
      </c>
      <c r="C162">
        <f t="shared" si="4"/>
        <v>1.000848672985782</v>
      </c>
      <c r="D162">
        <f t="shared" si="5"/>
        <v>2.2553484348124031</v>
      </c>
    </row>
    <row r="163" spans="1:4" hidden="1">
      <c r="A163" s="4">
        <v>48488</v>
      </c>
      <c r="B163">
        <v>0.11341207582938387</v>
      </c>
      <c r="C163">
        <f t="shared" si="4"/>
        <v>1.0011341207582938</v>
      </c>
      <c r="D163">
        <f t="shared" si="5"/>
        <v>2.2579062722895094</v>
      </c>
    </row>
    <row r="164" spans="1:4">
      <c r="A164" s="4">
        <v>48519</v>
      </c>
      <c r="B164">
        <v>0.66629594549763016</v>
      </c>
      <c r="C164">
        <f t="shared" si="4"/>
        <v>1.0066629594549763</v>
      </c>
      <c r="D164">
        <f t="shared" si="5"/>
        <v>2.2729506102349109</v>
      </c>
    </row>
    <row r="165" spans="1:4" hidden="1">
      <c r="A165" s="4">
        <v>48549</v>
      </c>
      <c r="B165">
        <v>1.3751214194312793</v>
      </c>
      <c r="C165">
        <f t="shared" si="4"/>
        <v>1.0137512141943128</v>
      </c>
      <c r="D165">
        <f t="shared" si="5"/>
        <v>2.3042064409293452</v>
      </c>
    </row>
    <row r="166" spans="1:4" hidden="1">
      <c r="A166" s="4">
        <v>48580</v>
      </c>
      <c r="B166">
        <v>0.5954133981042653</v>
      </c>
      <c r="C166">
        <f t="shared" si="4"/>
        <v>1.0059541339810427</v>
      </c>
      <c r="D166">
        <f t="shared" si="5"/>
        <v>2.3179259947986202</v>
      </c>
    </row>
    <row r="167" spans="1:4" hidden="1">
      <c r="A167" s="4">
        <v>48611</v>
      </c>
      <c r="B167">
        <v>0.46782481279620847</v>
      </c>
      <c r="C167">
        <f t="shared" si="4"/>
        <v>1.0046782481279621</v>
      </c>
      <c r="D167">
        <f t="shared" si="5"/>
        <v>2.3287698277445417</v>
      </c>
    </row>
    <row r="168" spans="1:4" hidden="1">
      <c r="A168" s="4">
        <v>48639</v>
      </c>
      <c r="B168">
        <v>0.70882547393364925</v>
      </c>
      <c r="C168">
        <f t="shared" si="4"/>
        <v>1.0070882547393365</v>
      </c>
      <c r="D168">
        <f t="shared" si="5"/>
        <v>2.3452767415128757</v>
      </c>
    </row>
    <row r="169" spans="1:4" hidden="1">
      <c r="A169" s="4">
        <v>48670</v>
      </c>
      <c r="B169">
        <v>0.79388453080568711</v>
      </c>
      <c r="C169">
        <f t="shared" si="4"/>
        <v>1.0079388453080569</v>
      </c>
      <c r="D169">
        <f t="shared" si="5"/>
        <v>2.36389553076833</v>
      </c>
    </row>
    <row r="170" spans="1:4">
      <c r="A170" s="4">
        <v>48700</v>
      </c>
      <c r="B170">
        <v>0.36858924644549756</v>
      </c>
      <c r="C170">
        <f t="shared" si="4"/>
        <v>1.0036858924644549</v>
      </c>
      <c r="D170">
        <f t="shared" si="5"/>
        <v>2.3726085954919478</v>
      </c>
    </row>
    <row r="171" spans="1:4" hidden="1">
      <c r="A171" s="4">
        <v>48731</v>
      </c>
      <c r="B171">
        <v>0.34023622748815158</v>
      </c>
      <c r="C171">
        <f t="shared" si="4"/>
        <v>1.0034023622748816</v>
      </c>
      <c r="D171">
        <f t="shared" si="5"/>
        <v>2.3806810694703091</v>
      </c>
    </row>
    <row r="172" spans="1:4" hidden="1">
      <c r="A172" s="4">
        <v>48761</v>
      </c>
      <c r="B172">
        <v>0.31188320853080564</v>
      </c>
      <c r="C172">
        <f t="shared" si="4"/>
        <v>1.0031188320853082</v>
      </c>
      <c r="D172">
        <f t="shared" si="5"/>
        <v>2.3881060139746588</v>
      </c>
    </row>
    <row r="173" spans="1:4" hidden="1">
      <c r="A173" s="4">
        <v>48792</v>
      </c>
      <c r="B173">
        <v>0.15594160426540282</v>
      </c>
      <c r="C173">
        <f t="shared" si="4"/>
        <v>1.001559416042654</v>
      </c>
      <c r="D173">
        <f t="shared" si="5"/>
        <v>2.3918300648044095</v>
      </c>
    </row>
    <row r="174" spans="1:4" hidden="1">
      <c r="A174" s="4">
        <v>48823</v>
      </c>
      <c r="B174">
        <v>8.5059056872037894E-2</v>
      </c>
      <c r="C174">
        <f t="shared" si="4"/>
        <v>1.0008505905687204</v>
      </c>
      <c r="D174">
        <f t="shared" si="5"/>
        <v>2.3938645328995141</v>
      </c>
    </row>
    <row r="175" spans="1:4" hidden="1">
      <c r="A175" s="4">
        <v>48853</v>
      </c>
      <c r="B175">
        <v>0.11362790521327013</v>
      </c>
      <c r="C175">
        <f t="shared" si="4"/>
        <v>1.0011362790521328</v>
      </c>
      <c r="D175">
        <f t="shared" si="5"/>
        <v>2.3965846310218915</v>
      </c>
    </row>
    <row r="176" spans="1:4">
      <c r="A176" s="4">
        <v>48884</v>
      </c>
      <c r="B176">
        <v>0.66756394312796186</v>
      </c>
      <c r="C176">
        <f t="shared" si="4"/>
        <v>1.0066756394312797</v>
      </c>
      <c r="D176">
        <f t="shared" si="5"/>
        <v>2.4125833658851401</v>
      </c>
    </row>
    <row r="177" spans="1:4" hidden="1">
      <c r="A177" s="4">
        <v>48914</v>
      </c>
      <c r="B177">
        <v>1.3777383507109002</v>
      </c>
      <c r="C177">
        <f t="shared" si="4"/>
        <v>1.0137773835071091</v>
      </c>
      <c r="D177">
        <f t="shared" si="5"/>
        <v>2.445822452159812</v>
      </c>
    </row>
    <row r="178" spans="1:4" hidden="1">
      <c r="A178" s="4">
        <v>48945</v>
      </c>
      <c r="B178">
        <v>0.59654650236966811</v>
      </c>
      <c r="C178">
        <f t="shared" si="4"/>
        <v>1.0059654650236967</v>
      </c>
      <c r="D178">
        <f t="shared" si="5"/>
        <v>2.4604129204523435</v>
      </c>
    </row>
    <row r="179" spans="1:4" hidden="1">
      <c r="A179" s="4">
        <v>48976</v>
      </c>
      <c r="B179">
        <v>0.46871510900473923</v>
      </c>
      <c r="C179">
        <f t="shared" si="4"/>
        <v>1.0046871510900475</v>
      </c>
      <c r="D179">
        <f t="shared" si="5"/>
        <v>2.4719452475544084</v>
      </c>
    </row>
    <row r="180" spans="1:4" hidden="1">
      <c r="A180" s="4">
        <v>49004</v>
      </c>
      <c r="B180">
        <v>0.71017440758293826</v>
      </c>
      <c r="C180">
        <f t="shared" si="4"/>
        <v>1.0071017440758294</v>
      </c>
      <c r="D180">
        <f t="shared" si="5"/>
        <v>2.4895003700720024</v>
      </c>
    </row>
    <row r="181" spans="1:4" hidden="1">
      <c r="A181" s="4">
        <v>49035</v>
      </c>
      <c r="B181">
        <v>0.79539533649289085</v>
      </c>
      <c r="C181">
        <f t="shared" si="4"/>
        <v>1.0079539533649289</v>
      </c>
      <c r="D181">
        <f t="shared" si="5"/>
        <v>2.5093017399175284</v>
      </c>
    </row>
    <row r="182" spans="1:4">
      <c r="A182" s="4">
        <v>49065</v>
      </c>
      <c r="B182">
        <v>0.36929069194312786</v>
      </c>
      <c r="C182">
        <f t="shared" si="4"/>
        <v>1.0036929069194314</v>
      </c>
      <c r="D182">
        <f t="shared" si="5"/>
        <v>2.5185683576758109</v>
      </c>
    </row>
    <row r="183" spans="1:4" hidden="1">
      <c r="A183" s="4">
        <v>49096</v>
      </c>
      <c r="B183">
        <v>0.34088371563981035</v>
      </c>
      <c r="C183">
        <f t="shared" si="4"/>
        <v>1.0034088371563981</v>
      </c>
      <c r="D183">
        <f t="shared" si="5"/>
        <v>2.5271537470743848</v>
      </c>
    </row>
    <row r="184" spans="1:4" hidden="1">
      <c r="A184" s="4">
        <v>49126</v>
      </c>
      <c r="B184">
        <v>0.31247673933649284</v>
      </c>
      <c r="C184">
        <f t="shared" si="4"/>
        <v>1.003124767393365</v>
      </c>
      <c r="D184">
        <f t="shared" si="5"/>
        <v>2.535050514701263</v>
      </c>
    </row>
    <row r="185" spans="1:4" hidden="1">
      <c r="A185" s="4">
        <v>49157</v>
      </c>
      <c r="B185">
        <v>0.15623836966824642</v>
      </c>
      <c r="C185">
        <f t="shared" si="4"/>
        <v>1.0015623836966825</v>
      </c>
      <c r="D185">
        <f t="shared" si="5"/>
        <v>2.5390112362956989</v>
      </c>
    </row>
    <row r="186" spans="1:4" hidden="1">
      <c r="A186" s="4">
        <v>49188</v>
      </c>
      <c r="B186">
        <v>8.5220928909952587E-2</v>
      </c>
      <c r="C186">
        <f t="shared" si="4"/>
        <v>1.0008522092890995</v>
      </c>
      <c r="D186">
        <f t="shared" si="5"/>
        <v>2.5411750052563979</v>
      </c>
    </row>
    <row r="187" spans="1:4" hidden="1">
      <c r="A187" s="4">
        <v>49218</v>
      </c>
      <c r="B187">
        <v>0.11381074881516587</v>
      </c>
      <c r="C187">
        <f t="shared" si="4"/>
        <v>1.0011381074881516</v>
      </c>
      <c r="D187">
        <f t="shared" si="5"/>
        <v>2.544067135558584</v>
      </c>
    </row>
    <row r="188" spans="1:4">
      <c r="A188" s="4">
        <v>49249</v>
      </c>
      <c r="B188">
        <v>0.66863814928909937</v>
      </c>
      <c r="C188">
        <f t="shared" si="4"/>
        <v>1.006686381492891</v>
      </c>
      <c r="D188">
        <f t="shared" si="5"/>
        <v>2.5610777389704551</v>
      </c>
    </row>
    <row r="189" spans="1:4" hidden="1">
      <c r="A189" s="4">
        <v>49279</v>
      </c>
      <c r="B189">
        <v>1.3799553293838862</v>
      </c>
      <c r="C189">
        <f t="shared" si="4"/>
        <v>1.0137995532938389</v>
      </c>
      <c r="D189">
        <f t="shared" si="5"/>
        <v>2.5964194677190422</v>
      </c>
    </row>
    <row r="190" spans="1:4" hidden="1">
      <c r="A190" s="4">
        <v>49310</v>
      </c>
      <c r="B190">
        <v>0.59750643127962078</v>
      </c>
      <c r="C190">
        <f t="shared" si="4"/>
        <v>1.0059750643127963</v>
      </c>
      <c r="D190">
        <f t="shared" si="5"/>
        <v>2.6119332410216596</v>
      </c>
    </row>
    <row r="191" spans="1:4" hidden="1">
      <c r="A191" s="4">
        <v>49341</v>
      </c>
      <c r="B191">
        <v>0.4694693388625592</v>
      </c>
      <c r="C191">
        <f t="shared" si="4"/>
        <v>1.0046946933886256</v>
      </c>
      <c r="D191">
        <f t="shared" si="5"/>
        <v>2.6241954667398155</v>
      </c>
    </row>
    <row r="192" spans="1:4" hidden="1">
      <c r="A192" s="4">
        <v>49369</v>
      </c>
      <c r="B192">
        <v>0.71131718009478673</v>
      </c>
      <c r="C192">
        <f t="shared" si="4"/>
        <v>1.0071131718009478</v>
      </c>
      <c r="D192">
        <f t="shared" si="5"/>
        <v>2.6428618199340042</v>
      </c>
    </row>
    <row r="193" spans="1:4" hidden="1">
      <c r="A193" s="4">
        <v>49400</v>
      </c>
      <c r="B193">
        <v>0.79667524170616111</v>
      </c>
      <c r="C193">
        <f t="shared" si="4"/>
        <v>1.0079667524170617</v>
      </c>
      <c r="D193">
        <f t="shared" si="5"/>
        <v>2.6639168457259235</v>
      </c>
    </row>
    <row r="194" spans="1:4">
      <c r="A194" s="4">
        <v>49430</v>
      </c>
      <c r="B194">
        <v>0.36988493364928909</v>
      </c>
      <c r="C194">
        <f t="shared" si="4"/>
        <v>1.0036988493364929</v>
      </c>
      <c r="D194">
        <f t="shared" si="5"/>
        <v>2.6737702727832091</v>
      </c>
    </row>
    <row r="195" spans="1:4" hidden="1">
      <c r="A195" s="4">
        <v>49461</v>
      </c>
      <c r="B195">
        <v>0.34143224644549758</v>
      </c>
      <c r="C195">
        <f t="shared" ref="C195:C258" si="6">1+B195/100</f>
        <v>1.0034143224644549</v>
      </c>
      <c r="D195">
        <f t="shared" si="5"/>
        <v>2.6828993866903645</v>
      </c>
    </row>
    <row r="196" spans="1:4" hidden="1">
      <c r="A196" s="4">
        <v>49491</v>
      </c>
      <c r="B196">
        <v>0.31297955924170612</v>
      </c>
      <c r="C196">
        <f t="shared" si="6"/>
        <v>1.003129795592417</v>
      </c>
      <c r="D196">
        <f t="shared" ref="D196:D259" si="7">C196*D195</f>
        <v>2.6912963133657262</v>
      </c>
    </row>
    <row r="197" spans="1:4" hidden="1">
      <c r="A197" s="4">
        <v>49522</v>
      </c>
      <c r="B197">
        <v>0.15648977962085306</v>
      </c>
      <c r="C197">
        <f t="shared" si="6"/>
        <v>1.0015648977962086</v>
      </c>
      <c r="D197">
        <f t="shared" si="7"/>
        <v>2.6955079170354566</v>
      </c>
    </row>
    <row r="198" spans="1:4" hidden="1">
      <c r="A198" s="4">
        <v>49553</v>
      </c>
      <c r="B198">
        <v>8.5358061611374395E-2</v>
      </c>
      <c r="C198">
        <f t="shared" si="6"/>
        <v>1.0008535806161138</v>
      </c>
      <c r="D198">
        <f t="shared" si="7"/>
        <v>2.6978087503440196</v>
      </c>
    </row>
    <row r="199" spans="1:4" hidden="1">
      <c r="A199" s="4">
        <v>49583</v>
      </c>
      <c r="B199">
        <v>0.11396756398104264</v>
      </c>
      <c r="C199">
        <f t="shared" si="6"/>
        <v>1.0011396756398103</v>
      </c>
      <c r="D199">
        <f t="shared" si="7"/>
        <v>2.7008833772576537</v>
      </c>
    </row>
    <row r="200" spans="1:4">
      <c r="A200" s="4">
        <v>49614</v>
      </c>
      <c r="B200">
        <v>0.66955943838862542</v>
      </c>
      <c r="C200">
        <f t="shared" si="6"/>
        <v>1.0066955943838862</v>
      </c>
      <c r="D200">
        <f t="shared" si="7"/>
        <v>2.7189673968299517</v>
      </c>
    </row>
    <row r="201" spans="1:4" hidden="1">
      <c r="A201" s="4">
        <v>49644</v>
      </c>
      <c r="B201">
        <v>1.381856713270142</v>
      </c>
      <c r="C201">
        <f t="shared" si="6"/>
        <v>1.0138185671327014</v>
      </c>
      <c r="D201">
        <f t="shared" si="7"/>
        <v>2.7565396303346725</v>
      </c>
    </row>
    <row r="202" spans="1:4" hidden="1">
      <c r="A202" s="4">
        <v>49675</v>
      </c>
      <c r="B202">
        <v>0.59832971090047393</v>
      </c>
      <c r="C202">
        <f t="shared" si="6"/>
        <v>1.0059832971090048</v>
      </c>
      <c r="D202">
        <f t="shared" si="7"/>
        <v>2.7730328259357111</v>
      </c>
    </row>
    <row r="203" spans="1:4" hidden="1">
      <c r="A203" s="4">
        <v>49706</v>
      </c>
      <c r="B203">
        <v>0.47011620142180088</v>
      </c>
      <c r="C203">
        <f t="shared" si="6"/>
        <v>1.0047011620142181</v>
      </c>
      <c r="D203">
        <f t="shared" si="7"/>
        <v>2.78606930252118</v>
      </c>
    </row>
    <row r="204" spans="1:4" hidden="1">
      <c r="A204" s="4">
        <v>49735</v>
      </c>
      <c r="B204">
        <v>0.71229727488151651</v>
      </c>
      <c r="C204">
        <f t="shared" si="6"/>
        <v>1.0071229727488151</v>
      </c>
      <c r="D204">
        <f t="shared" si="7"/>
        <v>2.8059143982393486</v>
      </c>
    </row>
    <row r="205" spans="1:4" hidden="1">
      <c r="A205" s="4">
        <v>49766</v>
      </c>
      <c r="B205">
        <v>0.79777294786729847</v>
      </c>
      <c r="C205">
        <f t="shared" si="6"/>
        <v>1.0079777294786729</v>
      </c>
      <c r="D205">
        <f t="shared" si="7"/>
        <v>2.8282992242488154</v>
      </c>
    </row>
    <row r="206" spans="1:4">
      <c r="A206" s="4">
        <v>49796</v>
      </c>
      <c r="B206">
        <v>0.37039458293838856</v>
      </c>
      <c r="C206">
        <f t="shared" si="6"/>
        <v>1.0037039458293839</v>
      </c>
      <c r="D206">
        <f t="shared" si="7"/>
        <v>2.8387750913647216</v>
      </c>
    </row>
    <row r="207" spans="1:4" hidden="1">
      <c r="A207" s="4">
        <v>49827</v>
      </c>
      <c r="B207">
        <v>0.34190269194312795</v>
      </c>
      <c r="C207">
        <f t="shared" si="6"/>
        <v>1.0034190269194312</v>
      </c>
      <c r="D207">
        <f t="shared" si="7"/>
        <v>2.8484809398203081</v>
      </c>
    </row>
    <row r="208" spans="1:4" hidden="1">
      <c r="A208" s="4">
        <v>49857</v>
      </c>
      <c r="B208">
        <v>0.31341080094786727</v>
      </c>
      <c r="C208">
        <f t="shared" si="6"/>
        <v>1.0031341080094787</v>
      </c>
      <c r="D208">
        <f t="shared" si="7"/>
        <v>2.8574083867486464</v>
      </c>
    </row>
    <row r="209" spans="1:4" hidden="1">
      <c r="A209" s="4">
        <v>49888</v>
      </c>
      <c r="B209">
        <v>0.15670540047393364</v>
      </c>
      <c r="C209">
        <f t="shared" si="6"/>
        <v>1.0015670540047394</v>
      </c>
      <c r="D209">
        <f t="shared" si="7"/>
        <v>2.861886100004277</v>
      </c>
    </row>
    <row r="210" spans="1:4" hidden="1">
      <c r="A210" s="4">
        <v>49919</v>
      </c>
      <c r="B210">
        <v>8.5475672985781986E-2</v>
      </c>
      <c r="C210">
        <f t="shared" si="6"/>
        <v>1.0008547567298578</v>
      </c>
      <c r="D210">
        <f t="shared" si="7"/>
        <v>2.8643323164083423</v>
      </c>
    </row>
    <row r="211" spans="1:4" hidden="1">
      <c r="A211" s="4">
        <v>49949</v>
      </c>
      <c r="B211">
        <v>0.11410348815165874</v>
      </c>
      <c r="C211">
        <f t="shared" si="6"/>
        <v>1.0011410348815166</v>
      </c>
      <c r="D211">
        <f t="shared" si="7"/>
        <v>2.8676006194936194</v>
      </c>
    </row>
    <row r="212" spans="1:4">
      <c r="A212" s="4">
        <v>49980</v>
      </c>
      <c r="B212">
        <v>0.67035799289099507</v>
      </c>
      <c r="C212">
        <f t="shared" si="6"/>
        <v>1.0067035799289099</v>
      </c>
      <c r="D212">
        <f t="shared" si="7"/>
        <v>2.8868238094505867</v>
      </c>
    </row>
    <row r="213" spans="1:4" hidden="1">
      <c r="A213" s="4">
        <v>50010</v>
      </c>
      <c r="B213">
        <v>1.3835047938388623</v>
      </c>
      <c r="C213">
        <f t="shared" si="6"/>
        <v>1.0138350479383886</v>
      </c>
      <c r="D213">
        <f t="shared" si="7"/>
        <v>2.9267631552440174</v>
      </c>
    </row>
    <row r="214" spans="1:4" hidden="1">
      <c r="A214" s="4">
        <v>50041</v>
      </c>
      <c r="B214">
        <v>0.59904331279620837</v>
      </c>
      <c r="C214">
        <f t="shared" si="6"/>
        <v>1.0059904331279621</v>
      </c>
      <c r="D214">
        <f t="shared" si="7"/>
        <v>2.9442957342068903</v>
      </c>
    </row>
    <row r="215" spans="1:4" hidden="1">
      <c r="A215" s="4">
        <v>50072</v>
      </c>
      <c r="B215">
        <v>0.47067688862559232</v>
      </c>
      <c r="C215">
        <f t="shared" si="6"/>
        <v>1.0047067688862559</v>
      </c>
      <c r="D215">
        <f t="shared" si="7"/>
        <v>2.9581538537605914</v>
      </c>
    </row>
    <row r="216" spans="1:4" hidden="1">
      <c r="A216" s="4">
        <v>50100</v>
      </c>
      <c r="B216">
        <v>0.7131468009478672</v>
      </c>
      <c r="C216">
        <f t="shared" si="6"/>
        <v>1.0071314680094787</v>
      </c>
      <c r="D216">
        <f t="shared" si="7"/>
        <v>2.9792498333358011</v>
      </c>
    </row>
    <row r="217" spans="1:4" hidden="1">
      <c r="A217" s="4">
        <v>50131</v>
      </c>
      <c r="B217">
        <v>0.79872441706161124</v>
      </c>
      <c r="C217">
        <f t="shared" si="6"/>
        <v>1.0079872441706161</v>
      </c>
      <c r="D217">
        <f t="shared" si="7"/>
        <v>3.0030458291999214</v>
      </c>
    </row>
    <row r="218" spans="1:4">
      <c r="A218" s="4">
        <v>50161</v>
      </c>
      <c r="B218">
        <v>0.37083633649289094</v>
      </c>
      <c r="C218">
        <f t="shared" si="6"/>
        <v>1.0037083633649289</v>
      </c>
      <c r="D218">
        <f t="shared" si="7"/>
        <v>3.0141822143361288</v>
      </c>
    </row>
    <row r="219" spans="1:4" hidden="1">
      <c r="A219" s="4">
        <v>50192</v>
      </c>
      <c r="B219">
        <v>0.3423104644549762</v>
      </c>
      <c r="C219">
        <f t="shared" si="6"/>
        <v>1.0034231046445499</v>
      </c>
      <c r="D219">
        <f t="shared" si="7"/>
        <v>3.0245000754735423</v>
      </c>
    </row>
    <row r="220" spans="1:4" hidden="1">
      <c r="A220" s="4">
        <v>50222</v>
      </c>
      <c r="B220">
        <v>0.31378459241706153</v>
      </c>
      <c r="C220">
        <f t="shared" si="6"/>
        <v>1.0031378459241707</v>
      </c>
      <c r="D220">
        <f t="shared" si="7"/>
        <v>3.0339904907080206</v>
      </c>
    </row>
    <row r="221" spans="1:4" hidden="1">
      <c r="A221" s="4">
        <v>50253</v>
      </c>
      <c r="B221">
        <v>0.15689229620853076</v>
      </c>
      <c r="C221">
        <f t="shared" si="6"/>
        <v>1.0015689229620852</v>
      </c>
      <c r="D221">
        <f t="shared" si="7"/>
        <v>3.0387505880556405</v>
      </c>
    </row>
    <row r="222" spans="1:4" hidden="1">
      <c r="A222" s="4">
        <v>50284</v>
      </c>
      <c r="B222">
        <v>8.5577616113744051E-2</v>
      </c>
      <c r="C222">
        <f t="shared" si="6"/>
        <v>1.0008557761611374</v>
      </c>
      <c r="D222">
        <f t="shared" si="7"/>
        <v>3.0413510783685407</v>
      </c>
    </row>
    <row r="223" spans="1:4" hidden="1">
      <c r="A223" s="4">
        <v>50314</v>
      </c>
      <c r="B223">
        <v>0.11422240758293838</v>
      </c>
      <c r="C223">
        <f t="shared" si="6"/>
        <v>1.0011422240758294</v>
      </c>
      <c r="D223">
        <f t="shared" si="7"/>
        <v>3.0448249827933029</v>
      </c>
    </row>
    <row r="224" spans="1:4">
      <c r="A224" s="4">
        <v>50345</v>
      </c>
      <c r="B224">
        <v>0.67105664454976288</v>
      </c>
      <c r="C224">
        <f t="shared" si="6"/>
        <v>1.0067105664454976</v>
      </c>
      <c r="D224">
        <f t="shared" si="7"/>
        <v>3.0652574831552486</v>
      </c>
    </row>
    <row r="225" spans="1:4" hidden="1">
      <c r="A225" s="4">
        <v>50375</v>
      </c>
      <c r="B225">
        <v>1.3849466919431277</v>
      </c>
      <c r="C225">
        <f t="shared" si="6"/>
        <v>1.0138494669194313</v>
      </c>
      <c r="D225">
        <f t="shared" si="7"/>
        <v>3.1077096652677465</v>
      </c>
    </row>
    <row r="226" spans="1:4" hidden="1">
      <c r="A226" s="4">
        <v>50406</v>
      </c>
      <c r="B226">
        <v>0.59966763981042648</v>
      </c>
      <c r="C226">
        <f t="shared" si="6"/>
        <v>1.0059966763981043</v>
      </c>
      <c r="D226">
        <f t="shared" si="7"/>
        <v>3.1263455944696181</v>
      </c>
    </row>
    <row r="227" spans="1:4" hidden="1">
      <c r="A227" s="4">
        <v>50437</v>
      </c>
      <c r="B227">
        <v>0.4711674312796208</v>
      </c>
      <c r="C227">
        <f t="shared" si="6"/>
        <v>1.0047116743127962</v>
      </c>
      <c r="D227">
        <f t="shared" si="7"/>
        <v>3.1410759167000042</v>
      </c>
    </row>
    <row r="228" spans="1:4" hidden="1">
      <c r="A228" s="4">
        <v>50465</v>
      </c>
      <c r="B228">
        <v>0.71389004739336481</v>
      </c>
      <c r="C228">
        <f t="shared" si="6"/>
        <v>1.0071389004739337</v>
      </c>
      <c r="D228">
        <f t="shared" si="7"/>
        <v>3.1634997450503959</v>
      </c>
    </row>
    <row r="229" spans="1:4" hidden="1">
      <c r="A229" s="4">
        <v>50496</v>
      </c>
      <c r="B229">
        <v>0.79955685308056856</v>
      </c>
      <c r="C229">
        <f t="shared" si="6"/>
        <v>1.0079955685308057</v>
      </c>
      <c r="D229">
        <f t="shared" si="7"/>
        <v>3.1887937240591326</v>
      </c>
    </row>
    <row r="230" spans="1:4">
      <c r="A230" s="4">
        <v>50526</v>
      </c>
      <c r="B230">
        <v>0.3712228246445497</v>
      </c>
      <c r="C230">
        <f t="shared" si="6"/>
        <v>1.0037122282464455</v>
      </c>
      <c r="D230">
        <f t="shared" si="7"/>
        <v>3.2006312541936728</v>
      </c>
    </row>
    <row r="231" spans="1:4" hidden="1">
      <c r="A231" s="4">
        <v>50557</v>
      </c>
      <c r="B231">
        <v>0.34266722274881511</v>
      </c>
      <c r="C231">
        <f t="shared" si="6"/>
        <v>1.003426672227488</v>
      </c>
      <c r="D231">
        <f t="shared" si="7"/>
        <v>3.2115987684228484</v>
      </c>
    </row>
    <row r="232" spans="1:4" hidden="1">
      <c r="A232" s="4">
        <v>50587</v>
      </c>
      <c r="B232">
        <v>0.31411162085308053</v>
      </c>
      <c r="C232">
        <f t="shared" si="6"/>
        <v>1.0031411162085309</v>
      </c>
      <c r="D232">
        <f t="shared" si="7"/>
        <v>3.221686773369639</v>
      </c>
    </row>
    <row r="233" spans="1:4" hidden="1">
      <c r="A233" s="4">
        <v>50618</v>
      </c>
      <c r="B233">
        <v>0.15705581042654027</v>
      </c>
      <c r="C233">
        <f t="shared" si="6"/>
        <v>1.0015705581042653</v>
      </c>
      <c r="D233">
        <f t="shared" si="7"/>
        <v>3.2267466196409593</v>
      </c>
    </row>
    <row r="234" spans="1:4" hidden="1">
      <c r="A234" s="4">
        <v>50649</v>
      </c>
      <c r="B234">
        <v>8.5666805687203779E-2</v>
      </c>
      <c r="C234">
        <f t="shared" si="6"/>
        <v>1.000856668056872</v>
      </c>
      <c r="D234">
        <f t="shared" si="7"/>
        <v>3.2295108703976254</v>
      </c>
    </row>
    <row r="235" spans="1:4" hidden="1">
      <c r="A235" s="4">
        <v>50679</v>
      </c>
      <c r="B235">
        <v>0.11432733649289098</v>
      </c>
      <c r="C235">
        <f t="shared" si="6"/>
        <v>1.0011432733649288</v>
      </c>
      <c r="D235">
        <f t="shared" si="7"/>
        <v>3.2332030841574992</v>
      </c>
    </row>
    <row r="236" spans="1:4">
      <c r="A236" s="4">
        <v>50710</v>
      </c>
      <c r="B236">
        <v>0.67167310189573437</v>
      </c>
      <c r="C236">
        <f t="shared" si="6"/>
        <v>1.0067167310189573</v>
      </c>
      <c r="D236">
        <f t="shared" si="7"/>
        <v>3.2549196396034485</v>
      </c>
    </row>
    <row r="237" spans="1:4" hidden="1">
      <c r="A237" s="4">
        <v>50740</v>
      </c>
      <c r="B237">
        <v>1.3862189549763031</v>
      </c>
      <c r="C237">
        <f t="shared" si="6"/>
        <v>1.013862189549763</v>
      </c>
      <c r="D237">
        <f t="shared" si="7"/>
        <v>3.3000399526168778</v>
      </c>
    </row>
    <row r="238" spans="1:4" hidden="1">
      <c r="A238" s="4">
        <v>50771</v>
      </c>
      <c r="B238">
        <v>0.60021851658767766</v>
      </c>
      <c r="C238">
        <f t="shared" si="6"/>
        <v>1.0060021851658767</v>
      </c>
      <c r="D238">
        <f t="shared" si="7"/>
        <v>3.3198474034672754</v>
      </c>
    </row>
    <row r="239" spans="1:4" hidden="1">
      <c r="A239" s="4">
        <v>50802</v>
      </c>
      <c r="B239">
        <v>0.47160026303317526</v>
      </c>
      <c r="C239">
        <f t="shared" si="6"/>
        <v>1.0047160026303317</v>
      </c>
      <c r="D239">
        <f t="shared" si="7"/>
        <v>3.3355038125543266</v>
      </c>
    </row>
    <row r="240" spans="1:4" hidden="1">
      <c r="A240" s="4">
        <v>50830</v>
      </c>
      <c r="B240">
        <v>0.71454585308056862</v>
      </c>
      <c r="C240">
        <f t="shared" si="6"/>
        <v>1.0071454585308057</v>
      </c>
      <c r="D240">
        <f t="shared" si="7"/>
        <v>3.3593375167262778</v>
      </c>
    </row>
    <row r="241" spans="1:4" hidden="1">
      <c r="A241" s="4">
        <v>50861</v>
      </c>
      <c r="B241">
        <v>0.80029135545023689</v>
      </c>
      <c r="C241">
        <f t="shared" si="6"/>
        <v>1.0080029135545023</v>
      </c>
      <c r="D241">
        <f t="shared" si="7"/>
        <v>3.3862220044730349</v>
      </c>
    </row>
    <row r="242" spans="1:4">
      <c r="A242" s="4">
        <v>50891</v>
      </c>
      <c r="B242">
        <v>0.3715638436018957</v>
      </c>
      <c r="C242">
        <f t="shared" si="6"/>
        <v>1.0037156384360189</v>
      </c>
      <c r="D242">
        <f t="shared" si="7"/>
        <v>3.3988039811057478</v>
      </c>
    </row>
    <row r="243" spans="1:4" hidden="1">
      <c r="A243" s="4">
        <v>50922</v>
      </c>
      <c r="B243">
        <v>0.34298200947867291</v>
      </c>
      <c r="C243">
        <f t="shared" si="6"/>
        <v>1.0034298200947867</v>
      </c>
      <c r="D243">
        <f t="shared" si="7"/>
        <v>3.4104612672983849</v>
      </c>
    </row>
    <row r="244" spans="1:4" hidden="1">
      <c r="A244" s="4">
        <v>50952</v>
      </c>
      <c r="B244">
        <v>0.31440017535545017</v>
      </c>
      <c r="C244">
        <f t="shared" si="6"/>
        <v>1.0031440017535544</v>
      </c>
      <c r="D244">
        <f t="shared" si="7"/>
        <v>3.4211837635032007</v>
      </c>
    </row>
    <row r="245" spans="1:4" hidden="1">
      <c r="A245" s="4">
        <v>50983</v>
      </c>
      <c r="B245">
        <v>0.15720008767772509</v>
      </c>
      <c r="C245">
        <f t="shared" si="6"/>
        <v>1.0015720008767772</v>
      </c>
      <c r="D245">
        <f t="shared" si="7"/>
        <v>3.4265618673790437</v>
      </c>
    </row>
    <row r="246" spans="1:4" hidden="1">
      <c r="A246" s="4">
        <v>51014</v>
      </c>
      <c r="B246">
        <v>8.5745502369668228E-2</v>
      </c>
      <c r="C246">
        <f t="shared" si="6"/>
        <v>1.0008574550236966</v>
      </c>
      <c r="D246">
        <f t="shared" si="7"/>
        <v>3.4294999900662351</v>
      </c>
    </row>
    <row r="247" spans="1:4" hidden="1">
      <c r="A247" s="4">
        <v>51044</v>
      </c>
      <c r="B247">
        <v>0.11442060663507109</v>
      </c>
      <c r="C247">
        <f t="shared" si="6"/>
        <v>1.0011442060663507</v>
      </c>
      <c r="D247">
        <f t="shared" si="7"/>
        <v>3.4334240447594184</v>
      </c>
    </row>
    <row r="248" spans="1:4">
      <c r="A248" s="4">
        <v>51075</v>
      </c>
      <c r="B248">
        <v>0.67222106398104253</v>
      </c>
      <c r="C248">
        <f t="shared" si="6"/>
        <v>1.0067222106398104</v>
      </c>
      <c r="D248">
        <f t="shared" si="7"/>
        <v>3.4565042444040808</v>
      </c>
    </row>
    <row r="249" spans="1:4" hidden="1">
      <c r="A249" s="4">
        <v>51105</v>
      </c>
      <c r="B249">
        <v>1.3873498554502368</v>
      </c>
      <c r="C249">
        <f t="shared" si="6"/>
        <v>1.0138734985545024</v>
      </c>
      <c r="D249">
        <f t="shared" si="7"/>
        <v>3.5044580510424521</v>
      </c>
    </row>
    <row r="250" spans="1:4" hidden="1">
      <c r="A250" s="4">
        <v>51136</v>
      </c>
      <c r="B250">
        <v>0.60070818483412314</v>
      </c>
      <c r="C250">
        <f t="shared" si="6"/>
        <v>1.0060070818483413</v>
      </c>
      <c r="D250">
        <f t="shared" si="7"/>
        <v>3.5255096173891429</v>
      </c>
    </row>
    <row r="251" spans="1:4" hidden="1">
      <c r="A251" s="4">
        <v>51167</v>
      </c>
      <c r="B251">
        <v>0.47198500236966817</v>
      </c>
      <c r="C251">
        <f t="shared" si="6"/>
        <v>1.0047198500236967</v>
      </c>
      <c r="D251">
        <f t="shared" si="7"/>
        <v>3.54214949404032</v>
      </c>
    </row>
    <row r="252" spans="1:4" hidden="1">
      <c r="A252" s="4">
        <v>51196</v>
      </c>
      <c r="B252">
        <v>0.71512879146919428</v>
      </c>
      <c r="C252">
        <f t="shared" si="6"/>
        <v>1.007151287914692</v>
      </c>
      <c r="D252">
        <f t="shared" si="7"/>
        <v>3.5674804249090828</v>
      </c>
    </row>
    <row r="253" spans="1:4" hidden="1">
      <c r="A253" s="4">
        <v>51227</v>
      </c>
      <c r="B253">
        <v>0.80094424644549755</v>
      </c>
      <c r="C253">
        <f t="shared" si="6"/>
        <v>1.008009442464455</v>
      </c>
      <c r="D253">
        <f t="shared" si="7"/>
        <v>3.5960539541154617</v>
      </c>
    </row>
    <row r="254" spans="1:4">
      <c r="A254" s="4">
        <v>51257</v>
      </c>
      <c r="B254">
        <v>0.37186697156398102</v>
      </c>
      <c r="C254">
        <f t="shared" si="6"/>
        <v>1.0037186697156397</v>
      </c>
      <c r="D254">
        <f t="shared" si="7"/>
        <v>3.6094264910504372</v>
      </c>
    </row>
    <row r="255" spans="1:4" hidden="1">
      <c r="A255" s="4">
        <v>51288</v>
      </c>
      <c r="B255">
        <v>0.34326181990521321</v>
      </c>
      <c r="C255">
        <f t="shared" si="6"/>
        <v>1.0034326181990521</v>
      </c>
      <c r="D255">
        <f t="shared" si="7"/>
        <v>3.6218162741117577</v>
      </c>
    </row>
    <row r="256" spans="1:4" hidden="1">
      <c r="A256" s="4">
        <v>51318</v>
      </c>
      <c r="B256">
        <v>0.31465666824644545</v>
      </c>
      <c r="C256">
        <f t="shared" si="6"/>
        <v>1.0031465666824644</v>
      </c>
      <c r="D256">
        <f t="shared" si="7"/>
        <v>3.6332125605298851</v>
      </c>
    </row>
    <row r="257" spans="1:4" hidden="1">
      <c r="A257" s="4">
        <v>51349</v>
      </c>
      <c r="B257">
        <v>0.15732833412322272</v>
      </c>
      <c r="C257">
        <f t="shared" si="6"/>
        <v>1.0015732833412323</v>
      </c>
      <c r="D257">
        <f t="shared" si="7"/>
        <v>3.6389286333265227</v>
      </c>
    </row>
    <row r="258" spans="1:4" hidden="1">
      <c r="A258" s="4">
        <v>51380</v>
      </c>
      <c r="B258">
        <v>8.5815454976303301E-2</v>
      </c>
      <c r="C258">
        <f t="shared" si="6"/>
        <v>1.000858154549763</v>
      </c>
      <c r="D258">
        <f t="shared" si="7"/>
        <v>3.642051396489475</v>
      </c>
    </row>
    <row r="259" spans="1:4" hidden="1">
      <c r="A259" s="4">
        <v>51410</v>
      </c>
      <c r="B259">
        <v>0.11450403791469192</v>
      </c>
      <c r="C259">
        <f t="shared" ref="C259:C302" si="8">1+B259/100</f>
        <v>1.0011450403791469</v>
      </c>
      <c r="D259">
        <f t="shared" si="7"/>
        <v>3.6462216924013835</v>
      </c>
    </row>
    <row r="260" spans="1:4">
      <c r="A260" s="4">
        <v>51441</v>
      </c>
      <c r="B260">
        <v>0.67271122274881501</v>
      </c>
      <c r="C260">
        <f t="shared" si="8"/>
        <v>1.0067271122274881</v>
      </c>
      <c r="D260">
        <f t="shared" ref="D260:D302" si="9">C260*D259</f>
        <v>3.6707502349324694</v>
      </c>
    </row>
    <row r="261" spans="1:4" hidden="1">
      <c r="A261" s="4">
        <v>51471</v>
      </c>
      <c r="B261">
        <v>1.3883614597156395</v>
      </c>
      <c r="C261">
        <f t="shared" si="8"/>
        <v>1.0138836145971564</v>
      </c>
      <c r="D261">
        <f t="shared" si="9"/>
        <v>3.7217135164766932</v>
      </c>
    </row>
    <row r="262" spans="1:4" hidden="1">
      <c r="A262" s="4">
        <v>51502</v>
      </c>
      <c r="B262">
        <v>0.60114619905213262</v>
      </c>
      <c r="C262">
        <f t="shared" si="8"/>
        <v>1.0060114619905214</v>
      </c>
      <c r="D262">
        <f t="shared" si="9"/>
        <v>3.7440864558206024</v>
      </c>
    </row>
    <row r="263" spans="1:4" hidden="1">
      <c r="A263" s="4">
        <v>51533</v>
      </c>
      <c r="B263">
        <v>0.47232915639810419</v>
      </c>
      <c r="C263">
        <f t="shared" si="8"/>
        <v>1.004723291563981</v>
      </c>
      <c r="D263">
        <f t="shared" si="9"/>
        <v>3.7617708677921953</v>
      </c>
    </row>
    <row r="264" spans="1:4" hidden="1">
      <c r="A264" s="4">
        <v>51561</v>
      </c>
      <c r="B264">
        <v>0.71565023696682462</v>
      </c>
      <c r="C264">
        <f t="shared" si="8"/>
        <v>1.0071565023696682</v>
      </c>
      <c r="D264">
        <f t="shared" si="9"/>
        <v>3.7886919899216993</v>
      </c>
    </row>
    <row r="265" spans="1:4" hidden="1">
      <c r="A265" s="4">
        <v>51592</v>
      </c>
      <c r="B265">
        <v>0.8015282654028435</v>
      </c>
      <c r="C265">
        <f t="shared" si="8"/>
        <v>1.0080152826540285</v>
      </c>
      <c r="D265">
        <f t="shared" si="9"/>
        <v>3.8190594271099756</v>
      </c>
    </row>
    <row r="266" spans="1:4">
      <c r="A266" s="4">
        <v>51622</v>
      </c>
      <c r="B266">
        <v>0.37213812322274875</v>
      </c>
      <c r="C266">
        <f t="shared" si="8"/>
        <v>1.0037213812322274</v>
      </c>
      <c r="D266">
        <f t="shared" si="9"/>
        <v>3.8332716031867839</v>
      </c>
    </row>
    <row r="267" spans="1:4" hidden="1">
      <c r="A267" s="4">
        <v>51653</v>
      </c>
      <c r="B267">
        <v>0.34351211374407575</v>
      </c>
      <c r="C267">
        <f t="shared" si="8"/>
        <v>1.0034351211374408</v>
      </c>
      <c r="D267">
        <f t="shared" si="9"/>
        <v>3.8464393554964427</v>
      </c>
    </row>
    <row r="268" spans="1:4" hidden="1">
      <c r="A268" s="4">
        <v>51683</v>
      </c>
      <c r="B268">
        <v>0.31488610426540276</v>
      </c>
      <c r="C268">
        <f t="shared" si="8"/>
        <v>1.003148861042654</v>
      </c>
      <c r="D268">
        <f t="shared" si="9"/>
        <v>3.8585512585358965</v>
      </c>
    </row>
    <row r="269" spans="1:4" hidden="1">
      <c r="A269" s="4">
        <v>51714</v>
      </c>
      <c r="B269">
        <v>0.15744305213270138</v>
      </c>
      <c r="C269">
        <f t="shared" si="8"/>
        <v>1.001574430521327</v>
      </c>
      <c r="D269">
        <f t="shared" si="9"/>
        <v>3.86462627940544</v>
      </c>
    </row>
    <row r="270" spans="1:4" hidden="1">
      <c r="A270" s="4">
        <v>51745</v>
      </c>
      <c r="B270">
        <v>8.5878028436018938E-2</v>
      </c>
      <c r="C270">
        <f t="shared" si="8"/>
        <v>1.0008587802843603</v>
      </c>
      <c r="D270">
        <f t="shared" si="9"/>
        <v>3.8679451442606139</v>
      </c>
    </row>
    <row r="271" spans="1:4" hidden="1">
      <c r="A271" s="4">
        <v>51775</v>
      </c>
      <c r="B271">
        <v>0.1145791279620853</v>
      </c>
      <c r="C271">
        <f t="shared" si="8"/>
        <v>1.0011457912796209</v>
      </c>
      <c r="D271">
        <f t="shared" si="9"/>
        <v>3.8723770020769597</v>
      </c>
    </row>
    <row r="272" spans="1:4">
      <c r="A272" s="4">
        <v>51806</v>
      </c>
      <c r="B272">
        <v>0.67315237677725104</v>
      </c>
      <c r="C272">
        <f t="shared" si="8"/>
        <v>1.0067315237677725</v>
      </c>
      <c r="D272">
        <f t="shared" si="9"/>
        <v>3.8984439999042166</v>
      </c>
    </row>
    <row r="273" spans="1:4" hidden="1">
      <c r="A273" s="4">
        <v>51836</v>
      </c>
      <c r="B273">
        <v>1.3892719265402842</v>
      </c>
      <c r="C273">
        <f t="shared" si="8"/>
        <v>1.0138927192654028</v>
      </c>
      <c r="D273">
        <f t="shared" si="9"/>
        <v>3.9526039879667798</v>
      </c>
    </row>
    <row r="274" spans="1:4" hidden="1">
      <c r="A274" s="4">
        <v>51867</v>
      </c>
      <c r="B274">
        <v>0.6015404218009478</v>
      </c>
      <c r="C274">
        <f t="shared" si="8"/>
        <v>1.0060154042180094</v>
      </c>
      <c r="D274">
        <f t="shared" si="9"/>
        <v>3.9763804986681159</v>
      </c>
    </row>
    <row r="275" spans="1:4" hidden="1">
      <c r="A275" s="4">
        <v>51898</v>
      </c>
      <c r="B275">
        <v>0.47263890284360183</v>
      </c>
      <c r="C275">
        <f t="shared" si="8"/>
        <v>1.0047263890284359</v>
      </c>
      <c r="D275">
        <f t="shared" si="9"/>
        <v>3.9951744198299073</v>
      </c>
    </row>
    <row r="276" spans="1:4" hidden="1">
      <c r="A276" s="4">
        <v>51926</v>
      </c>
      <c r="B276">
        <v>0.71611954976303316</v>
      </c>
      <c r="C276">
        <f t="shared" si="8"/>
        <v>1.0071611954976303</v>
      </c>
      <c r="D276">
        <f t="shared" si="9"/>
        <v>4.0237846448974413</v>
      </c>
    </row>
    <row r="277" spans="1:4" hidden="1">
      <c r="A277" s="4">
        <v>51957</v>
      </c>
      <c r="B277">
        <v>0.80205389573459707</v>
      </c>
      <c r="C277">
        <f t="shared" si="8"/>
        <v>1.008020538957346</v>
      </c>
      <c r="D277">
        <f t="shared" si="9"/>
        <v>4.0560575663978122</v>
      </c>
    </row>
    <row r="278" spans="1:4">
      <c r="A278" s="4">
        <v>51987</v>
      </c>
      <c r="B278">
        <v>0.37238216587677719</v>
      </c>
      <c r="C278">
        <f t="shared" si="8"/>
        <v>1.0037238216587678</v>
      </c>
      <c r="D278">
        <f t="shared" si="9"/>
        <v>4.0711616014127738</v>
      </c>
    </row>
    <row r="279" spans="1:4" hidden="1">
      <c r="A279" s="4">
        <v>52018</v>
      </c>
      <c r="B279">
        <v>0.34373738388625585</v>
      </c>
      <c r="C279">
        <f t="shared" si="8"/>
        <v>1.0034373738388627</v>
      </c>
      <c r="D279">
        <f t="shared" si="9"/>
        <v>4.0851557057952528</v>
      </c>
    </row>
    <row r="280" spans="1:4" hidden="1">
      <c r="A280" s="4">
        <v>52048</v>
      </c>
      <c r="B280">
        <v>0.31509260189573457</v>
      </c>
      <c r="C280">
        <f t="shared" si="8"/>
        <v>1.0031509260189573</v>
      </c>
      <c r="D280">
        <f t="shared" si="9"/>
        <v>4.098027729200135</v>
      </c>
    </row>
    <row r="281" spans="1:4" hidden="1">
      <c r="A281" s="4">
        <v>52079</v>
      </c>
      <c r="B281">
        <v>0.15754630094786728</v>
      </c>
      <c r="C281">
        <f t="shared" si="8"/>
        <v>1.0015754630094786</v>
      </c>
      <c r="D281">
        <f t="shared" si="9"/>
        <v>4.1044840202993074</v>
      </c>
    </row>
    <row r="282" spans="1:4" hidden="1">
      <c r="A282" s="4">
        <v>52110</v>
      </c>
      <c r="B282">
        <v>8.5934345971563963E-2</v>
      </c>
      <c r="C282">
        <f t="shared" si="8"/>
        <v>1.0008593434597157</v>
      </c>
      <c r="D282">
        <f t="shared" si="9"/>
        <v>4.108011181797659</v>
      </c>
    </row>
    <row r="283" spans="1:4" hidden="1">
      <c r="A283" s="4">
        <v>52140</v>
      </c>
      <c r="B283">
        <v>0.11464707109004739</v>
      </c>
      <c r="C283">
        <f t="shared" si="8"/>
        <v>1.0011464707109006</v>
      </c>
      <c r="D283">
        <f t="shared" si="9"/>
        <v>4.1127208962976418</v>
      </c>
    </row>
    <row r="284" spans="1:4">
      <c r="A284" s="4">
        <v>52171</v>
      </c>
      <c r="B284">
        <v>0.67355154265402828</v>
      </c>
      <c r="C284">
        <f t="shared" si="8"/>
        <v>1.0067355154265403</v>
      </c>
      <c r="D284">
        <f t="shared" si="9"/>
        <v>4.1404221913397095</v>
      </c>
    </row>
    <row r="285" spans="1:4" hidden="1">
      <c r="A285" s="4">
        <v>52201</v>
      </c>
      <c r="B285">
        <v>1.3900957369668245</v>
      </c>
      <c r="C285">
        <f t="shared" si="8"/>
        <v>1.0139009573696682</v>
      </c>
      <c r="D285">
        <f t="shared" si="9"/>
        <v>4.1979780237139508</v>
      </c>
    </row>
    <row r="286" spans="1:4" hidden="1">
      <c r="A286" s="4">
        <v>52232</v>
      </c>
      <c r="B286">
        <v>0.6018971232227488</v>
      </c>
      <c r="C286">
        <f t="shared" si="8"/>
        <v>1.0060189712322274</v>
      </c>
      <c r="D286">
        <f t="shared" si="9"/>
        <v>4.223245532672208</v>
      </c>
    </row>
    <row r="287" spans="1:4" hidden="1">
      <c r="A287" s="4">
        <v>52263</v>
      </c>
      <c r="B287">
        <v>0.47291916824644548</v>
      </c>
      <c r="C287">
        <f t="shared" si="8"/>
        <v>1.0047291916824646</v>
      </c>
      <c r="D287">
        <f t="shared" si="9"/>
        <v>4.2432180703183269</v>
      </c>
    </row>
    <row r="288" spans="1:4" hidden="1">
      <c r="A288" s="4">
        <v>52291</v>
      </c>
      <c r="B288">
        <v>0.71654419431279615</v>
      </c>
      <c r="C288">
        <f t="shared" si="8"/>
        <v>1.007165441943128</v>
      </c>
      <c r="D288">
        <f t="shared" si="9"/>
        <v>4.2736226030532247</v>
      </c>
    </row>
    <row r="289" spans="1:4" hidden="1">
      <c r="A289" s="4">
        <v>52322</v>
      </c>
      <c r="B289">
        <v>0.80252949763033166</v>
      </c>
      <c r="C289">
        <f t="shared" si="8"/>
        <v>1.0080252949763033</v>
      </c>
      <c r="D289">
        <f t="shared" si="9"/>
        <v>4.3079196850601242</v>
      </c>
    </row>
    <row r="290" spans="1:4">
      <c r="A290" s="4">
        <v>52352</v>
      </c>
      <c r="B290">
        <v>0.37260298104265399</v>
      </c>
      <c r="C290">
        <f t="shared" si="8"/>
        <v>1.0037260298104265</v>
      </c>
      <c r="D290">
        <f t="shared" si="9"/>
        <v>4.3239711222275812</v>
      </c>
    </row>
    <row r="291" spans="1:4" hidden="1">
      <c r="A291" s="4">
        <v>52383</v>
      </c>
      <c r="B291">
        <v>0.34394121327014215</v>
      </c>
      <c r="C291">
        <f t="shared" si="8"/>
        <v>1.0034394121327015</v>
      </c>
      <c r="D291">
        <f t="shared" si="9"/>
        <v>4.3388430409668217</v>
      </c>
    </row>
    <row r="292" spans="1:4" hidden="1">
      <c r="A292" s="4">
        <v>52413</v>
      </c>
      <c r="B292">
        <v>0.31527944549763026</v>
      </c>
      <c r="C292">
        <f t="shared" si="8"/>
        <v>1.0031527944549763</v>
      </c>
      <c r="D292">
        <f t="shared" si="9"/>
        <v>4.3525225212473941</v>
      </c>
    </row>
    <row r="293" spans="1:4" hidden="1">
      <c r="A293" s="4">
        <v>52444</v>
      </c>
      <c r="B293">
        <v>0.15763972274881513</v>
      </c>
      <c r="C293">
        <f t="shared" si="8"/>
        <v>1.0015763972274883</v>
      </c>
      <c r="D293">
        <f t="shared" si="9"/>
        <v>4.3593838256824684</v>
      </c>
    </row>
    <row r="294" spans="1:4" hidden="1">
      <c r="A294" s="4">
        <v>52475</v>
      </c>
      <c r="B294">
        <v>8.5985303317535539E-2</v>
      </c>
      <c r="C294">
        <f t="shared" si="8"/>
        <v>1.0008598530331754</v>
      </c>
      <c r="D294">
        <f t="shared" si="9"/>
        <v>4.3631322550877574</v>
      </c>
    </row>
    <row r="295" spans="1:4" hidden="1">
      <c r="A295" s="4">
        <v>52505</v>
      </c>
      <c r="B295">
        <v>0.11470881516587676</v>
      </c>
      <c r="C295">
        <f t="shared" si="8"/>
        <v>1.0011470881516589</v>
      </c>
      <c r="D295">
        <f t="shared" si="9"/>
        <v>4.3681371524016894</v>
      </c>
    </row>
    <row r="296" spans="1:4">
      <c r="A296" s="4">
        <v>52536</v>
      </c>
      <c r="B296">
        <v>0.67391428909952589</v>
      </c>
      <c r="C296">
        <f t="shared" si="8"/>
        <v>1.0067391428909953</v>
      </c>
      <c r="D296">
        <f t="shared" si="9"/>
        <v>4.3975746528391895</v>
      </c>
    </row>
    <row r="297" spans="1:4" hidden="1">
      <c r="A297" s="4">
        <v>52566</v>
      </c>
      <c r="B297">
        <v>1.3908443838862556</v>
      </c>
      <c r="C297">
        <f t="shared" si="8"/>
        <v>1.0139084438388626</v>
      </c>
      <c r="D297">
        <f t="shared" si="9"/>
        <v>4.4587380729254091</v>
      </c>
    </row>
    <row r="298" spans="1:4" hidden="1">
      <c r="A298" s="4">
        <v>52597</v>
      </c>
      <c r="B298">
        <v>0.60222127962085303</v>
      </c>
      <c r="C298">
        <f t="shared" si="8"/>
        <v>1.0060222127962086</v>
      </c>
      <c r="D298">
        <f t="shared" si="9"/>
        <v>4.4855895424031234</v>
      </c>
    </row>
    <row r="299" spans="1:4" hidden="1">
      <c r="A299" s="4">
        <v>52628</v>
      </c>
      <c r="B299">
        <v>0.47317386255924165</v>
      </c>
      <c r="C299">
        <f t="shared" si="8"/>
        <v>1.0047317386255925</v>
      </c>
      <c r="D299">
        <f t="shared" si="9"/>
        <v>4.5068141796994663</v>
      </c>
    </row>
    <row r="300" spans="1:4" hidden="1">
      <c r="A300" s="4">
        <v>52657</v>
      </c>
      <c r="B300">
        <v>0.71693009478672975</v>
      </c>
      <c r="C300">
        <f t="shared" si="8"/>
        <v>1.0071693009478673</v>
      </c>
      <c r="D300">
        <f t="shared" si="9"/>
        <v>4.5391248868698471</v>
      </c>
    </row>
    <row r="301" spans="1:4" hidden="1">
      <c r="A301" s="4">
        <v>52688</v>
      </c>
      <c r="B301">
        <v>0.80296170616113727</v>
      </c>
      <c r="C301">
        <f t="shared" si="8"/>
        <v>1.0080296170616114</v>
      </c>
      <c r="D301">
        <f t="shared" si="9"/>
        <v>4.5755723215062423</v>
      </c>
    </row>
    <row r="302" spans="1:4">
      <c r="A302" s="4">
        <v>52718</v>
      </c>
      <c r="B302">
        <v>0.37280364928909948</v>
      </c>
      <c r="C302">
        <f t="shared" si="8"/>
        <v>1.0037280364928909</v>
      </c>
      <c r="D302">
        <f t="shared" si="9"/>
        <v>4.5926302220966786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B3912-9A00-4C60-8D8F-CEA0E6BADE53}">
  <dimension ref="A1:D167"/>
  <sheetViews>
    <sheetView workbookViewId="0">
      <selection sqref="A1:D1"/>
    </sheetView>
  </sheetViews>
  <sheetFormatPr defaultRowHeight="15"/>
  <sheetData>
    <row r="1" spans="1:4">
      <c r="A1" t="s">
        <v>21</v>
      </c>
      <c r="B1" t="s">
        <v>150</v>
      </c>
      <c r="C1" t="s">
        <v>22</v>
      </c>
      <c r="D1" t="s">
        <v>149</v>
      </c>
    </row>
    <row r="2" spans="1:4">
      <c r="A2" s="4">
        <v>43647</v>
      </c>
      <c r="B2">
        <v>0.19</v>
      </c>
      <c r="C2">
        <f t="shared" ref="C2:C62" si="0">1+B2/100</f>
        <v>1.0019</v>
      </c>
      <c r="D2">
        <v>1.0019</v>
      </c>
    </row>
    <row r="3" spans="1:4">
      <c r="A3" s="4">
        <v>43678</v>
      </c>
      <c r="B3">
        <v>0.11</v>
      </c>
      <c r="C3">
        <f t="shared" si="0"/>
        <v>1.0011000000000001</v>
      </c>
      <c r="D3">
        <f t="shared" ref="D3:D63" si="1">C3*D2</f>
        <v>1.0030020900000001</v>
      </c>
    </row>
    <row r="4" spans="1:4">
      <c r="A4" s="4">
        <v>43709</v>
      </c>
      <c r="B4">
        <v>-0.04</v>
      </c>
      <c r="C4">
        <f t="shared" si="0"/>
        <v>0.99960000000000004</v>
      </c>
      <c r="D4">
        <f t="shared" si="1"/>
        <v>1.0026008891640001</v>
      </c>
    </row>
    <row r="5" spans="1:4">
      <c r="A5" s="4">
        <v>43739</v>
      </c>
      <c r="B5">
        <v>0.1</v>
      </c>
      <c r="C5">
        <f t="shared" si="0"/>
        <v>1.0009999999999999</v>
      </c>
      <c r="D5">
        <f t="shared" si="1"/>
        <v>1.0036034900531641</v>
      </c>
    </row>
    <row r="6" spans="1:4">
      <c r="A6" s="4">
        <v>43770</v>
      </c>
      <c r="B6">
        <v>0.51</v>
      </c>
      <c r="C6">
        <f t="shared" si="0"/>
        <v>1.0051000000000001</v>
      </c>
      <c r="D6">
        <f t="shared" si="1"/>
        <v>1.0087218678524352</v>
      </c>
    </row>
    <row r="7" spans="1:4">
      <c r="A7" s="4">
        <v>43800</v>
      </c>
      <c r="B7">
        <v>1.1499999999999999</v>
      </c>
      <c r="C7">
        <f t="shared" si="0"/>
        <v>1.0115000000000001</v>
      </c>
      <c r="D7">
        <f t="shared" si="1"/>
        <v>1.0203221693327382</v>
      </c>
    </row>
    <row r="8" spans="1:4">
      <c r="A8" s="4">
        <v>43831</v>
      </c>
      <c r="B8">
        <v>0.21</v>
      </c>
      <c r="C8">
        <f t="shared" si="0"/>
        <v>1.0021</v>
      </c>
      <c r="D8">
        <f t="shared" si="1"/>
        <v>1.022464845888337</v>
      </c>
    </row>
    <row r="9" spans="1:4">
      <c r="A9" s="4">
        <v>43862</v>
      </c>
      <c r="B9">
        <v>0.25</v>
      </c>
      <c r="C9">
        <f t="shared" si="0"/>
        <v>1.0024999999999999</v>
      </c>
      <c r="D9">
        <f t="shared" si="1"/>
        <v>1.0250210080030577</v>
      </c>
    </row>
    <row r="10" spans="1:4">
      <c r="A10" s="4">
        <v>43891</v>
      </c>
      <c r="B10">
        <v>7.0000000000000007E-2</v>
      </c>
      <c r="C10">
        <f t="shared" si="0"/>
        <v>1.0006999999999999</v>
      </c>
      <c r="D10">
        <f t="shared" si="1"/>
        <v>1.0257385227086597</v>
      </c>
    </row>
    <row r="11" spans="1:4">
      <c r="A11" s="4">
        <v>43922</v>
      </c>
      <c r="B11">
        <v>-0.31</v>
      </c>
      <c r="C11">
        <f t="shared" si="0"/>
        <v>0.99690000000000001</v>
      </c>
      <c r="D11">
        <f t="shared" si="1"/>
        <v>1.0225587332882629</v>
      </c>
    </row>
    <row r="12" spans="1:4">
      <c r="A12" s="4">
        <v>43952</v>
      </c>
      <c r="B12">
        <v>-0.38</v>
      </c>
      <c r="C12">
        <f t="shared" si="0"/>
        <v>0.99619999999999997</v>
      </c>
      <c r="D12">
        <f t="shared" si="1"/>
        <v>1.0186730101017674</v>
      </c>
    </row>
    <row r="13" spans="1:4">
      <c r="A13" s="4">
        <v>43983</v>
      </c>
      <c r="B13">
        <v>0.26</v>
      </c>
      <c r="C13">
        <f t="shared" si="0"/>
        <v>1.0025999999999999</v>
      </c>
      <c r="D13">
        <f t="shared" si="1"/>
        <v>1.0213215599280319</v>
      </c>
    </row>
    <row r="14" spans="1:4">
      <c r="A14" s="4">
        <v>44013</v>
      </c>
      <c r="B14">
        <v>0.36</v>
      </c>
      <c r="C14">
        <f t="shared" si="0"/>
        <v>1.0036</v>
      </c>
      <c r="D14">
        <f t="shared" si="1"/>
        <v>1.0249983175437729</v>
      </c>
    </row>
    <row r="15" spans="1:4">
      <c r="A15" s="4">
        <v>44044</v>
      </c>
      <c r="B15">
        <v>0.24</v>
      </c>
      <c r="C15">
        <f t="shared" si="0"/>
        <v>1.0024</v>
      </c>
      <c r="D15">
        <f t="shared" si="1"/>
        <v>1.0274583135058779</v>
      </c>
    </row>
    <row r="16" spans="1:4">
      <c r="A16" s="4">
        <v>44075</v>
      </c>
      <c r="B16">
        <v>0.64</v>
      </c>
      <c r="C16">
        <f t="shared" si="0"/>
        <v>1.0064</v>
      </c>
      <c r="D16">
        <f t="shared" si="1"/>
        <v>1.0340340467123155</v>
      </c>
    </row>
    <row r="17" spans="1:4">
      <c r="A17" s="4">
        <v>44105</v>
      </c>
      <c r="B17">
        <v>0.86</v>
      </c>
      <c r="C17">
        <f t="shared" si="0"/>
        <v>1.0085999999999999</v>
      </c>
      <c r="D17">
        <f t="shared" si="1"/>
        <v>1.0429267395140414</v>
      </c>
    </row>
    <row r="18" spans="1:4">
      <c r="A18" s="4">
        <v>44136</v>
      </c>
      <c r="B18">
        <v>0.89</v>
      </c>
      <c r="C18">
        <f t="shared" si="0"/>
        <v>1.0088999999999999</v>
      </c>
      <c r="D18">
        <f t="shared" si="1"/>
        <v>1.0522087874957162</v>
      </c>
    </row>
    <row r="19" spans="1:4">
      <c r="A19" s="4">
        <v>44166</v>
      </c>
      <c r="B19">
        <v>1.35</v>
      </c>
      <c r="C19">
        <f t="shared" si="0"/>
        <v>1.0135000000000001</v>
      </c>
      <c r="D19">
        <f t="shared" si="1"/>
        <v>1.0664136061269085</v>
      </c>
    </row>
    <row r="20" spans="1:4">
      <c r="A20" s="4">
        <v>44197</v>
      </c>
      <c r="B20">
        <v>0.25</v>
      </c>
      <c r="C20">
        <f t="shared" si="0"/>
        <v>1.0024999999999999</v>
      </c>
      <c r="D20">
        <f t="shared" si="1"/>
        <v>1.0690796401422258</v>
      </c>
    </row>
    <row r="21" spans="1:4">
      <c r="A21" s="4">
        <v>44228</v>
      </c>
      <c r="B21">
        <v>0.86</v>
      </c>
      <c r="C21">
        <f t="shared" si="0"/>
        <v>1.0085999999999999</v>
      </c>
      <c r="D21">
        <f t="shared" si="1"/>
        <v>1.0782737250474488</v>
      </c>
    </row>
    <row r="22" spans="1:4">
      <c r="A22" s="4">
        <v>44256</v>
      </c>
      <c r="B22">
        <v>0.93</v>
      </c>
      <c r="C22">
        <f t="shared" si="0"/>
        <v>1.0093000000000001</v>
      </c>
      <c r="D22">
        <f t="shared" si="1"/>
        <v>1.0883016706903901</v>
      </c>
    </row>
    <row r="23" spans="1:4">
      <c r="A23" s="4">
        <v>44287</v>
      </c>
      <c r="B23">
        <v>0.31</v>
      </c>
      <c r="C23">
        <f t="shared" si="0"/>
        <v>1.0031000000000001</v>
      </c>
      <c r="D23">
        <f t="shared" si="1"/>
        <v>1.0916754058695304</v>
      </c>
    </row>
    <row r="24" spans="1:4">
      <c r="A24" s="4">
        <v>44317</v>
      </c>
      <c r="B24">
        <v>0.83</v>
      </c>
      <c r="C24">
        <f t="shared" si="0"/>
        <v>1.0083</v>
      </c>
      <c r="D24">
        <f t="shared" si="1"/>
        <v>1.1007363117382474</v>
      </c>
    </row>
    <row r="25" spans="1:4">
      <c r="A25" s="4">
        <v>44348</v>
      </c>
      <c r="B25">
        <v>0.53</v>
      </c>
      <c r="C25">
        <f t="shared" si="0"/>
        <v>1.0053000000000001</v>
      </c>
      <c r="D25">
        <f t="shared" si="1"/>
        <v>1.1065702141904601</v>
      </c>
    </row>
    <row r="26" spans="1:4">
      <c r="A26" s="4">
        <v>44378</v>
      </c>
      <c r="B26">
        <v>0.96</v>
      </c>
      <c r="C26">
        <f t="shared" si="0"/>
        <v>1.0096000000000001</v>
      </c>
      <c r="D26">
        <f t="shared" si="1"/>
        <v>1.1171932882466886</v>
      </c>
    </row>
    <row r="27" spans="1:4">
      <c r="A27" s="4">
        <v>44409</v>
      </c>
      <c r="B27">
        <v>0.87</v>
      </c>
      <c r="C27">
        <f t="shared" si="0"/>
        <v>1.0086999999999999</v>
      </c>
      <c r="D27">
        <f t="shared" si="1"/>
        <v>1.1269128698544348</v>
      </c>
    </row>
    <row r="28" spans="1:4">
      <c r="A28" s="4">
        <v>44440</v>
      </c>
      <c r="B28">
        <v>1.1599999999999999</v>
      </c>
      <c r="C28">
        <f t="shared" si="0"/>
        <v>1.0116000000000001</v>
      </c>
      <c r="D28">
        <f t="shared" si="1"/>
        <v>1.1399850591447462</v>
      </c>
    </row>
    <row r="29" spans="1:4">
      <c r="A29" s="4">
        <v>44470</v>
      </c>
      <c r="B29">
        <v>1.25</v>
      </c>
      <c r="C29">
        <f t="shared" si="0"/>
        <v>1.0125</v>
      </c>
      <c r="D29">
        <f t="shared" si="1"/>
        <v>1.1542348723840554</v>
      </c>
    </row>
    <row r="30" spans="1:4">
      <c r="A30" s="4">
        <v>44501</v>
      </c>
      <c r="B30">
        <v>0.95</v>
      </c>
      <c r="C30">
        <f t="shared" si="0"/>
        <v>1.0095000000000001</v>
      </c>
      <c r="D30">
        <f t="shared" si="1"/>
        <v>1.1652001036717041</v>
      </c>
    </row>
    <row r="31" spans="1:4">
      <c r="A31" s="4">
        <v>44531</v>
      </c>
      <c r="B31">
        <v>0.73</v>
      </c>
      <c r="C31">
        <f t="shared" si="0"/>
        <v>1.0073000000000001</v>
      </c>
      <c r="D31">
        <f t="shared" si="1"/>
        <v>1.1737060644285076</v>
      </c>
    </row>
    <row r="32" spans="1:4">
      <c r="A32" s="4">
        <v>44562</v>
      </c>
      <c r="B32">
        <v>0.54</v>
      </c>
      <c r="C32">
        <f t="shared" si="0"/>
        <v>1.0054000000000001</v>
      </c>
      <c r="D32">
        <f t="shared" si="1"/>
        <v>1.1800440771764216</v>
      </c>
    </row>
    <row r="33" spans="1:4">
      <c r="A33" s="4">
        <v>44593</v>
      </c>
      <c r="B33">
        <v>1.01</v>
      </c>
      <c r="C33">
        <f t="shared" si="0"/>
        <v>1.0101</v>
      </c>
      <c r="D33">
        <f t="shared" si="1"/>
        <v>1.1919625223559034</v>
      </c>
    </row>
    <row r="34" spans="1:4">
      <c r="A34" s="4">
        <v>44621</v>
      </c>
      <c r="B34">
        <v>1.62</v>
      </c>
      <c r="C34">
        <f t="shared" si="0"/>
        <v>1.0162</v>
      </c>
      <c r="D34">
        <f t="shared" si="1"/>
        <v>1.2112723152180691</v>
      </c>
    </row>
    <row r="35" spans="1:4">
      <c r="A35" s="4">
        <v>44652</v>
      </c>
      <c r="B35">
        <v>1.06</v>
      </c>
      <c r="C35">
        <f t="shared" si="0"/>
        <v>1.0105999999999999</v>
      </c>
      <c r="D35">
        <f t="shared" si="1"/>
        <v>1.2241118017593806</v>
      </c>
    </row>
    <row r="36" spans="1:4">
      <c r="A36" s="4">
        <v>44682</v>
      </c>
      <c r="B36">
        <v>0.47</v>
      </c>
      <c r="C36">
        <f t="shared" si="0"/>
        <v>1.0046999999999999</v>
      </c>
      <c r="D36">
        <f t="shared" si="1"/>
        <v>1.2298651272276495</v>
      </c>
    </row>
    <row r="37" spans="1:4">
      <c r="A37" s="4">
        <v>44713</v>
      </c>
      <c r="B37">
        <v>0.67</v>
      </c>
      <c r="C37">
        <f t="shared" si="0"/>
        <v>1.0066999999999999</v>
      </c>
      <c r="D37">
        <f t="shared" si="1"/>
        <v>1.2381052235800747</v>
      </c>
    </row>
    <row r="38" spans="1:4">
      <c r="A38" s="4">
        <v>44743</v>
      </c>
      <c r="B38">
        <v>-0.68</v>
      </c>
      <c r="C38">
        <f t="shared" si="0"/>
        <v>0.99319999999999997</v>
      </c>
      <c r="D38">
        <f t="shared" si="1"/>
        <v>1.2296861080597301</v>
      </c>
    </row>
    <row r="39" spans="1:4">
      <c r="A39" s="4">
        <v>44774</v>
      </c>
      <c r="B39">
        <v>-0.36</v>
      </c>
      <c r="C39">
        <f t="shared" si="0"/>
        <v>0.99639999999999995</v>
      </c>
      <c r="D39">
        <f t="shared" si="1"/>
        <v>1.225259238070715</v>
      </c>
    </row>
    <row r="40" spans="1:4">
      <c r="A40" s="4">
        <v>44805</v>
      </c>
      <c r="B40">
        <v>-0.28999999999999998</v>
      </c>
      <c r="C40">
        <f t="shared" si="0"/>
        <v>0.99709999999999999</v>
      </c>
      <c r="D40">
        <f t="shared" si="1"/>
        <v>1.2217059862803099</v>
      </c>
    </row>
    <row r="41" spans="1:4">
      <c r="A41" s="4">
        <v>44835</v>
      </c>
      <c r="B41">
        <v>0.33</v>
      </c>
      <c r="C41">
        <f t="shared" si="0"/>
        <v>1.0033000000000001</v>
      </c>
      <c r="D41">
        <f t="shared" si="1"/>
        <v>1.2257376160350351</v>
      </c>
    </row>
    <row r="42" spans="1:4">
      <c r="A42" s="4">
        <v>44866</v>
      </c>
      <c r="B42">
        <v>0.94638500140897963</v>
      </c>
      <c r="C42">
        <f t="shared" si="0"/>
        <v>1.0094638500140898</v>
      </c>
      <c r="D42">
        <f t="shared" si="1"/>
        <v>1.2373378129898187</v>
      </c>
    </row>
    <row r="43" spans="1:4">
      <c r="A43" s="4">
        <v>44896</v>
      </c>
      <c r="B43">
        <v>1.9531775560993834</v>
      </c>
      <c r="C43">
        <f t="shared" si="0"/>
        <v>1.0195317755609938</v>
      </c>
      <c r="D43">
        <f t="shared" si="1"/>
        <v>1.2615052174462669</v>
      </c>
    </row>
    <row r="44" spans="1:4">
      <c r="A44" s="4">
        <v>44927</v>
      </c>
      <c r="B44">
        <v>0.84570574593993919</v>
      </c>
      <c r="C44">
        <f t="shared" si="0"/>
        <v>1.0084570574593994</v>
      </c>
      <c r="D44">
        <f t="shared" si="1"/>
        <v>1.272173839555542</v>
      </c>
    </row>
    <row r="45" spans="1:4">
      <c r="A45" s="4">
        <v>44958</v>
      </c>
      <c r="B45">
        <v>0.66448308609566664</v>
      </c>
      <c r="C45">
        <f t="shared" si="0"/>
        <v>1.0066448308609566</v>
      </c>
      <c r="D45">
        <f t="shared" si="1"/>
        <v>1.2806272195451223</v>
      </c>
    </row>
    <row r="46" spans="1:4">
      <c r="A46" s="4">
        <v>44986</v>
      </c>
      <c r="B46">
        <v>1.006792554690404</v>
      </c>
      <c r="C46">
        <f t="shared" si="0"/>
        <v>1.0100679255469041</v>
      </c>
      <c r="D46">
        <f t="shared" si="1"/>
        <v>1.2935204790448414</v>
      </c>
    </row>
    <row r="47" spans="1:4">
      <c r="A47" s="4">
        <v>45017</v>
      </c>
      <c r="B47">
        <v>1.1276076612532524</v>
      </c>
      <c r="C47">
        <f t="shared" si="0"/>
        <v>1.0112760766125326</v>
      </c>
      <c r="D47">
        <f t="shared" si="1"/>
        <v>1.3081063150664309</v>
      </c>
    </row>
    <row r="48" spans="1:4">
      <c r="A48" s="4">
        <v>45047</v>
      </c>
      <c r="B48">
        <v>0.41494999999999999</v>
      </c>
      <c r="C48">
        <f t="shared" si="0"/>
        <v>1.0041495</v>
      </c>
      <c r="D48">
        <f t="shared" si="1"/>
        <v>1.313534302220799</v>
      </c>
    </row>
    <row r="49" spans="1:4">
      <c r="A49" s="4">
        <v>45078</v>
      </c>
      <c r="B49">
        <v>0.38303300000000001</v>
      </c>
      <c r="C49">
        <f t="shared" si="0"/>
        <v>1.00383033</v>
      </c>
      <c r="D49">
        <f t="shared" si="1"/>
        <v>1.3185655720646243</v>
      </c>
    </row>
    <row r="50" spans="1:4">
      <c r="A50" s="4">
        <v>45108</v>
      </c>
      <c r="B50">
        <v>0.35111999999999999</v>
      </c>
      <c r="C50">
        <f t="shared" si="0"/>
        <v>1.0035111999999999</v>
      </c>
      <c r="D50">
        <f t="shared" si="1"/>
        <v>1.3231953195012576</v>
      </c>
    </row>
    <row r="51" spans="1:4">
      <c r="A51" s="4">
        <v>45139</v>
      </c>
      <c r="B51">
        <v>0.17555687203791467</v>
      </c>
      <c r="C51">
        <f t="shared" si="0"/>
        <v>1.0017555687203792</v>
      </c>
      <c r="D51">
        <f t="shared" si="1"/>
        <v>1.3255182798151262</v>
      </c>
    </row>
    <row r="52" spans="1:4">
      <c r="A52" s="4">
        <v>45170</v>
      </c>
      <c r="B52">
        <v>9.5758293838862543E-2</v>
      </c>
      <c r="C52">
        <f t="shared" si="0"/>
        <v>1.0009575829383885</v>
      </c>
      <c r="D52">
        <f t="shared" si="1"/>
        <v>1.3267875735043992</v>
      </c>
    </row>
    <row r="53" spans="1:4">
      <c r="A53" s="4">
        <v>45200</v>
      </c>
      <c r="B53">
        <v>0.12767772511848341</v>
      </c>
      <c r="C53">
        <f t="shared" si="0"/>
        <v>1.0012767772511848</v>
      </c>
      <c r="D53">
        <f t="shared" si="1"/>
        <v>1.3284815856954044</v>
      </c>
    </row>
    <row r="54" spans="1:4">
      <c r="A54" s="4">
        <v>45231</v>
      </c>
      <c r="B54">
        <v>0.66754478672985762</v>
      </c>
      <c r="C54">
        <f t="shared" si="0"/>
        <v>1.0066754478672986</v>
      </c>
      <c r="D54">
        <f t="shared" si="1"/>
        <v>1.3373497952633802</v>
      </c>
    </row>
    <row r="55" spans="1:4">
      <c r="A55" s="4">
        <v>45261</v>
      </c>
      <c r="B55">
        <v>1.3776988151658764</v>
      </c>
      <c r="C55">
        <f t="shared" si="0"/>
        <v>1.0137769881516587</v>
      </c>
      <c r="D55">
        <f t="shared" si="1"/>
        <v>1.355774447547347</v>
      </c>
    </row>
    <row r="56" spans="1:4">
      <c r="A56" s="4">
        <v>45292</v>
      </c>
      <c r="B56">
        <v>0.59652938388625576</v>
      </c>
      <c r="C56">
        <f t="shared" si="0"/>
        <v>1.0059652938388626</v>
      </c>
      <c r="D56">
        <f t="shared" si="1"/>
        <v>1.3638620405061885</v>
      </c>
    </row>
    <row r="57" spans="1:4">
      <c r="A57" s="4">
        <v>45323</v>
      </c>
      <c r="B57">
        <v>0.46870165876777242</v>
      </c>
      <c r="C57">
        <f t="shared" si="0"/>
        <v>1.0046870165876778</v>
      </c>
      <c r="D57">
        <f t="shared" si="1"/>
        <v>1.3702544845133451</v>
      </c>
    </row>
    <row r="58" spans="1:4">
      <c r="A58" s="4">
        <v>45352</v>
      </c>
      <c r="B58">
        <v>0.71015402843601882</v>
      </c>
      <c r="C58">
        <f t="shared" si="0"/>
        <v>1.0071015402843602</v>
      </c>
      <c r="D58">
        <f t="shared" si="1"/>
        <v>1.3799854019349418</v>
      </c>
    </row>
    <row r="59" spans="1:4">
      <c r="A59" s="4">
        <v>45383</v>
      </c>
      <c r="B59">
        <v>0.79537251184834112</v>
      </c>
      <c r="C59">
        <f t="shared" si="0"/>
        <v>1.0079537251184834</v>
      </c>
      <c r="D59">
        <f t="shared" si="1"/>
        <v>1.3909614264894521</v>
      </c>
    </row>
    <row r="60" spans="1:4">
      <c r="A60" s="4">
        <v>45413</v>
      </c>
      <c r="B60">
        <v>0.3692800947867298</v>
      </c>
      <c r="C60">
        <f t="shared" si="0"/>
        <v>1.0036928009478674</v>
      </c>
      <c r="D60">
        <f t="shared" si="1"/>
        <v>1.3960979701636393</v>
      </c>
    </row>
    <row r="61" spans="1:4">
      <c r="A61" s="4">
        <v>45444</v>
      </c>
      <c r="B61">
        <v>0.34087393364928903</v>
      </c>
      <c r="C61">
        <f t="shared" si="0"/>
        <v>1.003408739336493</v>
      </c>
      <c r="D61">
        <f t="shared" si="1"/>
        <v>1.4008569042321342</v>
      </c>
    </row>
    <row r="62" spans="1:4">
      <c r="A62" s="4">
        <v>45474</v>
      </c>
      <c r="B62">
        <v>0.31246777251184826</v>
      </c>
      <c r="C62">
        <f t="shared" si="0"/>
        <v>1.0031246777251184</v>
      </c>
      <c r="D62">
        <f t="shared" si="1"/>
        <v>1.4052341305968665</v>
      </c>
    </row>
    <row r="63" spans="1:4">
      <c r="A63" s="4">
        <v>45505</v>
      </c>
      <c r="B63">
        <v>0.15623388625592413</v>
      </c>
      <c r="C63">
        <f t="shared" ref="C63:C118" si="2">1+B63/100</f>
        <v>1.0015623388625592</v>
      </c>
      <c r="D63">
        <f t="shared" si="1"/>
        <v>1.4074295824900926</v>
      </c>
    </row>
    <row r="64" spans="1:4">
      <c r="A64" s="4">
        <v>45536</v>
      </c>
      <c r="B64">
        <v>8.5218483412322257E-2</v>
      </c>
      <c r="C64">
        <f t="shared" si="2"/>
        <v>1.0008521848341232</v>
      </c>
      <c r="D64">
        <f t="shared" ref="D64:D118" si="3">C64*D63</f>
        <v>1.4086289726353871</v>
      </c>
    </row>
    <row r="65" spans="1:4">
      <c r="A65" s="4">
        <v>45566</v>
      </c>
      <c r="B65">
        <v>0.11362464454976301</v>
      </c>
      <c r="C65">
        <f t="shared" si="2"/>
        <v>1.0011362464454976</v>
      </c>
      <c r="D65">
        <f t="shared" si="3"/>
        <v>1.410229522298569</v>
      </c>
    </row>
    <row r="66" spans="1:4">
      <c r="A66" s="4">
        <v>45597</v>
      </c>
      <c r="B66">
        <v>0.64748625592417042</v>
      </c>
      <c r="C66">
        <f t="shared" si="2"/>
        <v>1.0064748625592417</v>
      </c>
      <c r="D66">
        <f t="shared" si="3"/>
        <v>1.4193605646324372</v>
      </c>
    </row>
    <row r="67" spans="1:4">
      <c r="A67" s="4">
        <v>45627</v>
      </c>
      <c r="B67">
        <v>1.3363014218009477</v>
      </c>
      <c r="C67">
        <f t="shared" si="2"/>
        <v>1.0133630142180095</v>
      </c>
      <c r="D67">
        <f t="shared" si="3"/>
        <v>1.4383275000381024</v>
      </c>
    </row>
    <row r="68" spans="1:4">
      <c r="A68" s="4">
        <v>45658</v>
      </c>
      <c r="B68">
        <v>0.57860473933649281</v>
      </c>
      <c r="C68">
        <f t="shared" si="2"/>
        <v>1.0057860473933649</v>
      </c>
      <c r="D68">
        <f t="shared" si="3"/>
        <v>1.4466497311205029</v>
      </c>
    </row>
    <row r="69" spans="1:4">
      <c r="A69" s="4">
        <v>45689</v>
      </c>
      <c r="B69">
        <v>0.45461800947867292</v>
      </c>
      <c r="C69">
        <f t="shared" si="2"/>
        <v>1.0045461800947868</v>
      </c>
      <c r="D69">
        <f t="shared" si="3"/>
        <v>1.4532264613322516</v>
      </c>
    </row>
    <row r="70" spans="1:4">
      <c r="A70" s="4">
        <v>45717</v>
      </c>
      <c r="B70">
        <v>0.68881516587677716</v>
      </c>
      <c r="C70">
        <f t="shared" si="2"/>
        <v>1.0068881516587678</v>
      </c>
      <c r="D70">
        <f t="shared" si="3"/>
        <v>1.4632365055924426</v>
      </c>
    </row>
    <row r="71" spans="1:4">
      <c r="A71" s="4">
        <v>45748</v>
      </c>
      <c r="B71">
        <v>0.77147298578199042</v>
      </c>
      <c r="C71">
        <f t="shared" si="2"/>
        <v>1.00771472985782</v>
      </c>
      <c r="D71">
        <f t="shared" si="3"/>
        <v>1.4745249799511888</v>
      </c>
    </row>
    <row r="72" spans="1:4">
      <c r="A72" s="4">
        <v>45778</v>
      </c>
      <c r="B72">
        <v>0.35818388625592412</v>
      </c>
      <c r="C72">
        <f t="shared" si="2"/>
        <v>1.0035818388625593</v>
      </c>
      <c r="D72">
        <f t="shared" si="3"/>
        <v>1.4798064908281923</v>
      </c>
    </row>
    <row r="73" spans="1:4">
      <c r="A73" s="4">
        <v>45809</v>
      </c>
      <c r="B73">
        <v>0.33063127962085304</v>
      </c>
      <c r="C73">
        <f t="shared" si="2"/>
        <v>1.0033063127962085</v>
      </c>
      <c r="D73">
        <f t="shared" si="3"/>
        <v>1.48469919396473</v>
      </c>
    </row>
    <row r="74" spans="1:4">
      <c r="A74" s="4">
        <v>45839</v>
      </c>
      <c r="B74">
        <v>0.30307867298578195</v>
      </c>
      <c r="C74">
        <f t="shared" si="2"/>
        <v>1.0030307867298578</v>
      </c>
      <c r="D74">
        <f t="shared" si="3"/>
        <v>1.489199000579629</v>
      </c>
    </row>
    <row r="75" spans="1:4">
      <c r="A75" s="4">
        <v>45870</v>
      </c>
      <c r="B75">
        <v>0.15153933649289097</v>
      </c>
      <c r="C75">
        <f t="shared" si="2"/>
        <v>1.001515393364929</v>
      </c>
      <c r="D75">
        <f t="shared" si="3"/>
        <v>1.4914557228641663</v>
      </c>
    </row>
    <row r="76" spans="1:4">
      <c r="A76" s="4">
        <v>45901</v>
      </c>
      <c r="B76">
        <v>8.2657819905213259E-2</v>
      </c>
      <c r="C76">
        <f t="shared" si="2"/>
        <v>1.0008265781990522</v>
      </c>
      <c r="D76">
        <f t="shared" si="3"/>
        <v>1.4926885276495374</v>
      </c>
    </row>
    <row r="77" spans="1:4">
      <c r="A77" s="4">
        <v>45931</v>
      </c>
      <c r="B77">
        <v>0.11021042654028435</v>
      </c>
      <c r="C77">
        <f t="shared" si="2"/>
        <v>1.0011021042654029</v>
      </c>
      <c r="D77">
        <f t="shared" si="3"/>
        <v>1.494333626042778</v>
      </c>
    </row>
    <row r="78" spans="1:4">
      <c r="A78" s="4">
        <v>45962</v>
      </c>
      <c r="B78">
        <v>0.64681800947867285</v>
      </c>
      <c r="C78">
        <f t="shared" si="2"/>
        <v>1.0064681800947868</v>
      </c>
      <c r="D78">
        <f t="shared" si="3"/>
        <v>1.5039992450577184</v>
      </c>
    </row>
    <row r="79" spans="1:4">
      <c r="A79" s="4">
        <v>45992</v>
      </c>
      <c r="B79">
        <v>1.3349222748815164</v>
      </c>
      <c r="C79">
        <f t="shared" si="2"/>
        <v>1.0133492227488152</v>
      </c>
      <c r="D79">
        <f t="shared" si="3"/>
        <v>1.5240764659940438</v>
      </c>
    </row>
    <row r="80" spans="1:4">
      <c r="A80" s="4">
        <v>46023</v>
      </c>
      <c r="B80">
        <v>0.5780075829383885</v>
      </c>
      <c r="C80">
        <f t="shared" si="2"/>
        <v>1.0057800758293838</v>
      </c>
      <c r="D80">
        <f t="shared" si="3"/>
        <v>1.5328857435372687</v>
      </c>
    </row>
    <row r="81" spans="1:4">
      <c r="A81" s="4">
        <v>46054</v>
      </c>
      <c r="B81">
        <v>0.45414881516587668</v>
      </c>
      <c r="C81">
        <f t="shared" si="2"/>
        <v>1.0045414881516588</v>
      </c>
      <c r="D81">
        <f t="shared" si="3"/>
        <v>1.5398473259793899</v>
      </c>
    </row>
    <row r="82" spans="1:4">
      <c r="A82" s="4">
        <v>46082</v>
      </c>
      <c r="B82">
        <v>0.68810426540284353</v>
      </c>
      <c r="C82">
        <f t="shared" si="2"/>
        <v>1.0068810426540284</v>
      </c>
      <c r="D82">
        <f t="shared" si="3"/>
        <v>1.5504430811101457</v>
      </c>
    </row>
    <row r="83" spans="1:4">
      <c r="A83" s="4">
        <v>46113</v>
      </c>
      <c r="B83">
        <v>0.77067677725118466</v>
      </c>
      <c r="C83">
        <f t="shared" si="2"/>
        <v>1.0077067677725118</v>
      </c>
      <c r="D83">
        <f t="shared" si="3"/>
        <v>1.5623919858807593</v>
      </c>
    </row>
    <row r="84" spans="1:4">
      <c r="A84" s="4">
        <v>46143</v>
      </c>
      <c r="B84">
        <v>0.3578142180094786</v>
      </c>
      <c r="C84">
        <f t="shared" si="2"/>
        <v>1.0035781421800949</v>
      </c>
      <c r="D84">
        <f t="shared" si="3"/>
        <v>1.5679824465472816</v>
      </c>
    </row>
    <row r="85" spans="1:4">
      <c r="A85" s="4">
        <v>46174</v>
      </c>
      <c r="B85">
        <v>0.33029004739336487</v>
      </c>
      <c r="C85">
        <f t="shared" si="2"/>
        <v>1.0033029004739336</v>
      </c>
      <c r="D85">
        <f t="shared" si="3"/>
        <v>1.5731613365131021</v>
      </c>
    </row>
    <row r="86" spans="1:4">
      <c r="A86" s="4">
        <v>46204</v>
      </c>
      <c r="B86">
        <v>0.30276587677725114</v>
      </c>
      <c r="C86">
        <f t="shared" si="2"/>
        <v>1.0030276587677724</v>
      </c>
      <c r="D86">
        <f t="shared" si="3"/>
        <v>1.5779243322267167</v>
      </c>
    </row>
    <row r="87" spans="1:4">
      <c r="A87" s="4">
        <v>46235</v>
      </c>
      <c r="B87">
        <v>0.15138293838862557</v>
      </c>
      <c r="C87">
        <f t="shared" si="2"/>
        <v>1.0015138293838863</v>
      </c>
      <c r="D87">
        <f t="shared" si="3"/>
        <v>1.5803130404463908</v>
      </c>
    </row>
    <row r="88" spans="1:4">
      <c r="A88" s="4">
        <v>46266</v>
      </c>
      <c r="B88">
        <v>8.2572511848341218E-2</v>
      </c>
      <c r="C88">
        <f t="shared" si="2"/>
        <v>1.0008257251184833</v>
      </c>
      <c r="D88">
        <f t="shared" si="3"/>
        <v>1.5816179446189542</v>
      </c>
    </row>
    <row r="89" spans="1:4">
      <c r="A89" s="4">
        <v>46296</v>
      </c>
      <c r="B89">
        <v>0.11009668246445496</v>
      </c>
      <c r="C89">
        <f t="shared" si="2"/>
        <v>1.0011009668246444</v>
      </c>
      <c r="D89">
        <f t="shared" si="3"/>
        <v>1.5833592535052421</v>
      </c>
    </row>
    <row r="90" spans="1:4">
      <c r="A90" s="4">
        <v>46327</v>
      </c>
      <c r="B90">
        <v>0.65048222748815143</v>
      </c>
      <c r="C90">
        <f t="shared" si="2"/>
        <v>1.0065048222748816</v>
      </c>
      <c r="D90">
        <f t="shared" si="3"/>
        <v>1.5936587240465829</v>
      </c>
    </row>
    <row r="91" spans="1:4">
      <c r="A91" s="4">
        <v>46357</v>
      </c>
      <c r="B91">
        <v>1.3424845971563977</v>
      </c>
      <c r="C91">
        <f t="shared" si="2"/>
        <v>1.013424845971564</v>
      </c>
      <c r="D91">
        <f t="shared" si="3"/>
        <v>1.6150533469481476</v>
      </c>
    </row>
    <row r="92" spans="1:4">
      <c r="A92" s="4">
        <v>46388</v>
      </c>
      <c r="B92">
        <v>0.5812819905213269</v>
      </c>
      <c r="C92">
        <f t="shared" si="2"/>
        <v>1.0058128199052132</v>
      </c>
      <c r="D92">
        <f t="shared" si="3"/>
        <v>1.6244413611912689</v>
      </c>
    </row>
    <row r="93" spans="1:4">
      <c r="A93" s="4">
        <v>46419</v>
      </c>
      <c r="B93">
        <v>0.45672156398104258</v>
      </c>
      <c r="C93">
        <f t="shared" si="2"/>
        <v>1.0045672156398104</v>
      </c>
      <c r="D93">
        <f t="shared" si="3"/>
        <v>1.6318605351820565</v>
      </c>
    </row>
    <row r="94" spans="1:4">
      <c r="A94" s="4">
        <v>46447</v>
      </c>
      <c r="B94">
        <v>0.69200236966824635</v>
      </c>
      <c r="C94">
        <f t="shared" si="2"/>
        <v>1.0069200236966824</v>
      </c>
      <c r="D94">
        <f t="shared" si="3"/>
        <v>1.6431530487551973</v>
      </c>
    </row>
    <row r="95" spans="1:4">
      <c r="A95" s="4">
        <v>46478</v>
      </c>
      <c r="B95">
        <v>0.77504265402843586</v>
      </c>
      <c r="C95">
        <f t="shared" si="2"/>
        <v>1.0077504265402843</v>
      </c>
      <c r="D95">
        <f t="shared" si="3"/>
        <v>1.6558881857540186</v>
      </c>
    </row>
    <row r="96" spans="1:4">
      <c r="A96" s="4">
        <v>46508</v>
      </c>
      <c r="B96">
        <v>0.35984123222748809</v>
      </c>
      <c r="C96">
        <f t="shared" si="2"/>
        <v>1.003598412322275</v>
      </c>
      <c r="D96">
        <f t="shared" si="3"/>
        <v>1.6618467542059454</v>
      </c>
    </row>
    <row r="97" spans="1:4">
      <c r="A97" s="4">
        <v>46539</v>
      </c>
      <c r="B97">
        <v>0.3321611374407582</v>
      </c>
      <c r="C97">
        <f t="shared" si="2"/>
        <v>1.0033216113744077</v>
      </c>
      <c r="D97">
        <f t="shared" si="3"/>
        <v>1.6673667632872384</v>
      </c>
    </row>
    <row r="98" spans="1:4">
      <c r="A98" s="4">
        <v>46569</v>
      </c>
      <c r="B98">
        <v>0.30448104265402837</v>
      </c>
      <c r="C98">
        <f t="shared" si="2"/>
        <v>1.0030448104265404</v>
      </c>
      <c r="D98">
        <f t="shared" si="3"/>
        <v>1.6724435789929624</v>
      </c>
    </row>
    <row r="99" spans="1:4">
      <c r="A99" s="4">
        <v>46600</v>
      </c>
      <c r="B99">
        <v>0.15224052132701418</v>
      </c>
      <c r="C99">
        <f t="shared" si="2"/>
        <v>1.0015224052132701</v>
      </c>
      <c r="D99">
        <f t="shared" si="3"/>
        <v>1.6749897158165212</v>
      </c>
    </row>
    <row r="100" spans="1:4">
      <c r="A100" s="4">
        <v>46631</v>
      </c>
      <c r="B100">
        <v>8.3040284360189551E-2</v>
      </c>
      <c r="C100">
        <f t="shared" si="2"/>
        <v>1.0008304028436019</v>
      </c>
      <c r="D100">
        <f t="shared" si="3"/>
        <v>1.6763806320395391</v>
      </c>
    </row>
    <row r="101" spans="1:4">
      <c r="A101" s="4">
        <v>46661</v>
      </c>
      <c r="B101">
        <v>0.11072037914691941</v>
      </c>
      <c r="C101">
        <f t="shared" si="2"/>
        <v>1.0011072037914692</v>
      </c>
      <c r="D101">
        <f t="shared" si="3"/>
        <v>1.6782367270312788</v>
      </c>
    </row>
    <row r="102" spans="1:4">
      <c r="A102" s="4">
        <v>46692</v>
      </c>
      <c r="B102">
        <v>0.65446943127962065</v>
      </c>
      <c r="C102">
        <f t="shared" si="2"/>
        <v>1.0065446943127963</v>
      </c>
      <c r="D102">
        <f t="shared" si="3"/>
        <v>1.6892202733942061</v>
      </c>
    </row>
    <row r="103" spans="1:4">
      <c r="A103" s="4">
        <v>46722</v>
      </c>
      <c r="B103">
        <v>1.3507135071090044</v>
      </c>
      <c r="C103">
        <f t="shared" si="2"/>
        <v>1.01350713507109</v>
      </c>
      <c r="D103">
        <f t="shared" si="3"/>
        <v>1.7120367997917654</v>
      </c>
    </row>
    <row r="104" spans="1:4">
      <c r="A104" s="4">
        <v>46753</v>
      </c>
      <c r="B104">
        <v>0.58484502369668234</v>
      </c>
      <c r="C104">
        <f t="shared" si="2"/>
        <v>1.0058484502369669</v>
      </c>
      <c r="D104">
        <f t="shared" si="3"/>
        <v>1.7220495618192035</v>
      </c>
    </row>
    <row r="105" spans="1:4">
      <c r="A105" s="4">
        <v>46784</v>
      </c>
      <c r="B105">
        <v>0.45952109004739328</v>
      </c>
      <c r="C105">
        <f t="shared" si="2"/>
        <v>1.0045952109004739</v>
      </c>
      <c r="D105">
        <f t="shared" si="3"/>
        <v>1.7299627427368314</v>
      </c>
    </row>
    <row r="106" spans="1:4">
      <c r="A106" s="4">
        <v>46813</v>
      </c>
      <c r="B106">
        <v>0.69624407582938375</v>
      </c>
      <c r="C106">
        <f t="shared" si="2"/>
        <v>1.0069624407582938</v>
      </c>
      <c r="D106">
        <f t="shared" si="3"/>
        <v>1.742007505847192</v>
      </c>
    </row>
    <row r="107" spans="1:4">
      <c r="A107" s="4">
        <v>46844</v>
      </c>
      <c r="B107">
        <v>0.77979336492890983</v>
      </c>
      <c r="C107">
        <f t="shared" si="2"/>
        <v>1.007797933649289</v>
      </c>
      <c r="D107">
        <f t="shared" si="3"/>
        <v>1.7555915647943519</v>
      </c>
    </row>
    <row r="108" spans="1:4">
      <c r="A108" s="4">
        <v>46874</v>
      </c>
      <c r="B108">
        <v>0.36204691943127953</v>
      </c>
      <c r="C108">
        <f t="shared" si="2"/>
        <v>1.0036204691943127</v>
      </c>
      <c r="D108">
        <f t="shared" si="3"/>
        <v>1.761947629972485</v>
      </c>
    </row>
    <row r="109" spans="1:4">
      <c r="A109" s="4">
        <v>46905</v>
      </c>
      <c r="B109">
        <v>0.33419715639810421</v>
      </c>
      <c r="C109">
        <f t="shared" si="2"/>
        <v>1.0033419715639811</v>
      </c>
      <c r="D109">
        <f t="shared" si="3"/>
        <v>1.767836008849077</v>
      </c>
    </row>
    <row r="110" spans="1:4">
      <c r="A110" s="4">
        <v>46935</v>
      </c>
      <c r="B110">
        <v>0.30634739336492883</v>
      </c>
      <c r="C110">
        <f t="shared" si="2"/>
        <v>1.0030634739336493</v>
      </c>
      <c r="D110">
        <f t="shared" si="3"/>
        <v>1.7732517283811526</v>
      </c>
    </row>
    <row r="111" spans="1:4">
      <c r="A111" s="4">
        <v>46966</v>
      </c>
      <c r="B111">
        <v>0.15317369668246442</v>
      </c>
      <c r="C111">
        <f t="shared" si="2"/>
        <v>1.0015317369668246</v>
      </c>
      <c r="D111">
        <f t="shared" si="3"/>
        <v>1.7759678836049997</v>
      </c>
    </row>
    <row r="112" spans="1:4">
      <c r="A112" s="4">
        <v>46997</v>
      </c>
      <c r="B112">
        <v>8.3549289099526053E-2</v>
      </c>
      <c r="C112">
        <f t="shared" si="2"/>
        <v>1.0008354928909953</v>
      </c>
      <c r="D112">
        <f t="shared" si="3"/>
        <v>1.7774516921463877</v>
      </c>
    </row>
    <row r="113" spans="1:4">
      <c r="A113" s="4">
        <v>47027</v>
      </c>
      <c r="B113">
        <v>0.1113990521327014</v>
      </c>
      <c r="C113">
        <f t="shared" si="2"/>
        <v>1.0011139905213271</v>
      </c>
      <c r="D113">
        <f t="shared" si="3"/>
        <v>1.7794317564835556</v>
      </c>
    </row>
    <row r="114" spans="1:4">
      <c r="A114" s="4">
        <v>47058</v>
      </c>
      <c r="B114">
        <v>0.65791090047393341</v>
      </c>
      <c r="C114">
        <f t="shared" si="2"/>
        <v>1.0065791090047393</v>
      </c>
      <c r="D114">
        <f t="shared" si="3"/>
        <v>1.7911388319759556</v>
      </c>
    </row>
    <row r="115" spans="1:4">
      <c r="A115" s="4">
        <v>47088</v>
      </c>
      <c r="B115">
        <v>1.3578161137440754</v>
      </c>
      <c r="C115">
        <f t="shared" si="2"/>
        <v>1.0135781611374408</v>
      </c>
      <c r="D115">
        <f t="shared" si="3"/>
        <v>1.8154592036560526</v>
      </c>
    </row>
    <row r="116" spans="1:4">
      <c r="A116" s="4">
        <v>47119</v>
      </c>
      <c r="B116">
        <v>0.5879203791469193</v>
      </c>
      <c r="C116">
        <f t="shared" si="2"/>
        <v>1.0058792037914692</v>
      </c>
      <c r="D116">
        <f t="shared" si="3"/>
        <v>1.826132658289445</v>
      </c>
    </row>
    <row r="117" spans="1:4">
      <c r="A117" s="4">
        <v>47150</v>
      </c>
      <c r="B117">
        <v>0.46193744075829374</v>
      </c>
      <c r="C117">
        <f t="shared" si="2"/>
        <v>1.0046193744075829</v>
      </c>
      <c r="D117">
        <f t="shared" si="3"/>
        <v>1.8345682487559987</v>
      </c>
    </row>
    <row r="118" spans="1:4">
      <c r="A118" s="4">
        <v>47178</v>
      </c>
      <c r="B118">
        <v>0.6999052132701421</v>
      </c>
      <c r="C118">
        <f t="shared" si="2"/>
        <v>1.0069990521327015</v>
      </c>
      <c r="D118">
        <f t="shared" si="3"/>
        <v>1.8474084875700407</v>
      </c>
    </row>
    <row r="119" spans="1:4">
      <c r="A119" s="4">
        <v>47209</v>
      </c>
    </row>
    <row r="120" spans="1:4">
      <c r="A120" s="4">
        <v>47239</v>
      </c>
    </row>
    <row r="121" spans="1:4">
      <c r="A121" s="4">
        <v>47270</v>
      </c>
    </row>
    <row r="122" spans="1:4">
      <c r="A122" s="4">
        <v>47300</v>
      </c>
    </row>
    <row r="123" spans="1:4">
      <c r="A123" s="4">
        <v>47331</v>
      </c>
    </row>
    <row r="124" spans="1:4">
      <c r="A124" s="4">
        <v>47362</v>
      </c>
    </row>
    <row r="125" spans="1:4">
      <c r="A125" s="4">
        <v>47392</v>
      </c>
    </row>
    <row r="126" spans="1:4">
      <c r="A126" s="4">
        <v>47423</v>
      </c>
    </row>
    <row r="127" spans="1:4">
      <c r="A127" s="4">
        <v>47453</v>
      </c>
    </row>
    <row r="128" spans="1:4">
      <c r="A128" s="4">
        <v>47484</v>
      </c>
    </row>
    <row r="129" spans="1:1">
      <c r="A129" s="4">
        <v>47515</v>
      </c>
    </row>
    <row r="130" spans="1:1">
      <c r="A130" s="4">
        <v>47543</v>
      </c>
    </row>
    <row r="131" spans="1:1">
      <c r="A131" s="4">
        <v>47574</v>
      </c>
    </row>
    <row r="132" spans="1:1">
      <c r="A132" s="4">
        <v>47604</v>
      </c>
    </row>
    <row r="133" spans="1:1">
      <c r="A133" s="4">
        <v>47635</v>
      </c>
    </row>
    <row r="134" spans="1:1">
      <c r="A134" s="4">
        <v>47665</v>
      </c>
    </row>
    <row r="135" spans="1:1">
      <c r="A135" s="4">
        <v>47696</v>
      </c>
    </row>
    <row r="136" spans="1:1">
      <c r="A136" s="4">
        <v>47727</v>
      </c>
    </row>
    <row r="137" spans="1:1">
      <c r="A137" s="4">
        <v>47757</v>
      </c>
    </row>
    <row r="138" spans="1:1">
      <c r="A138" s="4">
        <v>47788</v>
      </c>
    </row>
    <row r="139" spans="1:1">
      <c r="A139" s="4">
        <v>47818</v>
      </c>
    </row>
    <row r="140" spans="1:1">
      <c r="A140" s="4">
        <v>47849</v>
      </c>
    </row>
    <row r="141" spans="1:1">
      <c r="A141" s="4">
        <v>47880</v>
      </c>
    </row>
    <row r="142" spans="1:1">
      <c r="A142" s="4">
        <v>47908</v>
      </c>
    </row>
    <row r="143" spans="1:1">
      <c r="A143" s="4">
        <v>47939</v>
      </c>
    </row>
    <row r="144" spans="1:1">
      <c r="A144" s="4">
        <v>47969</v>
      </c>
    </row>
    <row r="145" spans="1:1">
      <c r="A145" s="4">
        <v>48000</v>
      </c>
    </row>
    <row r="146" spans="1:1">
      <c r="A146" s="4">
        <v>48030</v>
      </c>
    </row>
    <row r="147" spans="1:1">
      <c r="A147" s="4">
        <v>48061</v>
      </c>
    </row>
    <row r="148" spans="1:1">
      <c r="A148" s="4">
        <v>48092</v>
      </c>
    </row>
    <row r="149" spans="1:1">
      <c r="A149" s="4">
        <v>48122</v>
      </c>
    </row>
    <row r="150" spans="1:1">
      <c r="A150" s="4">
        <v>48153</v>
      </c>
    </row>
    <row r="151" spans="1:1">
      <c r="A151" s="4">
        <v>48183</v>
      </c>
    </row>
    <row r="152" spans="1:1">
      <c r="A152" s="4">
        <v>48214</v>
      </c>
    </row>
    <row r="153" spans="1:1">
      <c r="A153" s="4">
        <v>48245</v>
      </c>
    </row>
    <row r="154" spans="1:1">
      <c r="A154" s="4">
        <v>48274</v>
      </c>
    </row>
    <row r="155" spans="1:1">
      <c r="A155" s="4">
        <v>48305</v>
      </c>
    </row>
    <row r="156" spans="1:1">
      <c r="A156" s="4">
        <v>48335</v>
      </c>
    </row>
    <row r="157" spans="1:1">
      <c r="A157" s="4">
        <v>48366</v>
      </c>
    </row>
    <row r="158" spans="1:1">
      <c r="A158" s="4">
        <v>48396</v>
      </c>
    </row>
    <row r="159" spans="1:1">
      <c r="A159" s="4">
        <v>48427</v>
      </c>
    </row>
    <row r="160" spans="1:1">
      <c r="A160" s="4">
        <v>48458</v>
      </c>
    </row>
    <row r="161" spans="1:1">
      <c r="A161" s="4">
        <v>48488</v>
      </c>
    </row>
    <row r="162" spans="1:1">
      <c r="A162" s="4">
        <v>48519</v>
      </c>
    </row>
    <row r="163" spans="1:1">
      <c r="A163" s="4">
        <v>48549</v>
      </c>
    </row>
    <row r="164" spans="1:1">
      <c r="A164" s="4">
        <v>48580</v>
      </c>
    </row>
    <row r="165" spans="1:1">
      <c r="A165" s="4">
        <v>48611</v>
      </c>
    </row>
    <row r="166" spans="1:1">
      <c r="A166" s="4">
        <v>48639</v>
      </c>
    </row>
    <row r="167" spans="1:1">
      <c r="A167" s="4">
        <v>48670</v>
      </c>
    </row>
  </sheetData>
  <pageMargins left="0.511811024" right="0.511811024" top="0.78740157499999996" bottom="0.78740157499999996" header="0.31496062000000002" footer="0.31496062000000002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47D88-999F-476E-958D-7FA2C75E48E6}">
  <dimension ref="A1:D121"/>
  <sheetViews>
    <sheetView workbookViewId="0">
      <selection activeCell="B55" sqref="B7:B55"/>
    </sheetView>
  </sheetViews>
  <sheetFormatPr defaultRowHeight="15"/>
  <cols>
    <col min="1" max="1" width="11.140625" customWidth="1"/>
    <col min="2" max="2" width="10.140625" customWidth="1"/>
    <col min="4" max="4" width="13" customWidth="1"/>
  </cols>
  <sheetData>
    <row r="1" spans="1:4">
      <c r="A1" t="s">
        <v>21</v>
      </c>
      <c r="B1" t="s">
        <v>150</v>
      </c>
      <c r="C1" t="s">
        <v>22</v>
      </c>
      <c r="D1" t="s">
        <v>149</v>
      </c>
    </row>
    <row r="2" spans="1:4" hidden="1">
      <c r="A2" s="4">
        <v>43556</v>
      </c>
      <c r="B2">
        <v>0.56999999999999995</v>
      </c>
      <c r="C2">
        <f t="shared" ref="C2:C65" si="0">1+B2/100</f>
        <v>1.0057</v>
      </c>
      <c r="D2">
        <v>1.0057</v>
      </c>
    </row>
    <row r="3" spans="1:4" hidden="1">
      <c r="A3" s="4">
        <v>43586</v>
      </c>
      <c r="B3">
        <v>0.13</v>
      </c>
      <c r="C3">
        <f t="shared" si="0"/>
        <v>1.0013000000000001</v>
      </c>
      <c r="D3">
        <f t="shared" ref="D3:D66" si="1">C3*D2</f>
        <v>1.0070074100000002</v>
      </c>
    </row>
    <row r="4" spans="1:4" hidden="1">
      <c r="A4" s="4">
        <v>43617</v>
      </c>
      <c r="B4">
        <v>0.01</v>
      </c>
      <c r="C4">
        <f t="shared" si="0"/>
        <v>1.0001</v>
      </c>
      <c r="D4">
        <f t="shared" si="1"/>
        <v>1.007108110741</v>
      </c>
    </row>
    <row r="5" spans="1:4" hidden="1">
      <c r="A5" s="4">
        <v>43647</v>
      </c>
      <c r="B5">
        <v>0.19</v>
      </c>
      <c r="C5">
        <f t="shared" si="0"/>
        <v>1.0019</v>
      </c>
      <c r="D5">
        <f t="shared" si="1"/>
        <v>1.0090216161514081</v>
      </c>
    </row>
    <row r="6" spans="1:4" hidden="1">
      <c r="A6" s="4">
        <v>43678</v>
      </c>
      <c r="B6">
        <v>0.11</v>
      </c>
      <c r="C6">
        <f t="shared" si="0"/>
        <v>1.0011000000000001</v>
      </c>
      <c r="D6">
        <f t="shared" si="1"/>
        <v>1.0101315399291748</v>
      </c>
    </row>
    <row r="7" spans="1:4">
      <c r="A7" s="4">
        <v>43709</v>
      </c>
      <c r="B7">
        <v>-0.04</v>
      </c>
      <c r="C7">
        <f t="shared" si="0"/>
        <v>0.99960000000000004</v>
      </c>
      <c r="D7">
        <f t="shared" si="1"/>
        <v>1.0097274873132032</v>
      </c>
    </row>
    <row r="8" spans="1:4" hidden="1">
      <c r="A8" s="4">
        <v>43739</v>
      </c>
      <c r="B8">
        <v>0.1</v>
      </c>
      <c r="C8">
        <f t="shared" si="0"/>
        <v>1.0009999999999999</v>
      </c>
      <c r="D8">
        <f t="shared" si="1"/>
        <v>1.0107372148005163</v>
      </c>
    </row>
    <row r="9" spans="1:4" hidden="1">
      <c r="A9" s="4">
        <v>43770</v>
      </c>
      <c r="B9">
        <v>0.51</v>
      </c>
      <c r="C9">
        <f t="shared" si="0"/>
        <v>1.0051000000000001</v>
      </c>
      <c r="D9">
        <f t="shared" si="1"/>
        <v>1.0158919745959989</v>
      </c>
    </row>
    <row r="10" spans="1:4" hidden="1">
      <c r="A10" s="4">
        <v>43800</v>
      </c>
      <c r="B10">
        <v>1.1499999999999999</v>
      </c>
      <c r="C10">
        <f t="shared" si="0"/>
        <v>1.0115000000000001</v>
      </c>
      <c r="D10">
        <f t="shared" si="1"/>
        <v>1.0275747323038529</v>
      </c>
    </row>
    <row r="11" spans="1:4" hidden="1">
      <c r="A11" s="4">
        <v>43831</v>
      </c>
      <c r="B11">
        <v>0.21</v>
      </c>
      <c r="C11">
        <f t="shared" si="0"/>
        <v>1.0021</v>
      </c>
      <c r="D11">
        <f t="shared" si="1"/>
        <v>1.029732639241691</v>
      </c>
    </row>
    <row r="12" spans="1:4" hidden="1">
      <c r="A12" s="4">
        <v>43862</v>
      </c>
      <c r="B12">
        <v>0.25</v>
      </c>
      <c r="C12">
        <f t="shared" si="0"/>
        <v>1.0024999999999999</v>
      </c>
      <c r="D12">
        <f t="shared" si="1"/>
        <v>1.0323069708397952</v>
      </c>
    </row>
    <row r="13" spans="1:4">
      <c r="A13" s="4">
        <v>43891</v>
      </c>
      <c r="B13">
        <v>7.0000000000000007E-2</v>
      </c>
      <c r="C13">
        <f t="shared" si="0"/>
        <v>1.0006999999999999</v>
      </c>
      <c r="D13">
        <f t="shared" si="1"/>
        <v>1.033029585719383</v>
      </c>
    </row>
    <row r="14" spans="1:4" hidden="1">
      <c r="A14" s="4">
        <v>43922</v>
      </c>
      <c r="B14">
        <v>-0.31</v>
      </c>
      <c r="C14">
        <f t="shared" si="0"/>
        <v>0.99690000000000001</v>
      </c>
      <c r="D14">
        <f t="shared" si="1"/>
        <v>1.029827194003653</v>
      </c>
    </row>
    <row r="15" spans="1:4" hidden="1">
      <c r="A15" s="4">
        <v>43952</v>
      </c>
      <c r="B15">
        <v>-0.38</v>
      </c>
      <c r="C15">
        <f t="shared" si="0"/>
        <v>0.99619999999999997</v>
      </c>
      <c r="D15">
        <f t="shared" si="1"/>
        <v>1.0259138506664391</v>
      </c>
    </row>
    <row r="16" spans="1:4" hidden="1">
      <c r="A16" s="4">
        <v>43983</v>
      </c>
      <c r="B16">
        <v>0.26</v>
      </c>
      <c r="C16">
        <f t="shared" si="0"/>
        <v>1.0025999999999999</v>
      </c>
      <c r="D16">
        <f t="shared" si="1"/>
        <v>1.0285812266781718</v>
      </c>
    </row>
    <row r="17" spans="1:4" hidden="1">
      <c r="A17" s="4">
        <v>44013</v>
      </c>
      <c r="B17">
        <v>0.36</v>
      </c>
      <c r="C17">
        <f t="shared" si="0"/>
        <v>1.0036</v>
      </c>
      <c r="D17">
        <f t="shared" si="1"/>
        <v>1.0322841190942131</v>
      </c>
    </row>
    <row r="18" spans="1:4" hidden="1">
      <c r="A18" s="4">
        <v>44044</v>
      </c>
      <c r="B18">
        <v>0.24</v>
      </c>
      <c r="C18">
        <f t="shared" si="0"/>
        <v>1.0024</v>
      </c>
      <c r="D18">
        <f t="shared" si="1"/>
        <v>1.0347616009800391</v>
      </c>
    </row>
    <row r="19" spans="1:4">
      <c r="A19" s="4">
        <v>44075</v>
      </c>
      <c r="B19">
        <v>0.64</v>
      </c>
      <c r="C19">
        <f t="shared" si="0"/>
        <v>1.0064</v>
      </c>
      <c r="D19">
        <f t="shared" si="1"/>
        <v>1.0413840752263113</v>
      </c>
    </row>
    <row r="20" spans="1:4" hidden="1">
      <c r="A20" s="4">
        <v>44105</v>
      </c>
      <c r="B20">
        <v>0.86</v>
      </c>
      <c r="C20">
        <f t="shared" si="0"/>
        <v>1.0085999999999999</v>
      </c>
      <c r="D20">
        <f t="shared" si="1"/>
        <v>1.0503399782732574</v>
      </c>
    </row>
    <row r="21" spans="1:4" hidden="1">
      <c r="A21" s="4">
        <v>44136</v>
      </c>
      <c r="B21">
        <v>0.89</v>
      </c>
      <c r="C21">
        <f t="shared" si="0"/>
        <v>1.0088999999999999</v>
      </c>
      <c r="D21">
        <f t="shared" si="1"/>
        <v>1.0596880040798893</v>
      </c>
    </row>
    <row r="22" spans="1:4" hidden="1">
      <c r="A22" s="4">
        <v>44166</v>
      </c>
      <c r="B22">
        <v>1.35</v>
      </c>
      <c r="C22">
        <f t="shared" si="0"/>
        <v>1.0135000000000001</v>
      </c>
      <c r="D22">
        <f t="shared" si="1"/>
        <v>1.0739937921349678</v>
      </c>
    </row>
    <row r="23" spans="1:4" hidden="1">
      <c r="A23" s="4">
        <v>44197</v>
      </c>
      <c r="B23">
        <v>0.25</v>
      </c>
      <c r="C23">
        <f t="shared" si="0"/>
        <v>1.0024999999999999</v>
      </c>
      <c r="D23">
        <f t="shared" si="1"/>
        <v>1.0766787766153052</v>
      </c>
    </row>
    <row r="24" spans="1:4" hidden="1">
      <c r="A24" s="4">
        <v>44228</v>
      </c>
      <c r="B24">
        <v>0.86</v>
      </c>
      <c r="C24">
        <f t="shared" si="0"/>
        <v>1.0085999999999999</v>
      </c>
      <c r="D24">
        <f t="shared" si="1"/>
        <v>1.0859382140941967</v>
      </c>
    </row>
    <row r="25" spans="1:4">
      <c r="A25" s="4">
        <v>44256</v>
      </c>
      <c r="B25">
        <v>0.93</v>
      </c>
      <c r="C25">
        <f t="shared" si="0"/>
        <v>1.0093000000000001</v>
      </c>
      <c r="D25">
        <f t="shared" si="1"/>
        <v>1.0960374394852728</v>
      </c>
    </row>
    <row r="26" spans="1:4" hidden="1">
      <c r="A26" s="4">
        <v>44287</v>
      </c>
      <c r="B26">
        <v>0.31</v>
      </c>
      <c r="C26">
        <f t="shared" si="0"/>
        <v>1.0031000000000001</v>
      </c>
      <c r="D26">
        <f t="shared" si="1"/>
        <v>1.0994351555476771</v>
      </c>
    </row>
    <row r="27" spans="1:4" hidden="1">
      <c r="A27" s="4">
        <v>44317</v>
      </c>
      <c r="B27">
        <v>0.83</v>
      </c>
      <c r="C27">
        <f t="shared" si="0"/>
        <v>1.0083</v>
      </c>
      <c r="D27">
        <f t="shared" si="1"/>
        <v>1.1085604673387228</v>
      </c>
    </row>
    <row r="28" spans="1:4" hidden="1">
      <c r="A28" s="4">
        <v>44348</v>
      </c>
      <c r="B28">
        <v>0.53</v>
      </c>
      <c r="C28">
        <f t="shared" si="0"/>
        <v>1.0053000000000001</v>
      </c>
      <c r="D28">
        <f t="shared" si="1"/>
        <v>1.1144358378156181</v>
      </c>
    </row>
    <row r="29" spans="1:4" hidden="1">
      <c r="A29" s="4">
        <v>44378</v>
      </c>
      <c r="B29">
        <v>0.96</v>
      </c>
      <c r="C29">
        <f t="shared" si="0"/>
        <v>1.0096000000000001</v>
      </c>
      <c r="D29">
        <f t="shared" si="1"/>
        <v>1.1251344218586481</v>
      </c>
    </row>
    <row r="30" spans="1:4" hidden="1">
      <c r="A30" s="4">
        <v>44409</v>
      </c>
      <c r="B30">
        <v>0.87</v>
      </c>
      <c r="C30">
        <f t="shared" si="0"/>
        <v>1.0086999999999999</v>
      </c>
      <c r="D30">
        <f t="shared" si="1"/>
        <v>1.1349230913288182</v>
      </c>
    </row>
    <row r="31" spans="1:4">
      <c r="A31" s="4">
        <v>44440</v>
      </c>
      <c r="B31">
        <v>1.1599999999999999</v>
      </c>
      <c r="C31">
        <f t="shared" si="0"/>
        <v>1.0116000000000001</v>
      </c>
      <c r="D31">
        <f t="shared" si="1"/>
        <v>1.1480881991882326</v>
      </c>
    </row>
    <row r="32" spans="1:4" hidden="1">
      <c r="A32" s="4">
        <v>44470</v>
      </c>
      <c r="B32">
        <v>1.25</v>
      </c>
      <c r="C32">
        <f t="shared" si="0"/>
        <v>1.0125</v>
      </c>
      <c r="D32">
        <f t="shared" si="1"/>
        <v>1.1624393016780854</v>
      </c>
    </row>
    <row r="33" spans="1:4" hidden="1">
      <c r="A33" s="4">
        <v>44501</v>
      </c>
      <c r="B33">
        <v>0.95</v>
      </c>
      <c r="C33">
        <f t="shared" si="0"/>
        <v>1.0095000000000001</v>
      </c>
      <c r="D33">
        <f t="shared" si="1"/>
        <v>1.1734824750440274</v>
      </c>
    </row>
    <row r="34" spans="1:4" hidden="1">
      <c r="A34" s="4">
        <v>44531</v>
      </c>
      <c r="B34">
        <v>0.73</v>
      </c>
      <c r="C34">
        <f t="shared" si="0"/>
        <v>1.0073000000000001</v>
      </c>
      <c r="D34">
        <f t="shared" si="1"/>
        <v>1.1820488971118488</v>
      </c>
    </row>
    <row r="35" spans="1:4" hidden="1">
      <c r="A35" s="4">
        <v>44562</v>
      </c>
      <c r="B35">
        <v>0.54</v>
      </c>
      <c r="C35">
        <f t="shared" si="0"/>
        <v>1.0054000000000001</v>
      </c>
      <c r="D35">
        <f t="shared" si="1"/>
        <v>1.1884319611562528</v>
      </c>
    </row>
    <row r="36" spans="1:4" hidden="1">
      <c r="A36" s="4">
        <v>44593</v>
      </c>
      <c r="B36">
        <v>1.01</v>
      </c>
      <c r="C36">
        <f t="shared" si="0"/>
        <v>1.0101</v>
      </c>
      <c r="D36">
        <f t="shared" si="1"/>
        <v>1.200435123963931</v>
      </c>
    </row>
    <row r="37" spans="1:4">
      <c r="A37" s="4">
        <v>44621</v>
      </c>
      <c r="B37">
        <v>1.62</v>
      </c>
      <c r="C37">
        <f t="shared" si="0"/>
        <v>1.0162</v>
      </c>
      <c r="D37">
        <f t="shared" si="1"/>
        <v>1.2198821729721467</v>
      </c>
    </row>
    <row r="38" spans="1:4" hidden="1">
      <c r="A38" s="4">
        <v>44652</v>
      </c>
      <c r="B38">
        <v>1.06</v>
      </c>
      <c r="C38">
        <f t="shared" si="0"/>
        <v>1.0105999999999999</v>
      </c>
      <c r="D38">
        <f t="shared" si="1"/>
        <v>1.2328129240056513</v>
      </c>
    </row>
    <row r="39" spans="1:4" hidden="1">
      <c r="A39" s="4">
        <v>44682</v>
      </c>
      <c r="B39">
        <v>0.47</v>
      </c>
      <c r="C39">
        <f t="shared" si="0"/>
        <v>1.0046999999999999</v>
      </c>
      <c r="D39">
        <f t="shared" si="1"/>
        <v>1.2386071447484779</v>
      </c>
    </row>
    <row r="40" spans="1:4" hidden="1">
      <c r="A40" s="4">
        <v>44713</v>
      </c>
      <c r="B40">
        <v>0.67</v>
      </c>
      <c r="C40">
        <f t="shared" si="0"/>
        <v>1.0066999999999999</v>
      </c>
      <c r="D40">
        <f t="shared" si="1"/>
        <v>1.2469058126182926</v>
      </c>
    </row>
    <row r="41" spans="1:4" hidden="1">
      <c r="A41" s="4">
        <v>44743</v>
      </c>
      <c r="B41">
        <v>-0.68</v>
      </c>
      <c r="C41">
        <f t="shared" si="0"/>
        <v>0.99319999999999997</v>
      </c>
      <c r="D41">
        <f t="shared" si="1"/>
        <v>1.2384268530924882</v>
      </c>
    </row>
    <row r="42" spans="1:4" hidden="1">
      <c r="A42" s="4">
        <v>44774</v>
      </c>
      <c r="B42">
        <v>-0.36</v>
      </c>
      <c r="C42">
        <f t="shared" si="0"/>
        <v>0.99639999999999995</v>
      </c>
      <c r="D42">
        <f t="shared" si="1"/>
        <v>1.2339685164213552</v>
      </c>
    </row>
    <row r="43" spans="1:4">
      <c r="A43" s="4">
        <v>44805</v>
      </c>
      <c r="B43">
        <v>-0.28999999999999998</v>
      </c>
      <c r="C43">
        <f t="shared" si="0"/>
        <v>0.99709999999999999</v>
      </c>
      <c r="D43">
        <f t="shared" si="1"/>
        <v>1.2303900077237333</v>
      </c>
    </row>
    <row r="44" spans="1:4" hidden="1">
      <c r="A44" s="4">
        <v>44835</v>
      </c>
      <c r="B44">
        <v>0.33</v>
      </c>
      <c r="C44">
        <f t="shared" si="0"/>
        <v>1.0033000000000001</v>
      </c>
      <c r="D44">
        <f t="shared" si="1"/>
        <v>1.2344502947492217</v>
      </c>
    </row>
    <row r="45" spans="1:4" hidden="1">
      <c r="A45" s="4">
        <v>44866</v>
      </c>
      <c r="B45">
        <v>0.94638500140897963</v>
      </c>
      <c r="C45">
        <f t="shared" si="0"/>
        <v>1.0094638500140898</v>
      </c>
      <c r="D45">
        <f t="shared" si="1"/>
        <v>1.2461329471885774</v>
      </c>
    </row>
    <row r="46" spans="1:4" hidden="1">
      <c r="A46" s="4">
        <v>44896</v>
      </c>
      <c r="B46">
        <v>1.9531775560993834</v>
      </c>
      <c r="C46">
        <f t="shared" si="0"/>
        <v>1.0195317755609938</v>
      </c>
      <c r="D46">
        <f t="shared" si="1"/>
        <v>1.2704721362322244</v>
      </c>
    </row>
    <row r="47" spans="1:4" hidden="1">
      <c r="A47" s="4">
        <v>44927</v>
      </c>
      <c r="B47">
        <v>0.84570574593993919</v>
      </c>
      <c r="C47">
        <f t="shared" si="0"/>
        <v>1.0084570574593994</v>
      </c>
      <c r="D47">
        <f t="shared" si="1"/>
        <v>1.2812165920889063</v>
      </c>
    </row>
    <row r="48" spans="1:4" hidden="1">
      <c r="A48" s="4">
        <v>44958</v>
      </c>
      <c r="B48">
        <v>0.66448308609566664</v>
      </c>
      <c r="C48">
        <f t="shared" si="0"/>
        <v>1.0066448308609566</v>
      </c>
      <c r="D48">
        <f t="shared" si="1"/>
        <v>1.2897300596395882</v>
      </c>
    </row>
    <row r="49" spans="1:4">
      <c r="A49" s="4">
        <v>44986</v>
      </c>
      <c r="B49">
        <v>1.006792554690404</v>
      </c>
      <c r="C49">
        <f t="shared" si="0"/>
        <v>1.0100679255469041</v>
      </c>
      <c r="D49">
        <f t="shared" si="1"/>
        <v>1.3027149658556436</v>
      </c>
    </row>
    <row r="50" spans="1:4" hidden="1">
      <c r="A50" s="4">
        <v>45017</v>
      </c>
      <c r="B50">
        <v>1.1276076612532524</v>
      </c>
      <c r="C50">
        <f t="shared" si="0"/>
        <v>1.0112760766125326</v>
      </c>
      <c r="D50">
        <f t="shared" si="1"/>
        <v>1.3174044796149247</v>
      </c>
    </row>
    <row r="51" spans="1:4" hidden="1">
      <c r="A51" s="4">
        <v>45047</v>
      </c>
      <c r="B51">
        <v>0.41494999999999999</v>
      </c>
      <c r="C51">
        <f t="shared" si="0"/>
        <v>1.0041495</v>
      </c>
      <c r="D51">
        <f t="shared" si="1"/>
        <v>1.3228710495030869</v>
      </c>
    </row>
    <row r="52" spans="1:4" hidden="1">
      <c r="A52" s="4">
        <v>45078</v>
      </c>
      <c r="B52">
        <v>0.38303300000000001</v>
      </c>
      <c r="C52">
        <f t="shared" si="0"/>
        <v>1.00383033</v>
      </c>
      <c r="D52">
        <f t="shared" si="1"/>
        <v>1.3279380821701301</v>
      </c>
    </row>
    <row r="53" spans="1:4" hidden="1">
      <c r="A53" s="4">
        <v>45108</v>
      </c>
      <c r="B53">
        <v>0.35111999999999999</v>
      </c>
      <c r="C53">
        <f t="shared" si="0"/>
        <v>1.0035111999999999</v>
      </c>
      <c r="D53">
        <f t="shared" si="1"/>
        <v>1.3326007383642458</v>
      </c>
    </row>
    <row r="54" spans="1:4" hidden="1">
      <c r="A54" s="4">
        <v>45139</v>
      </c>
      <c r="B54">
        <v>0.17555687203791467</v>
      </c>
      <c r="C54">
        <f t="shared" si="0"/>
        <v>1.0017555687203792</v>
      </c>
      <c r="D54">
        <f t="shared" si="1"/>
        <v>1.3349402105372723</v>
      </c>
    </row>
    <row r="55" spans="1:4">
      <c r="A55" s="4">
        <v>45170</v>
      </c>
      <c r="B55">
        <v>9.5758293838862543E-2</v>
      </c>
      <c r="C55">
        <f t="shared" si="0"/>
        <v>1.0009575829383885</v>
      </c>
      <c r="D55">
        <f t="shared" si="1"/>
        <v>1.3362185265066515</v>
      </c>
    </row>
    <row r="56" spans="1:4" hidden="1">
      <c r="A56" s="4">
        <v>45200</v>
      </c>
      <c r="B56">
        <v>0.12767772511848341</v>
      </c>
      <c r="C56">
        <f t="shared" si="0"/>
        <v>1.0012767772511848</v>
      </c>
      <c r="D56">
        <f t="shared" si="1"/>
        <v>1.3379245799239068</v>
      </c>
    </row>
    <row r="57" spans="1:4" hidden="1">
      <c r="A57" s="4">
        <v>45231</v>
      </c>
      <c r="B57">
        <v>0.66754478672985762</v>
      </c>
      <c r="C57">
        <f t="shared" si="0"/>
        <v>1.0066754478672986</v>
      </c>
      <c r="D57">
        <f t="shared" si="1"/>
        <v>1.3468558257075662</v>
      </c>
    </row>
    <row r="58" spans="1:4" hidden="1">
      <c r="A58" s="4">
        <v>45261</v>
      </c>
      <c r="B58">
        <v>1.3776988151658764</v>
      </c>
      <c r="C58">
        <f t="shared" si="0"/>
        <v>1.0137769881516587</v>
      </c>
      <c r="D58">
        <f t="shared" si="1"/>
        <v>1.3654114424603319</v>
      </c>
    </row>
    <row r="59" spans="1:4" hidden="1">
      <c r="A59" s="4">
        <v>45292</v>
      </c>
      <c r="B59">
        <v>0.59652938388625576</v>
      </c>
      <c r="C59">
        <f t="shared" si="0"/>
        <v>1.0059652938388626</v>
      </c>
      <c r="D59">
        <f t="shared" si="1"/>
        <v>1.3735565229255529</v>
      </c>
    </row>
    <row r="60" spans="1:4" hidden="1">
      <c r="A60" s="4">
        <v>45323</v>
      </c>
      <c r="B60">
        <v>0.46870165876777242</v>
      </c>
      <c r="C60">
        <f t="shared" si="0"/>
        <v>1.0046870165876778</v>
      </c>
      <c r="D60">
        <f t="shared" si="1"/>
        <v>1.3799944051326178</v>
      </c>
    </row>
    <row r="61" spans="1:4">
      <c r="A61" s="4">
        <v>45352</v>
      </c>
      <c r="B61">
        <v>0.71015402843601882</v>
      </c>
      <c r="C61">
        <f t="shared" si="0"/>
        <v>1.0071015402843602</v>
      </c>
      <c r="D61">
        <f t="shared" si="1"/>
        <v>1.3897944909928588</v>
      </c>
    </row>
    <row r="62" spans="1:4" hidden="1">
      <c r="A62" s="4">
        <v>45383</v>
      </c>
      <c r="B62">
        <v>0.79537251184834112</v>
      </c>
      <c r="C62">
        <f t="shared" si="0"/>
        <v>1.0079537251184834</v>
      </c>
      <c r="D62">
        <f t="shared" si="1"/>
        <v>1.4008485343453985</v>
      </c>
    </row>
    <row r="63" spans="1:4" hidden="1">
      <c r="A63" s="4">
        <v>45413</v>
      </c>
      <c r="B63">
        <v>0.3692800947867298</v>
      </c>
      <c r="C63">
        <f t="shared" si="0"/>
        <v>1.0036928009478674</v>
      </c>
      <c r="D63">
        <f t="shared" si="1"/>
        <v>1.4060215891408478</v>
      </c>
    </row>
    <row r="64" spans="1:4" hidden="1">
      <c r="A64" s="4">
        <v>45444</v>
      </c>
      <c r="B64">
        <v>0.34087393364928903</v>
      </c>
      <c r="C64">
        <f t="shared" si="0"/>
        <v>1.003408739336493</v>
      </c>
      <c r="D64">
        <f t="shared" si="1"/>
        <v>1.4108143502397106</v>
      </c>
    </row>
    <row r="65" spans="1:4" hidden="1">
      <c r="A65" s="4">
        <v>45474</v>
      </c>
      <c r="B65">
        <v>0.31246777251184826</v>
      </c>
      <c r="C65">
        <f t="shared" si="0"/>
        <v>1.0031246777251184</v>
      </c>
      <c r="D65">
        <f t="shared" si="1"/>
        <v>1.415222690414182</v>
      </c>
    </row>
    <row r="66" spans="1:4" hidden="1">
      <c r="A66" s="4">
        <v>45505</v>
      </c>
      <c r="B66">
        <v>0.15623388625592413</v>
      </c>
      <c r="C66">
        <f t="shared" ref="C66:C122" si="2">1+B66/100</f>
        <v>1.0015623388625592</v>
      </c>
      <c r="D66">
        <f t="shared" si="1"/>
        <v>1.4174337478225916</v>
      </c>
    </row>
    <row r="67" spans="1:4">
      <c r="A67" s="4">
        <v>45536</v>
      </c>
      <c r="B67">
        <v>8.5218483412322257E-2</v>
      </c>
      <c r="C67">
        <f t="shared" si="2"/>
        <v>1.0008521848341232</v>
      </c>
      <c r="D67">
        <f t="shared" ref="D67:D121" si="3">C67*D66</f>
        <v>1.4186416633658603</v>
      </c>
    </row>
    <row r="68" spans="1:4" hidden="1">
      <c r="A68" s="4">
        <v>45566</v>
      </c>
      <c r="B68">
        <v>0.11362464454976301</v>
      </c>
      <c r="C68">
        <f t="shared" si="2"/>
        <v>1.0011362464454976</v>
      </c>
      <c r="D68">
        <f t="shared" si="3"/>
        <v>1.4202535899132944</v>
      </c>
    </row>
    <row r="69" spans="1:4" hidden="1">
      <c r="A69" s="4">
        <v>45597</v>
      </c>
      <c r="B69">
        <v>0.64748625592417042</v>
      </c>
      <c r="C69">
        <f t="shared" si="2"/>
        <v>1.0064748625592417</v>
      </c>
      <c r="D69">
        <f t="shared" si="3"/>
        <v>1.4294495367072526</v>
      </c>
    </row>
    <row r="70" spans="1:4" hidden="1">
      <c r="A70" s="4">
        <v>45627</v>
      </c>
      <c r="B70">
        <v>1.3363014218009477</v>
      </c>
      <c r="C70">
        <f t="shared" si="2"/>
        <v>1.0133630142180095</v>
      </c>
      <c r="D70">
        <f t="shared" si="3"/>
        <v>1.4485512911901985</v>
      </c>
    </row>
    <row r="71" spans="1:4" hidden="1">
      <c r="A71" s="4">
        <v>45658</v>
      </c>
      <c r="B71">
        <v>0.57860473933649281</v>
      </c>
      <c r="C71">
        <f t="shared" si="2"/>
        <v>1.0057860473933649</v>
      </c>
      <c r="D71">
        <f t="shared" si="3"/>
        <v>1.4569326776127449</v>
      </c>
    </row>
    <row r="72" spans="1:4" hidden="1">
      <c r="A72" s="4">
        <v>45689</v>
      </c>
      <c r="B72">
        <v>0.45461800947867292</v>
      </c>
      <c r="C72">
        <f t="shared" si="2"/>
        <v>1.0045461800947868</v>
      </c>
      <c r="D72">
        <f t="shared" si="3"/>
        <v>1.4635561559511525</v>
      </c>
    </row>
    <row r="73" spans="1:4">
      <c r="A73" s="4">
        <v>45717</v>
      </c>
      <c r="B73">
        <v>0.68881516587677716</v>
      </c>
      <c r="C73">
        <f t="shared" si="2"/>
        <v>1.0068881516587678</v>
      </c>
      <c r="D73">
        <f t="shared" si="3"/>
        <v>1.4736373527144673</v>
      </c>
    </row>
    <row r="74" spans="1:4" hidden="1">
      <c r="A74" s="4">
        <v>45748</v>
      </c>
      <c r="B74">
        <v>0.77147298578199042</v>
      </c>
      <c r="C74">
        <f t="shared" si="2"/>
        <v>1.00771472985782</v>
      </c>
      <c r="D74">
        <f t="shared" si="3"/>
        <v>1.4850060667990523</v>
      </c>
    </row>
    <row r="75" spans="1:4" hidden="1">
      <c r="A75" s="4">
        <v>45778</v>
      </c>
      <c r="B75">
        <v>0.35818388625592412</v>
      </c>
      <c r="C75">
        <f t="shared" si="2"/>
        <v>1.0035818388625593</v>
      </c>
      <c r="D75">
        <f t="shared" si="3"/>
        <v>1.4903251192402494</v>
      </c>
    </row>
    <row r="76" spans="1:4" hidden="1">
      <c r="A76" s="4">
        <v>45809</v>
      </c>
      <c r="B76">
        <v>0.33063127962085304</v>
      </c>
      <c r="C76">
        <f t="shared" si="2"/>
        <v>1.0033063127962085</v>
      </c>
      <c r="D76">
        <f t="shared" si="3"/>
        <v>1.4952526002525044</v>
      </c>
    </row>
    <row r="77" spans="1:4" hidden="1">
      <c r="A77" s="4">
        <v>45839</v>
      </c>
      <c r="B77">
        <v>0.30307867298578195</v>
      </c>
      <c r="C77">
        <f t="shared" si="2"/>
        <v>1.0030307867298578</v>
      </c>
      <c r="D77">
        <f t="shared" si="3"/>
        <v>1.4997843919911351</v>
      </c>
    </row>
    <row r="78" spans="1:4" hidden="1">
      <c r="A78" s="4">
        <v>45870</v>
      </c>
      <c r="B78">
        <v>0.15153933649289097</v>
      </c>
      <c r="C78">
        <f t="shared" si="2"/>
        <v>1.001515393364929</v>
      </c>
      <c r="D78">
        <f t="shared" si="3"/>
        <v>1.5020571553075825</v>
      </c>
    </row>
    <row r="79" spans="1:4">
      <c r="A79" s="4">
        <v>45901</v>
      </c>
      <c r="B79">
        <v>8.2657819905213259E-2</v>
      </c>
      <c r="C79">
        <f t="shared" si="2"/>
        <v>1.0008265781990522</v>
      </c>
      <c r="D79">
        <f t="shared" si="3"/>
        <v>1.5032987230058901</v>
      </c>
    </row>
    <row r="80" spans="1:4" hidden="1">
      <c r="A80" s="4">
        <v>45931</v>
      </c>
      <c r="B80">
        <v>0.11021042654028435</v>
      </c>
      <c r="C80">
        <f t="shared" si="2"/>
        <v>1.0011021042654029</v>
      </c>
      <c r="D80">
        <f t="shared" si="3"/>
        <v>1.5049555149406897</v>
      </c>
    </row>
    <row r="81" spans="1:4" hidden="1">
      <c r="A81" s="4">
        <v>45962</v>
      </c>
      <c r="B81">
        <v>0.64681800947867285</v>
      </c>
      <c r="C81">
        <f t="shared" si="2"/>
        <v>1.0064681800947868</v>
      </c>
      <c r="D81">
        <f t="shared" si="3"/>
        <v>1.5146898382459686</v>
      </c>
    </row>
    <row r="82" spans="1:4" hidden="1">
      <c r="A82" s="4">
        <v>45992</v>
      </c>
      <c r="B82">
        <v>1.3349222748815164</v>
      </c>
      <c r="C82">
        <f t="shared" si="2"/>
        <v>1.0133492227488152</v>
      </c>
      <c r="D82">
        <f t="shared" si="3"/>
        <v>1.5349097702920809</v>
      </c>
    </row>
    <row r="83" spans="1:4" hidden="1">
      <c r="A83" s="4">
        <v>46023</v>
      </c>
      <c r="B83">
        <v>0.5780075829383885</v>
      </c>
      <c r="C83">
        <f t="shared" si="2"/>
        <v>1.0057800758293838</v>
      </c>
      <c r="D83">
        <f t="shared" si="3"/>
        <v>1.5437816651556311</v>
      </c>
    </row>
    <row r="84" spans="1:4" hidden="1">
      <c r="A84" s="4">
        <v>46054</v>
      </c>
      <c r="B84">
        <v>0.45414881516587668</v>
      </c>
      <c r="C84">
        <f t="shared" si="2"/>
        <v>1.0045414881516588</v>
      </c>
      <c r="D84">
        <f t="shared" si="3"/>
        <v>1.5507927312966834</v>
      </c>
    </row>
    <row r="85" spans="1:4">
      <c r="A85" s="4">
        <v>46082</v>
      </c>
      <c r="B85">
        <v>0.68810426540284353</v>
      </c>
      <c r="C85">
        <f t="shared" si="2"/>
        <v>1.0068810426540284</v>
      </c>
      <c r="D85">
        <f t="shared" si="3"/>
        <v>1.5614638022282932</v>
      </c>
    </row>
    <row r="86" spans="1:4" hidden="1">
      <c r="A86" s="4">
        <v>46113</v>
      </c>
      <c r="B86">
        <v>0.77067677725118466</v>
      </c>
      <c r="C86">
        <f t="shared" si="2"/>
        <v>1.0077067677725118</v>
      </c>
      <c r="D86">
        <f t="shared" si="3"/>
        <v>1.5734976411372499</v>
      </c>
    </row>
    <row r="87" spans="1:4" hidden="1">
      <c r="A87" s="4">
        <v>46143</v>
      </c>
      <c r="B87">
        <v>0.3578142180094786</v>
      </c>
      <c r="C87">
        <f t="shared" si="2"/>
        <v>1.0035781421800949</v>
      </c>
      <c r="D87">
        <f t="shared" si="3"/>
        <v>1.579127839417283</v>
      </c>
    </row>
    <row r="88" spans="1:4" hidden="1">
      <c r="A88" s="4">
        <v>46174</v>
      </c>
      <c r="B88">
        <v>0.33029004739336487</v>
      </c>
      <c r="C88">
        <f t="shared" si="2"/>
        <v>1.0033029004739336</v>
      </c>
      <c r="D88">
        <f t="shared" si="3"/>
        <v>1.5843435415064959</v>
      </c>
    </row>
    <row r="89" spans="1:4" hidden="1">
      <c r="A89" s="4">
        <v>46204</v>
      </c>
      <c r="B89">
        <v>0.30276587677725114</v>
      </c>
      <c r="C89">
        <f t="shared" si="2"/>
        <v>1.0030276587677724</v>
      </c>
      <c r="D89">
        <f t="shared" si="3"/>
        <v>1.5891403931211017</v>
      </c>
    </row>
    <row r="90" spans="1:4" hidden="1">
      <c r="A90" s="4">
        <v>46235</v>
      </c>
      <c r="B90">
        <v>0.15138293838862557</v>
      </c>
      <c r="C90">
        <f t="shared" si="2"/>
        <v>1.0015138293838863</v>
      </c>
      <c r="D90">
        <f t="shared" si="3"/>
        <v>1.591546080543329</v>
      </c>
    </row>
    <row r="91" spans="1:4">
      <c r="A91" s="4">
        <v>46266</v>
      </c>
      <c r="B91">
        <v>8.2572511848341218E-2</v>
      </c>
      <c r="C91">
        <f t="shared" si="2"/>
        <v>1.0008257251184833</v>
      </c>
      <c r="D91">
        <f t="shared" si="3"/>
        <v>1.5928602601192574</v>
      </c>
    </row>
    <row r="92" spans="1:4" hidden="1">
      <c r="A92" s="4">
        <v>46296</v>
      </c>
      <c r="B92">
        <v>0.11009668246445496</v>
      </c>
      <c r="C92">
        <f t="shared" si="2"/>
        <v>1.0011009668246444</v>
      </c>
      <c r="D92">
        <f t="shared" si="3"/>
        <v>1.5946139464219433</v>
      </c>
    </row>
    <row r="93" spans="1:4" hidden="1">
      <c r="A93" s="4">
        <v>46327</v>
      </c>
      <c r="B93">
        <v>0.65048222748815143</v>
      </c>
      <c r="C93">
        <f t="shared" si="2"/>
        <v>1.0065048222748816</v>
      </c>
      <c r="D93">
        <f t="shared" si="3"/>
        <v>1.6049866267404655</v>
      </c>
    </row>
    <row r="94" spans="1:4" hidden="1">
      <c r="A94" s="4">
        <v>46357</v>
      </c>
      <c r="B94">
        <v>1.3424845971563977</v>
      </c>
      <c r="C94">
        <f t="shared" si="2"/>
        <v>1.013424845971564</v>
      </c>
      <c r="D94">
        <f t="shared" si="3"/>
        <v>1.6265333249908764</v>
      </c>
    </row>
    <row r="95" spans="1:4" hidden="1">
      <c r="A95" s="4">
        <v>46388</v>
      </c>
      <c r="B95">
        <v>0.5812819905213269</v>
      </c>
      <c r="C95">
        <f t="shared" si="2"/>
        <v>1.0058128199052132</v>
      </c>
      <c r="D95">
        <f t="shared" si="3"/>
        <v>1.635988070278876</v>
      </c>
    </row>
    <row r="96" spans="1:4" hidden="1">
      <c r="A96" s="4">
        <v>46419</v>
      </c>
      <c r="B96">
        <v>0.45672156398104258</v>
      </c>
      <c r="C96">
        <f t="shared" si="2"/>
        <v>1.0045672156398104</v>
      </c>
      <c r="D96">
        <f t="shared" si="3"/>
        <v>1.643459980579997</v>
      </c>
    </row>
    <row r="97" spans="1:4">
      <c r="A97" s="4">
        <v>46447</v>
      </c>
      <c r="B97">
        <v>0.69200236966824635</v>
      </c>
      <c r="C97">
        <f t="shared" si="2"/>
        <v>1.0069200236966824</v>
      </c>
      <c r="D97">
        <f t="shared" si="3"/>
        <v>1.6548327625901598</v>
      </c>
    </row>
    <row r="98" spans="1:4" hidden="1">
      <c r="A98" s="4">
        <v>46478</v>
      </c>
      <c r="B98">
        <v>0.77504265402843586</v>
      </c>
      <c r="C98">
        <f t="shared" si="2"/>
        <v>1.0077504265402843</v>
      </c>
      <c r="D98">
        <f t="shared" si="3"/>
        <v>1.6676584223530706</v>
      </c>
    </row>
    <row r="99" spans="1:4" hidden="1">
      <c r="A99" s="4">
        <v>46508</v>
      </c>
      <c r="B99">
        <v>0.35984123222748809</v>
      </c>
      <c r="C99">
        <f t="shared" si="2"/>
        <v>1.003598412322275</v>
      </c>
      <c r="D99">
        <f t="shared" si="3"/>
        <v>1.6736593449694115</v>
      </c>
    </row>
    <row r="100" spans="1:4" hidden="1">
      <c r="A100" s="4">
        <v>46539</v>
      </c>
      <c r="B100">
        <v>0.3321611374407582</v>
      </c>
      <c r="C100">
        <f t="shared" si="2"/>
        <v>1.0033216113744077</v>
      </c>
      <c r="D100">
        <f t="shared" si="3"/>
        <v>1.6792185908865456</v>
      </c>
    </row>
    <row r="101" spans="1:4" hidden="1">
      <c r="A101" s="4">
        <v>46569</v>
      </c>
      <c r="B101">
        <v>0.30448104265402837</v>
      </c>
      <c r="C101">
        <f t="shared" si="2"/>
        <v>1.0030448104265404</v>
      </c>
      <c r="D101">
        <f t="shared" si="3"/>
        <v>1.6843314931605173</v>
      </c>
    </row>
    <row r="102" spans="1:4" hidden="1">
      <c r="A102" s="4">
        <v>46600</v>
      </c>
      <c r="B102">
        <v>0.15224052132701418</v>
      </c>
      <c r="C102">
        <f t="shared" si="2"/>
        <v>1.0015224052132701</v>
      </c>
      <c r="D102">
        <f t="shared" si="3"/>
        <v>1.68689572820658</v>
      </c>
    </row>
    <row r="103" spans="1:4">
      <c r="A103" s="4">
        <v>46631</v>
      </c>
      <c r="B103">
        <v>8.3040284360189551E-2</v>
      </c>
      <c r="C103">
        <f t="shared" si="2"/>
        <v>1.0008304028436019</v>
      </c>
      <c r="D103">
        <f t="shared" si="3"/>
        <v>1.6882965312161426</v>
      </c>
    </row>
    <row r="104" spans="1:4" hidden="1">
      <c r="A104" s="4">
        <v>46661</v>
      </c>
      <c r="B104">
        <v>0.11072037914691941</v>
      </c>
      <c r="C104">
        <f t="shared" si="2"/>
        <v>1.0011072037914692</v>
      </c>
      <c r="D104">
        <f t="shared" si="3"/>
        <v>1.6901658195366296</v>
      </c>
    </row>
    <row r="105" spans="1:4" hidden="1">
      <c r="A105" s="4">
        <v>46692</v>
      </c>
      <c r="B105">
        <v>0.65446943127962065</v>
      </c>
      <c r="C105">
        <f t="shared" si="2"/>
        <v>1.0065446943127963</v>
      </c>
      <c r="D105">
        <f t="shared" si="3"/>
        <v>1.7012274381634336</v>
      </c>
    </row>
    <row r="106" spans="1:4" hidden="1">
      <c r="A106" s="4">
        <v>46722</v>
      </c>
      <c r="B106">
        <v>1.3507135071090044</v>
      </c>
      <c r="C106">
        <f t="shared" si="2"/>
        <v>1.01350713507109</v>
      </c>
      <c r="D106">
        <f t="shared" si="3"/>
        <v>1.7242061469573515</v>
      </c>
    </row>
    <row r="107" spans="1:4" hidden="1">
      <c r="A107" s="4">
        <v>46753</v>
      </c>
      <c r="B107">
        <v>0.58484502369668234</v>
      </c>
      <c r="C107">
        <f t="shared" si="2"/>
        <v>1.0058484502369669</v>
      </c>
      <c r="D107">
        <f t="shared" si="3"/>
        <v>1.7342900808061039</v>
      </c>
    </row>
    <row r="108" spans="1:4" hidden="1">
      <c r="A108" s="4">
        <v>46784</v>
      </c>
      <c r="B108">
        <v>0.45952109004739328</v>
      </c>
      <c r="C108">
        <f t="shared" si="2"/>
        <v>1.0045952109004739</v>
      </c>
      <c r="D108">
        <f t="shared" si="3"/>
        <v>1.7422595094900077</v>
      </c>
    </row>
    <row r="109" spans="1:4">
      <c r="A109" s="4">
        <v>46813</v>
      </c>
      <c r="B109">
        <v>0.69624407582938375</v>
      </c>
      <c r="C109">
        <f t="shared" si="2"/>
        <v>1.0069624407582938</v>
      </c>
      <c r="D109">
        <f t="shared" si="3"/>
        <v>1.7543898881104059</v>
      </c>
    </row>
    <row r="110" spans="1:4" hidden="1">
      <c r="A110" s="4">
        <v>46844</v>
      </c>
      <c r="B110">
        <v>0.77979336492890983</v>
      </c>
      <c r="C110">
        <f t="shared" si="2"/>
        <v>1.007797933649289</v>
      </c>
      <c r="D110">
        <f t="shared" si="3"/>
        <v>1.7680705040528744</v>
      </c>
    </row>
    <row r="111" spans="1:4" hidden="1">
      <c r="A111" s="4">
        <v>46874</v>
      </c>
      <c r="B111">
        <v>0.36204691943127953</v>
      </c>
      <c r="C111">
        <f t="shared" si="2"/>
        <v>1.0036204691943127</v>
      </c>
      <c r="D111">
        <f t="shared" si="3"/>
        <v>1.7744717488461708</v>
      </c>
    </row>
    <row r="112" spans="1:4" hidden="1">
      <c r="A112" s="4">
        <v>46905</v>
      </c>
      <c r="B112">
        <v>0.33419715639810421</v>
      </c>
      <c r="C112">
        <f t="shared" si="2"/>
        <v>1.0033419715639811</v>
      </c>
      <c r="D112">
        <f t="shared" si="3"/>
        <v>1.7804019829719024</v>
      </c>
    </row>
    <row r="113" spans="1:4" hidden="1">
      <c r="A113" s="4">
        <v>46935</v>
      </c>
      <c r="B113">
        <v>0.30634739336492883</v>
      </c>
      <c r="C113">
        <f t="shared" si="2"/>
        <v>1.0030634739336493</v>
      </c>
      <c r="D113">
        <f t="shared" si="3"/>
        <v>1.7858561980381542</v>
      </c>
    </row>
    <row r="114" spans="1:4" hidden="1">
      <c r="A114" s="4">
        <v>46966</v>
      </c>
      <c r="B114">
        <v>0.15317369668246442</v>
      </c>
      <c r="C114">
        <f t="shared" si="2"/>
        <v>1.0015317369668246</v>
      </c>
      <c r="D114">
        <f t="shared" si="3"/>
        <v>1.7885916599941221</v>
      </c>
    </row>
    <row r="115" spans="1:4">
      <c r="A115" s="4">
        <v>46997</v>
      </c>
      <c r="B115">
        <v>8.3549289099526053E-2</v>
      </c>
      <c r="C115">
        <f t="shared" si="2"/>
        <v>1.0008354928909953</v>
      </c>
      <c r="D115">
        <f t="shared" si="3"/>
        <v>1.7900860156109406</v>
      </c>
    </row>
    <row r="116" spans="1:4" hidden="1">
      <c r="A116" s="4">
        <v>47027</v>
      </c>
      <c r="B116">
        <v>0.1113990521327014</v>
      </c>
      <c r="C116">
        <f t="shared" si="2"/>
        <v>1.0011139905213271</v>
      </c>
      <c r="D116">
        <f t="shared" si="3"/>
        <v>1.7920801544646914</v>
      </c>
    </row>
    <row r="117" spans="1:4" hidden="1">
      <c r="A117" s="4">
        <v>47058</v>
      </c>
      <c r="B117">
        <v>0.65791090047393341</v>
      </c>
      <c r="C117">
        <f t="shared" si="2"/>
        <v>1.0065791090047393</v>
      </c>
      <c r="D117">
        <f t="shared" si="3"/>
        <v>1.8038704451461447</v>
      </c>
    </row>
    <row r="118" spans="1:4" hidden="1">
      <c r="A118" s="4">
        <v>47088</v>
      </c>
      <c r="B118">
        <v>1.3578161137440754</v>
      </c>
      <c r="C118">
        <f t="shared" si="2"/>
        <v>1.0135781611374408</v>
      </c>
      <c r="D118">
        <f t="shared" si="3"/>
        <v>1.8283636887214061</v>
      </c>
    </row>
    <row r="119" spans="1:4" hidden="1">
      <c r="A119" s="4">
        <v>47119</v>
      </c>
      <c r="B119">
        <v>0.5879203791469193</v>
      </c>
      <c r="C119">
        <f t="shared" si="2"/>
        <v>1.0058792037914692</v>
      </c>
      <c r="D119">
        <f t="shared" si="3"/>
        <v>1.8391130114523215</v>
      </c>
    </row>
    <row r="120" spans="1:4" hidden="1">
      <c r="A120" s="4">
        <v>47150</v>
      </c>
      <c r="B120">
        <v>0.46193744075829374</v>
      </c>
      <c r="C120">
        <f t="shared" si="2"/>
        <v>1.0046193744075829</v>
      </c>
      <c r="D120">
        <f t="shared" si="3"/>
        <v>1.8476085630300771</v>
      </c>
    </row>
    <row r="121" spans="1:4">
      <c r="A121" s="4">
        <v>47178</v>
      </c>
      <c r="B121">
        <v>0.6999052132701421</v>
      </c>
      <c r="C121">
        <f t="shared" si="2"/>
        <v>1.0069990521327015</v>
      </c>
      <c r="D121">
        <f t="shared" si="3"/>
        <v>1.8605400716835503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BCBF-2FDE-4E7F-AA0E-811A3887A288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168CE-6279-4B02-9694-1CD7C0DC5972}">
  <dimension ref="A1:D98"/>
  <sheetViews>
    <sheetView workbookViewId="0">
      <selection sqref="A1:D1"/>
    </sheetView>
  </sheetViews>
  <sheetFormatPr defaultRowHeight="15"/>
  <sheetData>
    <row r="1" spans="1:4">
      <c r="A1" t="s">
        <v>21</v>
      </c>
      <c r="B1" t="s">
        <v>150</v>
      </c>
      <c r="C1" t="s">
        <v>22</v>
      </c>
      <c r="D1" t="s">
        <v>149</v>
      </c>
    </row>
    <row r="2" spans="1:4">
      <c r="A2" s="4">
        <v>43586</v>
      </c>
      <c r="B2">
        <v>0.13</v>
      </c>
      <c r="C2">
        <f>1+B2/100</f>
        <v>1.0013000000000001</v>
      </c>
      <c r="D2">
        <v>1.0013000000000001</v>
      </c>
    </row>
    <row r="3" spans="1:4">
      <c r="A3" s="4">
        <v>43617</v>
      </c>
      <c r="B3">
        <v>0.01</v>
      </c>
      <c r="C3">
        <f t="shared" ref="C3:C66" si="0">1+B3/100</f>
        <v>1.0001</v>
      </c>
      <c r="D3">
        <f>C3*D2</f>
        <v>1.0014001300000002</v>
      </c>
    </row>
    <row r="4" spans="1:4">
      <c r="A4" s="4">
        <v>43647</v>
      </c>
      <c r="B4">
        <v>0.19</v>
      </c>
      <c r="C4">
        <f t="shared" si="0"/>
        <v>1.0019</v>
      </c>
      <c r="D4">
        <f t="shared" ref="D4:D67" si="1">C4*D3</f>
        <v>1.0033027902470002</v>
      </c>
    </row>
    <row r="5" spans="1:4">
      <c r="A5" s="4">
        <v>43678</v>
      </c>
      <c r="B5">
        <v>0.11</v>
      </c>
      <c r="C5">
        <f t="shared" si="0"/>
        <v>1.0011000000000001</v>
      </c>
      <c r="D5">
        <f t="shared" si="1"/>
        <v>1.0044064233162719</v>
      </c>
    </row>
    <row r="6" spans="1:4">
      <c r="A6" s="4">
        <v>43709</v>
      </c>
      <c r="B6">
        <v>-0.04</v>
      </c>
      <c r="C6">
        <f t="shared" si="0"/>
        <v>0.99960000000000004</v>
      </c>
      <c r="D6">
        <f t="shared" si="1"/>
        <v>1.0040046607469455</v>
      </c>
    </row>
    <row r="7" spans="1:4">
      <c r="A7" s="4">
        <v>43739</v>
      </c>
      <c r="B7">
        <v>0.1</v>
      </c>
      <c r="C7">
        <f t="shared" si="0"/>
        <v>1.0009999999999999</v>
      </c>
      <c r="D7">
        <f t="shared" si="1"/>
        <v>1.0050086654076924</v>
      </c>
    </row>
    <row r="8" spans="1:4">
      <c r="A8" s="4">
        <v>43770</v>
      </c>
      <c r="B8">
        <v>0.51</v>
      </c>
      <c r="C8">
        <f t="shared" si="0"/>
        <v>1.0051000000000001</v>
      </c>
      <c r="D8">
        <f t="shared" si="1"/>
        <v>1.0101342096012718</v>
      </c>
    </row>
    <row r="9" spans="1:4">
      <c r="A9" s="4">
        <v>43800</v>
      </c>
      <c r="B9">
        <v>1.1499999999999999</v>
      </c>
      <c r="C9">
        <f t="shared" si="0"/>
        <v>1.0115000000000001</v>
      </c>
      <c r="D9">
        <f t="shared" si="1"/>
        <v>1.0217507530116865</v>
      </c>
    </row>
    <row r="10" spans="1:4">
      <c r="A10" s="4">
        <v>43831</v>
      </c>
      <c r="B10">
        <v>0.21</v>
      </c>
      <c r="C10">
        <f t="shared" si="0"/>
        <v>1.0021</v>
      </c>
      <c r="D10">
        <f t="shared" si="1"/>
        <v>1.0238964295930111</v>
      </c>
    </row>
    <row r="11" spans="1:4">
      <c r="A11" s="4">
        <v>43862</v>
      </c>
      <c r="B11">
        <v>0.25</v>
      </c>
      <c r="C11">
        <f t="shared" si="0"/>
        <v>1.0024999999999999</v>
      </c>
      <c r="D11">
        <f t="shared" si="1"/>
        <v>1.0264561706669935</v>
      </c>
    </row>
    <row r="12" spans="1:4">
      <c r="A12" s="4">
        <v>43891</v>
      </c>
      <c r="B12">
        <v>7.0000000000000007E-2</v>
      </c>
      <c r="C12">
        <f t="shared" si="0"/>
        <v>1.0006999999999999</v>
      </c>
      <c r="D12">
        <f t="shared" si="1"/>
        <v>1.0271746899864602</v>
      </c>
    </row>
    <row r="13" spans="1:4">
      <c r="A13" s="4">
        <v>43922</v>
      </c>
      <c r="B13">
        <v>-0.31</v>
      </c>
      <c r="C13">
        <f t="shared" si="0"/>
        <v>0.99690000000000001</v>
      </c>
      <c r="D13">
        <f t="shared" si="1"/>
        <v>1.0239904484475022</v>
      </c>
    </row>
    <row r="14" spans="1:4">
      <c r="A14" s="4">
        <v>43952</v>
      </c>
      <c r="B14">
        <v>-0.38</v>
      </c>
      <c r="C14">
        <f t="shared" si="0"/>
        <v>0.99619999999999997</v>
      </c>
      <c r="D14">
        <f t="shared" si="1"/>
        <v>1.0200992847434016</v>
      </c>
    </row>
    <row r="15" spans="1:4">
      <c r="A15" s="4">
        <v>43983</v>
      </c>
      <c r="B15">
        <v>0.26</v>
      </c>
      <c r="C15">
        <f t="shared" si="0"/>
        <v>1.0025999999999999</v>
      </c>
      <c r="D15">
        <f t="shared" si="1"/>
        <v>1.0227515428837344</v>
      </c>
    </row>
    <row r="16" spans="1:4">
      <c r="A16" s="4">
        <v>44013</v>
      </c>
      <c r="B16">
        <v>0.36</v>
      </c>
      <c r="C16">
        <f t="shared" si="0"/>
        <v>1.0036</v>
      </c>
      <c r="D16">
        <f t="shared" si="1"/>
        <v>1.0264334484381159</v>
      </c>
    </row>
    <row r="17" spans="1:4">
      <c r="A17" s="4">
        <v>44044</v>
      </c>
      <c r="B17">
        <v>0.24</v>
      </c>
      <c r="C17">
        <f t="shared" si="0"/>
        <v>1.0024</v>
      </c>
      <c r="D17">
        <f t="shared" si="1"/>
        <v>1.0288968887143672</v>
      </c>
    </row>
    <row r="18" spans="1:4">
      <c r="A18" s="4">
        <v>44075</v>
      </c>
      <c r="B18">
        <v>0.64</v>
      </c>
      <c r="C18">
        <f t="shared" si="0"/>
        <v>1.0064</v>
      </c>
      <c r="D18">
        <f t="shared" si="1"/>
        <v>1.0354818288021392</v>
      </c>
    </row>
    <row r="19" spans="1:4">
      <c r="A19" s="4">
        <v>44105</v>
      </c>
      <c r="B19">
        <v>0.86</v>
      </c>
      <c r="C19">
        <f t="shared" si="0"/>
        <v>1.0085999999999999</v>
      </c>
      <c r="D19">
        <f t="shared" si="1"/>
        <v>1.0443869725298376</v>
      </c>
    </row>
    <row r="20" spans="1:4">
      <c r="A20" s="4">
        <v>44136</v>
      </c>
      <c r="B20">
        <v>0.89</v>
      </c>
      <c r="C20">
        <f t="shared" si="0"/>
        <v>1.0088999999999999</v>
      </c>
      <c r="D20">
        <f t="shared" si="1"/>
        <v>1.0536820165853531</v>
      </c>
    </row>
    <row r="21" spans="1:4">
      <c r="A21" s="4">
        <v>44166</v>
      </c>
      <c r="B21">
        <v>1.35</v>
      </c>
      <c r="C21">
        <f t="shared" si="0"/>
        <v>1.0135000000000001</v>
      </c>
      <c r="D21">
        <f t="shared" si="1"/>
        <v>1.0679067238092554</v>
      </c>
    </row>
    <row r="22" spans="1:4">
      <c r="A22" s="4">
        <v>44197</v>
      </c>
      <c r="B22">
        <v>0.25</v>
      </c>
      <c r="C22">
        <f t="shared" si="0"/>
        <v>1.0024999999999999</v>
      </c>
      <c r="D22">
        <f t="shared" si="1"/>
        <v>1.0705764906187785</v>
      </c>
    </row>
    <row r="23" spans="1:4">
      <c r="A23" s="4">
        <v>44228</v>
      </c>
      <c r="B23">
        <v>0.86</v>
      </c>
      <c r="C23">
        <f t="shared" si="0"/>
        <v>1.0085999999999999</v>
      </c>
      <c r="D23">
        <f t="shared" si="1"/>
        <v>1.0797834484380999</v>
      </c>
    </row>
    <row r="24" spans="1:4">
      <c r="A24" s="4">
        <v>44256</v>
      </c>
      <c r="B24">
        <v>0.93</v>
      </c>
      <c r="C24">
        <f t="shared" si="0"/>
        <v>1.0093000000000001</v>
      </c>
      <c r="D24">
        <f t="shared" si="1"/>
        <v>1.0898254345085743</v>
      </c>
    </row>
    <row r="25" spans="1:4">
      <c r="A25" s="4">
        <v>44287</v>
      </c>
      <c r="B25">
        <v>0.31</v>
      </c>
      <c r="C25">
        <f t="shared" si="0"/>
        <v>1.0031000000000001</v>
      </c>
      <c r="D25">
        <f t="shared" si="1"/>
        <v>1.093203893355551</v>
      </c>
    </row>
    <row r="26" spans="1:4">
      <c r="A26" s="4">
        <v>44317</v>
      </c>
      <c r="B26">
        <v>0.83</v>
      </c>
      <c r="C26">
        <f t="shared" si="0"/>
        <v>1.0083</v>
      </c>
      <c r="D26">
        <f t="shared" si="1"/>
        <v>1.1022774856704021</v>
      </c>
    </row>
    <row r="27" spans="1:4">
      <c r="A27" s="4">
        <v>44348</v>
      </c>
      <c r="B27">
        <v>0.53</v>
      </c>
      <c r="C27">
        <f t="shared" si="0"/>
        <v>1.0053000000000001</v>
      </c>
      <c r="D27">
        <f t="shared" si="1"/>
        <v>1.1081195563444552</v>
      </c>
    </row>
    <row r="28" spans="1:4">
      <c r="A28" s="4">
        <v>44378</v>
      </c>
      <c r="B28">
        <v>0.96</v>
      </c>
      <c r="C28">
        <f t="shared" si="0"/>
        <v>1.0096000000000001</v>
      </c>
      <c r="D28">
        <f t="shared" si="1"/>
        <v>1.1187575040853621</v>
      </c>
    </row>
    <row r="29" spans="1:4">
      <c r="A29" s="4">
        <v>44409</v>
      </c>
      <c r="B29">
        <v>0.87</v>
      </c>
      <c r="C29">
        <f t="shared" si="0"/>
        <v>1.0086999999999999</v>
      </c>
      <c r="D29">
        <f t="shared" si="1"/>
        <v>1.1284906943709048</v>
      </c>
    </row>
    <row r="30" spans="1:4">
      <c r="A30" s="4">
        <v>44440</v>
      </c>
      <c r="B30">
        <v>1.1599999999999999</v>
      </c>
      <c r="C30">
        <f t="shared" si="0"/>
        <v>1.0116000000000001</v>
      </c>
      <c r="D30">
        <f t="shared" si="1"/>
        <v>1.1415811864256074</v>
      </c>
    </row>
    <row r="31" spans="1:4">
      <c r="A31" s="4">
        <v>44470</v>
      </c>
      <c r="B31">
        <v>1.25</v>
      </c>
      <c r="C31">
        <f t="shared" si="0"/>
        <v>1.0125</v>
      </c>
      <c r="D31">
        <f t="shared" si="1"/>
        <v>1.1558509512559274</v>
      </c>
    </row>
    <row r="32" spans="1:4">
      <c r="A32" s="4">
        <v>44501</v>
      </c>
      <c r="B32">
        <v>0.95</v>
      </c>
      <c r="C32">
        <f t="shared" si="0"/>
        <v>1.0095000000000001</v>
      </c>
      <c r="D32">
        <f t="shared" si="1"/>
        <v>1.1668315352928589</v>
      </c>
    </row>
    <row r="33" spans="1:4">
      <c r="A33" s="4">
        <v>44531</v>
      </c>
      <c r="B33">
        <v>0.73</v>
      </c>
      <c r="C33">
        <f t="shared" si="0"/>
        <v>1.0073000000000001</v>
      </c>
      <c r="D33">
        <f t="shared" si="1"/>
        <v>1.1753494055004969</v>
      </c>
    </row>
    <row r="34" spans="1:4">
      <c r="A34" s="4">
        <v>44562</v>
      </c>
      <c r="B34">
        <v>0.54</v>
      </c>
      <c r="C34">
        <f t="shared" si="0"/>
        <v>1.0054000000000001</v>
      </c>
      <c r="D34">
        <f t="shared" si="1"/>
        <v>1.1816962922901997</v>
      </c>
    </row>
    <row r="35" spans="1:4">
      <c r="A35" s="4">
        <v>44593</v>
      </c>
      <c r="B35">
        <v>1.01</v>
      </c>
      <c r="C35">
        <f t="shared" si="0"/>
        <v>1.0101</v>
      </c>
      <c r="D35">
        <f t="shared" si="1"/>
        <v>1.1936314248423308</v>
      </c>
    </row>
    <row r="36" spans="1:4">
      <c r="A36" s="4">
        <v>44621</v>
      </c>
      <c r="B36">
        <v>1.62</v>
      </c>
      <c r="C36">
        <f t="shared" si="0"/>
        <v>1.0162</v>
      </c>
      <c r="D36">
        <f t="shared" si="1"/>
        <v>1.2129682539247766</v>
      </c>
    </row>
    <row r="37" spans="1:4">
      <c r="A37" s="4">
        <v>44652</v>
      </c>
      <c r="B37">
        <v>1.06</v>
      </c>
      <c r="C37">
        <f t="shared" si="0"/>
        <v>1.0105999999999999</v>
      </c>
      <c r="D37">
        <f t="shared" si="1"/>
        <v>1.2258257174163791</v>
      </c>
    </row>
    <row r="38" spans="1:4">
      <c r="A38" s="4">
        <v>44682</v>
      </c>
      <c r="B38">
        <v>0.47</v>
      </c>
      <c r="C38">
        <f t="shared" si="0"/>
        <v>1.0046999999999999</v>
      </c>
      <c r="D38">
        <f t="shared" si="1"/>
        <v>1.231587098288236</v>
      </c>
    </row>
    <row r="39" spans="1:4">
      <c r="A39" s="4">
        <v>44713</v>
      </c>
      <c r="B39">
        <v>0.67</v>
      </c>
      <c r="C39">
        <f t="shared" si="0"/>
        <v>1.0066999999999999</v>
      </c>
      <c r="D39">
        <f t="shared" si="1"/>
        <v>1.2398387318467672</v>
      </c>
    </row>
    <row r="40" spans="1:4">
      <c r="A40" s="4">
        <v>44743</v>
      </c>
      <c r="B40">
        <v>-0.68</v>
      </c>
      <c r="C40">
        <f t="shared" si="0"/>
        <v>0.99319999999999997</v>
      </c>
      <c r="D40">
        <f t="shared" si="1"/>
        <v>1.2314078284702092</v>
      </c>
    </row>
    <row r="41" spans="1:4">
      <c r="A41" s="4">
        <v>44774</v>
      </c>
      <c r="B41">
        <v>-0.36</v>
      </c>
      <c r="C41">
        <f t="shared" si="0"/>
        <v>0.99639999999999995</v>
      </c>
      <c r="D41">
        <f t="shared" si="1"/>
        <v>1.2269747602877163</v>
      </c>
    </row>
    <row r="42" spans="1:4">
      <c r="A42" s="4">
        <v>44805</v>
      </c>
      <c r="B42">
        <v>-0.28999999999999998</v>
      </c>
      <c r="C42">
        <f t="shared" si="0"/>
        <v>0.99709999999999999</v>
      </c>
      <c r="D42">
        <f t="shared" si="1"/>
        <v>1.2234165334828819</v>
      </c>
    </row>
    <row r="43" spans="1:4">
      <c r="A43" s="4">
        <v>44835</v>
      </c>
      <c r="B43">
        <v>0.33</v>
      </c>
      <c r="C43">
        <f t="shared" si="0"/>
        <v>1.0033000000000001</v>
      </c>
      <c r="D43">
        <f t="shared" si="1"/>
        <v>1.2274538080433754</v>
      </c>
    </row>
    <row r="44" spans="1:4">
      <c r="A44" s="4">
        <v>44866</v>
      </c>
      <c r="B44">
        <v>0.94638500140897963</v>
      </c>
      <c r="C44">
        <f t="shared" si="0"/>
        <v>1.0094638500140898</v>
      </c>
      <c r="D44">
        <f t="shared" si="1"/>
        <v>1.2390702467819212</v>
      </c>
    </row>
    <row r="45" spans="1:4">
      <c r="A45" s="4">
        <v>44896</v>
      </c>
      <c r="B45">
        <v>1.9531775560993834</v>
      </c>
      <c r="C45">
        <f t="shared" si="0"/>
        <v>1.0195317755609938</v>
      </c>
      <c r="D45">
        <f t="shared" si="1"/>
        <v>1.263271488746371</v>
      </c>
    </row>
    <row r="46" spans="1:4">
      <c r="A46" s="4">
        <v>44927</v>
      </c>
      <c r="B46">
        <v>0.84570574593993919</v>
      </c>
      <c r="C46">
        <f t="shared" si="0"/>
        <v>1.0084570574593994</v>
      </c>
      <c r="D46">
        <f t="shared" si="1"/>
        <v>1.27395504831352</v>
      </c>
    </row>
    <row r="47" spans="1:4">
      <c r="A47" s="4">
        <v>44958</v>
      </c>
      <c r="B47">
        <v>0.66448308609566664</v>
      </c>
      <c r="C47">
        <f t="shared" si="0"/>
        <v>1.0066448308609566</v>
      </c>
      <c r="D47">
        <f t="shared" si="1"/>
        <v>1.2824202641340252</v>
      </c>
    </row>
    <row r="48" spans="1:4">
      <c r="A48" s="4">
        <v>44986</v>
      </c>
      <c r="B48">
        <v>1.006792554690404</v>
      </c>
      <c r="C48">
        <f t="shared" si="0"/>
        <v>1.0100679255469041</v>
      </c>
      <c r="D48">
        <f t="shared" si="1"/>
        <v>1.2953315758731676</v>
      </c>
    </row>
    <row r="49" spans="1:4">
      <c r="A49" s="4">
        <v>45017</v>
      </c>
      <c r="B49">
        <v>1.1276076612532524</v>
      </c>
      <c r="C49">
        <f t="shared" si="0"/>
        <v>1.0112760766125326</v>
      </c>
      <c r="D49">
        <f t="shared" si="1"/>
        <v>1.3099378339613461</v>
      </c>
    </row>
    <row r="50" spans="1:4">
      <c r="A50" s="4">
        <v>45047</v>
      </c>
      <c r="B50">
        <v>0.41494999999999999</v>
      </c>
      <c r="C50">
        <f t="shared" si="0"/>
        <v>1.0041495</v>
      </c>
      <c r="D50">
        <f t="shared" si="1"/>
        <v>1.3153734210033687</v>
      </c>
    </row>
    <row r="51" spans="1:4">
      <c r="A51" s="4">
        <v>45078</v>
      </c>
      <c r="B51">
        <v>0.38303300000000001</v>
      </c>
      <c r="C51">
        <f t="shared" si="0"/>
        <v>1.00383033</v>
      </c>
      <c r="D51">
        <f t="shared" si="1"/>
        <v>1.3204117352790405</v>
      </c>
    </row>
    <row r="52" spans="1:4">
      <c r="A52" s="4">
        <v>45108</v>
      </c>
      <c r="B52">
        <v>0.35111999999999999</v>
      </c>
      <c r="C52">
        <f t="shared" si="0"/>
        <v>1.0035111999999999</v>
      </c>
      <c r="D52">
        <f t="shared" si="1"/>
        <v>1.3250479649639522</v>
      </c>
    </row>
    <row r="53" spans="1:4">
      <c r="A53" s="4">
        <v>45139</v>
      </c>
      <c r="B53">
        <v>0.17555687203791467</v>
      </c>
      <c r="C53">
        <f t="shared" si="0"/>
        <v>1.0017555687203792</v>
      </c>
      <c r="D53">
        <f t="shared" si="1"/>
        <v>1.3273741777242449</v>
      </c>
    </row>
    <row r="54" spans="1:4">
      <c r="A54" s="4">
        <v>45170</v>
      </c>
      <c r="B54">
        <v>9.5758293838862543E-2</v>
      </c>
      <c r="C54">
        <f t="shared" si="0"/>
        <v>1.0009575829383885</v>
      </c>
      <c r="D54">
        <f t="shared" si="1"/>
        <v>1.3286452485896911</v>
      </c>
    </row>
    <row r="55" spans="1:4">
      <c r="A55" s="4">
        <v>45200</v>
      </c>
      <c r="B55">
        <v>0.12767772511848341</v>
      </c>
      <c r="C55">
        <f t="shared" si="0"/>
        <v>1.0012767772511848</v>
      </c>
      <c r="D55">
        <f t="shared" si="1"/>
        <v>1.3303416326179853</v>
      </c>
    </row>
    <row r="56" spans="1:4">
      <c r="A56" s="4">
        <v>45231</v>
      </c>
      <c r="B56">
        <v>0.66754478672985762</v>
      </c>
      <c r="C56">
        <f t="shared" si="0"/>
        <v>1.0066754478672986</v>
      </c>
      <c r="D56">
        <f t="shared" si="1"/>
        <v>1.3392222588322236</v>
      </c>
    </row>
    <row r="57" spans="1:4">
      <c r="A57" s="4">
        <v>45261</v>
      </c>
      <c r="B57">
        <v>1.3776988151658764</v>
      </c>
      <c r="C57">
        <f t="shared" si="0"/>
        <v>1.0137769881516587</v>
      </c>
      <c r="D57">
        <f t="shared" si="1"/>
        <v>1.3576727080245927</v>
      </c>
    </row>
    <row r="58" spans="1:4">
      <c r="A58" s="4">
        <v>45292</v>
      </c>
      <c r="B58">
        <v>0.59652938388625576</v>
      </c>
      <c r="C58">
        <f t="shared" si="0"/>
        <v>1.0059652938388626</v>
      </c>
      <c r="D58">
        <f t="shared" si="1"/>
        <v>1.3657716246649636</v>
      </c>
    </row>
    <row r="59" spans="1:4">
      <c r="A59" s="4">
        <v>45323</v>
      </c>
      <c r="B59">
        <v>0.46870165876777242</v>
      </c>
      <c r="C59">
        <f t="shared" si="0"/>
        <v>1.0046870165876778</v>
      </c>
      <c r="D59">
        <f t="shared" si="1"/>
        <v>1.3721730189247479</v>
      </c>
    </row>
    <row r="60" spans="1:4">
      <c r="A60" s="4">
        <v>45352</v>
      </c>
      <c r="B60">
        <v>0.71015402843601882</v>
      </c>
      <c r="C60">
        <f t="shared" si="0"/>
        <v>1.0071015402843602</v>
      </c>
      <c r="D60">
        <f t="shared" si="1"/>
        <v>1.3819175608957541</v>
      </c>
    </row>
    <row r="61" spans="1:4">
      <c r="A61" s="4">
        <v>45383</v>
      </c>
      <c r="B61">
        <v>0.79537251184834112</v>
      </c>
      <c r="C61">
        <f t="shared" si="0"/>
        <v>1.0079537251184834</v>
      </c>
      <c r="D61">
        <f t="shared" si="1"/>
        <v>1.392908953311524</v>
      </c>
    </row>
    <row r="62" spans="1:4">
      <c r="A62" s="4">
        <v>45413</v>
      </c>
      <c r="B62">
        <v>0.3692800947867298</v>
      </c>
      <c r="C62">
        <f t="shared" si="0"/>
        <v>1.0036928009478674</v>
      </c>
      <c r="D62">
        <f t="shared" si="1"/>
        <v>1.3980526888146056</v>
      </c>
    </row>
    <row r="63" spans="1:4">
      <c r="A63" s="4">
        <v>45444</v>
      </c>
      <c r="B63">
        <v>0.34087393364928903</v>
      </c>
      <c r="C63">
        <f t="shared" si="0"/>
        <v>1.003408739336493</v>
      </c>
      <c r="D63">
        <f t="shared" si="1"/>
        <v>1.4028182860094578</v>
      </c>
    </row>
    <row r="64" spans="1:4">
      <c r="A64" s="4">
        <v>45474</v>
      </c>
      <c r="B64">
        <v>0.31246777251184826</v>
      </c>
      <c r="C64">
        <f t="shared" si="0"/>
        <v>1.0031246777251184</v>
      </c>
      <c r="D64">
        <f t="shared" si="1"/>
        <v>1.4072016410601402</v>
      </c>
    </row>
    <row r="65" spans="1:4">
      <c r="A65" s="4">
        <v>45505</v>
      </c>
      <c r="B65">
        <v>0.15623388625592413</v>
      </c>
      <c r="C65">
        <f t="shared" si="0"/>
        <v>1.0015623388625592</v>
      </c>
      <c r="D65">
        <f t="shared" si="1"/>
        <v>1.4094001668714256</v>
      </c>
    </row>
    <row r="66" spans="1:4">
      <c r="A66" s="4">
        <v>45536</v>
      </c>
      <c r="B66">
        <v>8.5218483412322257E-2</v>
      </c>
      <c r="C66">
        <f t="shared" si="0"/>
        <v>1.0008521848341232</v>
      </c>
      <c r="D66">
        <f t="shared" si="1"/>
        <v>1.410601236318844</v>
      </c>
    </row>
    <row r="67" spans="1:4">
      <c r="A67" s="4">
        <v>45566</v>
      </c>
      <c r="B67">
        <v>0.11362464454976301</v>
      </c>
      <c r="C67">
        <f t="shared" ref="C67:C98" si="2">1+B67/100</f>
        <v>1.0011362464454976</v>
      </c>
      <c r="D67">
        <f t="shared" si="1"/>
        <v>1.4122040269596259</v>
      </c>
    </row>
    <row r="68" spans="1:4">
      <c r="A68" s="4">
        <v>45597</v>
      </c>
      <c r="B68">
        <v>0.64748625592417042</v>
      </c>
      <c r="C68">
        <f t="shared" si="2"/>
        <v>1.0064748625592417</v>
      </c>
      <c r="D68">
        <f t="shared" ref="D68:D98" si="3">C68*D67</f>
        <v>1.421347853939797</v>
      </c>
    </row>
    <row r="69" spans="1:4">
      <c r="A69" s="4">
        <v>45627</v>
      </c>
      <c r="B69">
        <v>1.3363014218009477</v>
      </c>
      <c r="C69">
        <f t="shared" si="2"/>
        <v>1.0133630142180095</v>
      </c>
      <c r="D69">
        <f t="shared" si="3"/>
        <v>1.4403413455207317</v>
      </c>
    </row>
    <row r="70" spans="1:4">
      <c r="A70" s="4">
        <v>45658</v>
      </c>
      <c r="B70">
        <v>0.57860473933649281</v>
      </c>
      <c r="C70">
        <f t="shared" si="2"/>
        <v>1.0057860473933649</v>
      </c>
      <c r="D70">
        <f t="shared" si="3"/>
        <v>1.4486752288085376</v>
      </c>
    </row>
    <row r="71" spans="1:4">
      <c r="A71" s="4">
        <v>45689</v>
      </c>
      <c r="B71">
        <v>0.45461800947867292</v>
      </c>
      <c r="C71">
        <f t="shared" si="2"/>
        <v>1.0045461800947868</v>
      </c>
      <c r="D71">
        <f t="shared" si="3"/>
        <v>1.4552611672975577</v>
      </c>
    </row>
    <row r="72" spans="1:4">
      <c r="A72" s="4">
        <v>45717</v>
      </c>
      <c r="B72">
        <v>0.68881516587677716</v>
      </c>
      <c r="C72">
        <f t="shared" si="2"/>
        <v>1.0068881516587678</v>
      </c>
      <c r="D72">
        <f t="shared" si="3"/>
        <v>1.4652852269210188</v>
      </c>
    </row>
    <row r="73" spans="1:4">
      <c r="A73" s="4">
        <v>45748</v>
      </c>
      <c r="B73">
        <v>0.77147298578199042</v>
      </c>
      <c r="C73">
        <f t="shared" si="2"/>
        <v>1.00771472985782</v>
      </c>
      <c r="D73">
        <f t="shared" si="3"/>
        <v>1.4765895066113688</v>
      </c>
    </row>
    <row r="74" spans="1:4">
      <c r="A74" s="4">
        <v>45778</v>
      </c>
      <c r="B74">
        <v>0.35818388625592412</v>
      </c>
      <c r="C74">
        <f t="shared" si="2"/>
        <v>1.0035818388625593</v>
      </c>
      <c r="D74">
        <f t="shared" si="3"/>
        <v>1.4818784122901967</v>
      </c>
    </row>
    <row r="75" spans="1:4">
      <c r="A75" s="4">
        <v>45809</v>
      </c>
      <c r="B75">
        <v>0.33063127962085304</v>
      </c>
      <c r="C75">
        <f t="shared" si="2"/>
        <v>1.0033063127962085</v>
      </c>
      <c r="D75">
        <f t="shared" si="3"/>
        <v>1.4867779658471769</v>
      </c>
    </row>
    <row r="76" spans="1:4">
      <c r="A76" s="4">
        <v>45839</v>
      </c>
      <c r="B76">
        <v>0.30307867298578195</v>
      </c>
      <c r="C76">
        <f t="shared" si="2"/>
        <v>1.0030307867298578</v>
      </c>
      <c r="D76">
        <f t="shared" si="3"/>
        <v>1.4912840727763115</v>
      </c>
    </row>
    <row r="77" spans="1:4">
      <c r="A77" s="4">
        <v>45870</v>
      </c>
      <c r="B77">
        <v>0.15153933649289097</v>
      </c>
      <c r="C77">
        <f t="shared" si="2"/>
        <v>1.001515393364929</v>
      </c>
      <c r="D77">
        <f t="shared" si="3"/>
        <v>1.493543954765421</v>
      </c>
    </row>
    <row r="78" spans="1:4">
      <c r="A78" s="4">
        <v>45901</v>
      </c>
      <c r="B78">
        <v>8.2657819905213259E-2</v>
      </c>
      <c r="C78">
        <f t="shared" si="2"/>
        <v>1.0008265781990522</v>
      </c>
      <c r="D78">
        <f t="shared" si="3"/>
        <v>1.4947784856377564</v>
      </c>
    </row>
    <row r="79" spans="1:4">
      <c r="A79" s="4">
        <v>45931</v>
      </c>
      <c r="B79">
        <v>0.11021042654028435</v>
      </c>
      <c r="C79">
        <f t="shared" si="2"/>
        <v>1.0011021042654029</v>
      </c>
      <c r="D79">
        <f t="shared" si="3"/>
        <v>1.4964258873826102</v>
      </c>
    </row>
    <row r="80" spans="1:4">
      <c r="A80" s="4">
        <v>45962</v>
      </c>
      <c r="B80">
        <v>0.64681800947867285</v>
      </c>
      <c r="C80">
        <f t="shared" si="2"/>
        <v>1.0064681800947868</v>
      </c>
      <c r="D80">
        <f t="shared" si="3"/>
        <v>1.5061050395207021</v>
      </c>
    </row>
    <row r="81" spans="1:4">
      <c r="A81" s="4">
        <v>45992</v>
      </c>
      <c r="B81">
        <v>1.3349222748815164</v>
      </c>
      <c r="C81">
        <f t="shared" si="2"/>
        <v>1.0133492227488152</v>
      </c>
      <c r="D81">
        <f t="shared" si="3"/>
        <v>1.526210371176377</v>
      </c>
    </row>
    <row r="82" spans="1:4">
      <c r="A82" s="4">
        <v>46023</v>
      </c>
      <c r="B82">
        <v>0.5780075829383885</v>
      </c>
      <c r="C82">
        <f t="shared" si="2"/>
        <v>1.0057800758293838</v>
      </c>
      <c r="D82">
        <f t="shared" si="3"/>
        <v>1.5350319828533685</v>
      </c>
    </row>
    <row r="83" spans="1:4">
      <c r="A83" s="4">
        <v>46054</v>
      </c>
      <c r="B83">
        <v>0.45414881516587668</v>
      </c>
      <c r="C83">
        <f t="shared" si="2"/>
        <v>1.0045414881516588</v>
      </c>
      <c r="D83">
        <f t="shared" si="3"/>
        <v>1.5420033124159143</v>
      </c>
    </row>
    <row r="84" spans="1:4">
      <c r="A84" s="4">
        <v>46082</v>
      </c>
      <c r="B84">
        <v>0.68810426540284353</v>
      </c>
      <c r="C84">
        <f t="shared" si="2"/>
        <v>1.0068810426540284</v>
      </c>
      <c r="D84">
        <f t="shared" si="3"/>
        <v>1.5526139029813013</v>
      </c>
    </row>
    <row r="85" spans="1:4">
      <c r="A85" s="4">
        <v>46113</v>
      </c>
      <c r="B85">
        <v>0.77067677725118466</v>
      </c>
      <c r="C85">
        <f t="shared" si="2"/>
        <v>1.0077067677725118</v>
      </c>
      <c r="D85">
        <f t="shared" si="3"/>
        <v>1.5645795377719514</v>
      </c>
    </row>
    <row r="86" spans="1:4">
      <c r="A86" s="4">
        <v>46143</v>
      </c>
      <c r="B86">
        <v>0.3578142180094786</v>
      </c>
      <c r="C86">
        <f t="shared" si="2"/>
        <v>1.0035781421800949</v>
      </c>
      <c r="D86">
        <f t="shared" si="3"/>
        <v>1.5701778258101666</v>
      </c>
    </row>
    <row r="87" spans="1:4">
      <c r="A87" s="4">
        <v>46174</v>
      </c>
      <c r="B87">
        <v>0.33029004739336487</v>
      </c>
      <c r="C87">
        <f t="shared" si="2"/>
        <v>1.0033029004739336</v>
      </c>
      <c r="D87">
        <f t="shared" si="3"/>
        <v>1.5753639668951951</v>
      </c>
    </row>
    <row r="88" spans="1:4">
      <c r="A88" s="4">
        <v>46204</v>
      </c>
      <c r="B88">
        <v>0.30276587677725114</v>
      </c>
      <c r="C88">
        <f t="shared" si="2"/>
        <v>1.0030276587677724</v>
      </c>
      <c r="D88">
        <f t="shared" si="3"/>
        <v>1.580133631421998</v>
      </c>
    </row>
    <row r="89" spans="1:4">
      <c r="A89" s="4">
        <v>46235</v>
      </c>
      <c r="B89">
        <v>0.15138293838862557</v>
      </c>
      <c r="C89">
        <f t="shared" si="2"/>
        <v>1.0015138293838863</v>
      </c>
      <c r="D89">
        <f t="shared" si="3"/>
        <v>1.5825256841437116</v>
      </c>
    </row>
    <row r="90" spans="1:4">
      <c r="A90" s="4">
        <v>46266</v>
      </c>
      <c r="B90">
        <v>8.2572511848341218E-2</v>
      </c>
      <c r="C90">
        <f t="shared" si="2"/>
        <v>1.0008257251184833</v>
      </c>
      <c r="D90">
        <f t="shared" si="3"/>
        <v>1.5838324153517542</v>
      </c>
    </row>
    <row r="91" spans="1:4">
      <c r="A91" s="4">
        <v>46296</v>
      </c>
      <c r="B91">
        <v>0.11009668246445496</v>
      </c>
      <c r="C91">
        <f t="shared" si="2"/>
        <v>1.0011009668246444</v>
      </c>
      <c r="D91">
        <f t="shared" si="3"/>
        <v>1.5855761622968529</v>
      </c>
    </row>
    <row r="92" spans="1:4">
      <c r="A92" s="4">
        <v>46327</v>
      </c>
      <c r="B92">
        <v>0.65048222748815143</v>
      </c>
      <c r="C92">
        <f t="shared" si="2"/>
        <v>1.0065048222748816</v>
      </c>
      <c r="D92">
        <f t="shared" si="3"/>
        <v>1.5958900534358829</v>
      </c>
    </row>
    <row r="93" spans="1:4">
      <c r="A93" s="4">
        <v>46357</v>
      </c>
      <c r="B93">
        <v>1.3424845971563977</v>
      </c>
      <c r="C93">
        <f t="shared" si="2"/>
        <v>1.013424845971564</v>
      </c>
      <c r="D93">
        <f t="shared" si="3"/>
        <v>1.6173146315908107</v>
      </c>
    </row>
    <row r="94" spans="1:4">
      <c r="A94" s="4">
        <v>46388</v>
      </c>
      <c r="B94">
        <v>0.5812819905213269</v>
      </c>
      <c r="C94">
        <f t="shared" si="2"/>
        <v>1.0058128199052132</v>
      </c>
      <c r="D94">
        <f t="shared" si="3"/>
        <v>1.6267157902743143</v>
      </c>
    </row>
    <row r="95" spans="1:4">
      <c r="A95" s="4">
        <v>46419</v>
      </c>
      <c r="B95">
        <v>0.45672156398104258</v>
      </c>
      <c r="C95">
        <f t="shared" si="2"/>
        <v>1.0045672156398104</v>
      </c>
      <c r="D95">
        <f t="shared" si="3"/>
        <v>1.6341453520731819</v>
      </c>
    </row>
    <row r="96" spans="1:4">
      <c r="A96" s="4">
        <v>46447</v>
      </c>
      <c r="B96">
        <v>0.69200236966824635</v>
      </c>
      <c r="C96">
        <f t="shared" si="2"/>
        <v>1.0069200236966824</v>
      </c>
      <c r="D96">
        <f t="shared" si="3"/>
        <v>1.6454536766333518</v>
      </c>
    </row>
    <row r="97" spans="1:4">
      <c r="A97" s="4">
        <v>46478</v>
      </c>
      <c r="B97">
        <v>0.77504265402843586</v>
      </c>
      <c r="C97">
        <f t="shared" si="2"/>
        <v>1.0077504265402843</v>
      </c>
      <c r="D97">
        <f t="shared" si="3"/>
        <v>1.6582066444795394</v>
      </c>
    </row>
    <row r="98" spans="1:4">
      <c r="A98" s="4">
        <v>46508</v>
      </c>
      <c r="B98">
        <v>0.35984123222748809</v>
      </c>
      <c r="C98">
        <f t="shared" si="2"/>
        <v>1.003598412322275</v>
      </c>
      <c r="D98">
        <f t="shared" si="3"/>
        <v>1.6641735557019128</v>
      </c>
    </row>
  </sheetData>
  <pageMargins left="0.511811024" right="0.511811024" top="0.78740157499999996" bottom="0.78740157499999996" header="0.31496062000000002" footer="0.31496062000000002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7D7FE-8D6A-4130-8824-14C6ADF74F8E}">
  <sheetPr codeName="Planilha26"/>
  <dimension ref="A1:D141"/>
  <sheetViews>
    <sheetView workbookViewId="0">
      <selection activeCell="B141" sqref="B2:B141"/>
    </sheetView>
  </sheetViews>
  <sheetFormatPr defaultRowHeight="15"/>
  <sheetData>
    <row r="1" spans="1:4">
      <c r="A1" t="s">
        <v>21</v>
      </c>
      <c r="B1" t="s">
        <v>150</v>
      </c>
      <c r="C1" t="s">
        <v>22</v>
      </c>
      <c r="D1" t="s">
        <v>151</v>
      </c>
    </row>
    <row r="2" spans="1:4">
      <c r="A2" s="4">
        <v>43556</v>
      </c>
      <c r="B2" s="5">
        <v>0.56999999999999995</v>
      </c>
      <c r="C2">
        <f>1+B2/100</f>
        <v>1.0057</v>
      </c>
      <c r="D2">
        <v>1.0057</v>
      </c>
    </row>
    <row r="3" spans="1:4">
      <c r="A3" s="4">
        <v>43586</v>
      </c>
      <c r="B3" s="5">
        <v>0.13</v>
      </c>
      <c r="C3">
        <f t="shared" ref="C3:C66" si="0">1+B3/100</f>
        <v>1.0013000000000001</v>
      </c>
      <c r="D3">
        <f>C3*D2</f>
        <v>1.0070074100000002</v>
      </c>
    </row>
    <row r="4" spans="1:4">
      <c r="A4" s="4">
        <v>43617</v>
      </c>
      <c r="B4" s="5">
        <v>0.01</v>
      </c>
      <c r="C4">
        <f t="shared" si="0"/>
        <v>1.0001</v>
      </c>
      <c r="D4">
        <f t="shared" ref="D4:D67" si="1">C4*D3</f>
        <v>1.007108110741</v>
      </c>
    </row>
    <row r="5" spans="1:4">
      <c r="A5" s="4">
        <v>43647</v>
      </c>
      <c r="B5" s="5">
        <v>0.19</v>
      </c>
      <c r="C5">
        <f t="shared" si="0"/>
        <v>1.0019</v>
      </c>
      <c r="D5">
        <f t="shared" si="1"/>
        <v>1.0090216161514081</v>
      </c>
    </row>
    <row r="6" spans="1:4">
      <c r="A6" s="4">
        <v>43678</v>
      </c>
      <c r="B6" s="5">
        <v>0.11</v>
      </c>
      <c r="C6">
        <f t="shared" si="0"/>
        <v>1.0011000000000001</v>
      </c>
      <c r="D6">
        <f t="shared" si="1"/>
        <v>1.0101315399291748</v>
      </c>
    </row>
    <row r="7" spans="1:4">
      <c r="A7" s="4">
        <v>43709</v>
      </c>
      <c r="B7" s="5">
        <v>-0.04</v>
      </c>
      <c r="C7">
        <f t="shared" si="0"/>
        <v>0.99960000000000004</v>
      </c>
      <c r="D7">
        <f t="shared" si="1"/>
        <v>1.0097274873132032</v>
      </c>
    </row>
    <row r="8" spans="1:4">
      <c r="A8" s="4">
        <v>43739</v>
      </c>
      <c r="B8" s="5">
        <v>0.1</v>
      </c>
      <c r="C8">
        <f t="shared" si="0"/>
        <v>1.0009999999999999</v>
      </c>
      <c r="D8">
        <f t="shared" si="1"/>
        <v>1.0107372148005163</v>
      </c>
    </row>
    <row r="9" spans="1:4">
      <c r="A9" s="4">
        <v>43770</v>
      </c>
      <c r="B9" s="5">
        <v>0.51</v>
      </c>
      <c r="C9">
        <f t="shared" si="0"/>
        <v>1.0051000000000001</v>
      </c>
      <c r="D9">
        <f t="shared" si="1"/>
        <v>1.0158919745959989</v>
      </c>
    </row>
    <row r="10" spans="1:4">
      <c r="A10" s="4">
        <v>43800</v>
      </c>
      <c r="B10" s="5">
        <v>1.1499999999999999</v>
      </c>
      <c r="C10">
        <f t="shared" si="0"/>
        <v>1.0115000000000001</v>
      </c>
      <c r="D10">
        <f t="shared" si="1"/>
        <v>1.0275747323038529</v>
      </c>
    </row>
    <row r="11" spans="1:4">
      <c r="A11" s="4">
        <v>43831</v>
      </c>
      <c r="B11" s="5">
        <v>0.21</v>
      </c>
      <c r="C11">
        <f t="shared" si="0"/>
        <v>1.0021</v>
      </c>
      <c r="D11">
        <f t="shared" si="1"/>
        <v>1.029732639241691</v>
      </c>
    </row>
    <row r="12" spans="1:4">
      <c r="A12" s="4">
        <v>43862</v>
      </c>
      <c r="B12" s="5">
        <v>0.25</v>
      </c>
      <c r="C12">
        <f t="shared" si="0"/>
        <v>1.0024999999999999</v>
      </c>
      <c r="D12">
        <f t="shared" si="1"/>
        <v>1.0323069708397952</v>
      </c>
    </row>
    <row r="13" spans="1:4">
      <c r="A13" s="4">
        <v>43891</v>
      </c>
      <c r="B13" s="5">
        <v>7.0000000000000007E-2</v>
      </c>
      <c r="C13">
        <f t="shared" si="0"/>
        <v>1.0006999999999999</v>
      </c>
      <c r="D13">
        <f t="shared" si="1"/>
        <v>1.033029585719383</v>
      </c>
    </row>
    <row r="14" spans="1:4">
      <c r="A14" s="4">
        <v>43922</v>
      </c>
      <c r="B14" s="5">
        <v>-0.31</v>
      </c>
      <c r="C14">
        <f t="shared" si="0"/>
        <v>0.99690000000000001</v>
      </c>
      <c r="D14">
        <f t="shared" si="1"/>
        <v>1.029827194003653</v>
      </c>
    </row>
    <row r="15" spans="1:4">
      <c r="A15" s="4">
        <v>43952</v>
      </c>
      <c r="B15" s="5">
        <v>-0.38</v>
      </c>
      <c r="C15">
        <f t="shared" si="0"/>
        <v>0.99619999999999997</v>
      </c>
      <c r="D15">
        <f t="shared" si="1"/>
        <v>1.0259138506664391</v>
      </c>
    </row>
    <row r="16" spans="1:4">
      <c r="A16" s="4">
        <v>43983</v>
      </c>
      <c r="B16" s="5">
        <v>0.26</v>
      </c>
      <c r="C16">
        <f t="shared" si="0"/>
        <v>1.0025999999999999</v>
      </c>
      <c r="D16">
        <f t="shared" si="1"/>
        <v>1.0285812266781718</v>
      </c>
    </row>
    <row r="17" spans="1:4">
      <c r="A17" s="4">
        <v>44013</v>
      </c>
      <c r="B17" s="5">
        <v>0.36</v>
      </c>
      <c r="C17">
        <f t="shared" si="0"/>
        <v>1.0036</v>
      </c>
      <c r="D17">
        <f t="shared" si="1"/>
        <v>1.0322841190942131</v>
      </c>
    </row>
    <row r="18" spans="1:4">
      <c r="A18" s="4">
        <v>44044</v>
      </c>
      <c r="B18" s="5">
        <v>0.24</v>
      </c>
      <c r="C18">
        <f t="shared" si="0"/>
        <v>1.0024</v>
      </c>
      <c r="D18">
        <f t="shared" si="1"/>
        <v>1.0347616009800391</v>
      </c>
    </row>
    <row r="19" spans="1:4">
      <c r="A19" s="4">
        <v>44075</v>
      </c>
      <c r="B19" s="5">
        <v>0.64</v>
      </c>
      <c r="C19">
        <f t="shared" si="0"/>
        <v>1.0064</v>
      </c>
      <c r="D19">
        <f t="shared" si="1"/>
        <v>1.0413840752263113</v>
      </c>
    </row>
    <row r="20" spans="1:4">
      <c r="A20" s="4">
        <v>44105</v>
      </c>
      <c r="B20" s="5">
        <v>0.86</v>
      </c>
      <c r="C20">
        <f t="shared" si="0"/>
        <v>1.0085999999999999</v>
      </c>
      <c r="D20">
        <f t="shared" si="1"/>
        <v>1.0503399782732574</v>
      </c>
    </row>
    <row r="21" spans="1:4">
      <c r="A21" s="4">
        <v>44136</v>
      </c>
      <c r="B21" s="5">
        <v>0.89</v>
      </c>
      <c r="C21">
        <f t="shared" si="0"/>
        <v>1.0088999999999999</v>
      </c>
      <c r="D21">
        <f t="shared" si="1"/>
        <v>1.0596880040798893</v>
      </c>
    </row>
    <row r="22" spans="1:4">
      <c r="A22" s="4">
        <v>44166</v>
      </c>
      <c r="B22" s="5">
        <v>1.35</v>
      </c>
      <c r="C22">
        <f t="shared" si="0"/>
        <v>1.0135000000000001</v>
      </c>
      <c r="D22">
        <f t="shared" si="1"/>
        <v>1.0739937921349678</v>
      </c>
    </row>
    <row r="23" spans="1:4">
      <c r="A23" s="4">
        <v>44197</v>
      </c>
      <c r="B23" s="5">
        <v>0.25</v>
      </c>
      <c r="C23">
        <f t="shared" si="0"/>
        <v>1.0024999999999999</v>
      </c>
      <c r="D23">
        <f t="shared" si="1"/>
        <v>1.0766787766153052</v>
      </c>
    </row>
    <row r="24" spans="1:4">
      <c r="A24" s="4">
        <v>44228</v>
      </c>
      <c r="B24" s="5">
        <v>0.86</v>
      </c>
      <c r="C24">
        <f t="shared" si="0"/>
        <v>1.0085999999999999</v>
      </c>
      <c r="D24">
        <f t="shared" si="1"/>
        <v>1.0859382140941967</v>
      </c>
    </row>
    <row r="25" spans="1:4">
      <c r="A25" s="4">
        <v>44256</v>
      </c>
      <c r="B25" s="5">
        <v>0.93</v>
      </c>
      <c r="C25">
        <f t="shared" si="0"/>
        <v>1.0093000000000001</v>
      </c>
      <c r="D25">
        <f t="shared" si="1"/>
        <v>1.0960374394852728</v>
      </c>
    </row>
    <row r="26" spans="1:4">
      <c r="A26" s="4">
        <v>44287</v>
      </c>
      <c r="B26" s="5">
        <v>0.31</v>
      </c>
      <c r="C26">
        <f t="shared" si="0"/>
        <v>1.0031000000000001</v>
      </c>
      <c r="D26">
        <f t="shared" si="1"/>
        <v>1.0994351555476771</v>
      </c>
    </row>
    <row r="27" spans="1:4">
      <c r="A27" s="4">
        <v>44317</v>
      </c>
      <c r="B27" s="5">
        <v>0.83</v>
      </c>
      <c r="C27">
        <f t="shared" si="0"/>
        <v>1.0083</v>
      </c>
      <c r="D27">
        <f t="shared" si="1"/>
        <v>1.1085604673387228</v>
      </c>
    </row>
    <row r="28" spans="1:4">
      <c r="A28" s="4">
        <v>44348</v>
      </c>
      <c r="B28" s="5">
        <v>0.53</v>
      </c>
      <c r="C28">
        <f t="shared" si="0"/>
        <v>1.0053000000000001</v>
      </c>
      <c r="D28">
        <f t="shared" si="1"/>
        <v>1.1144358378156181</v>
      </c>
    </row>
    <row r="29" spans="1:4">
      <c r="A29" s="4">
        <v>44378</v>
      </c>
      <c r="B29" s="5">
        <v>0.96</v>
      </c>
      <c r="C29">
        <f t="shared" si="0"/>
        <v>1.0096000000000001</v>
      </c>
      <c r="D29">
        <f t="shared" si="1"/>
        <v>1.1251344218586481</v>
      </c>
    </row>
    <row r="30" spans="1:4">
      <c r="A30" s="4">
        <v>44409</v>
      </c>
      <c r="B30" s="5">
        <v>0.87</v>
      </c>
      <c r="C30">
        <f t="shared" si="0"/>
        <v>1.0086999999999999</v>
      </c>
      <c r="D30">
        <f t="shared" si="1"/>
        <v>1.1349230913288182</v>
      </c>
    </row>
    <row r="31" spans="1:4">
      <c r="A31" s="4">
        <v>44440</v>
      </c>
      <c r="B31" s="5">
        <v>1.1599999999999999</v>
      </c>
      <c r="C31">
        <f t="shared" si="0"/>
        <v>1.0116000000000001</v>
      </c>
      <c r="D31">
        <f t="shared" si="1"/>
        <v>1.1480881991882326</v>
      </c>
    </row>
    <row r="32" spans="1:4">
      <c r="A32" s="4">
        <v>44470</v>
      </c>
      <c r="B32" s="5">
        <v>1.25</v>
      </c>
      <c r="C32">
        <f t="shared" si="0"/>
        <v>1.0125</v>
      </c>
      <c r="D32">
        <f t="shared" si="1"/>
        <v>1.1624393016780854</v>
      </c>
    </row>
    <row r="33" spans="1:4">
      <c r="A33" s="4">
        <v>44501</v>
      </c>
      <c r="B33" s="5">
        <v>0.95</v>
      </c>
      <c r="C33">
        <f t="shared" si="0"/>
        <v>1.0095000000000001</v>
      </c>
      <c r="D33">
        <f t="shared" si="1"/>
        <v>1.1734824750440274</v>
      </c>
    </row>
    <row r="34" spans="1:4">
      <c r="A34" s="4">
        <v>44531</v>
      </c>
      <c r="B34" s="5">
        <v>0.73</v>
      </c>
      <c r="C34">
        <f t="shared" si="0"/>
        <v>1.0073000000000001</v>
      </c>
      <c r="D34">
        <f t="shared" si="1"/>
        <v>1.1820488971118488</v>
      </c>
    </row>
    <row r="35" spans="1:4">
      <c r="A35" s="4">
        <v>44562</v>
      </c>
      <c r="B35" s="5">
        <v>0.54</v>
      </c>
      <c r="C35">
        <f t="shared" si="0"/>
        <v>1.0054000000000001</v>
      </c>
      <c r="D35">
        <f t="shared" si="1"/>
        <v>1.1884319611562528</v>
      </c>
    </row>
    <row r="36" spans="1:4">
      <c r="A36" s="4">
        <v>44593</v>
      </c>
      <c r="B36" s="5">
        <v>1.01</v>
      </c>
      <c r="C36">
        <f t="shared" si="0"/>
        <v>1.0101</v>
      </c>
      <c r="D36">
        <f t="shared" si="1"/>
        <v>1.200435123963931</v>
      </c>
    </row>
    <row r="37" spans="1:4">
      <c r="A37" s="4">
        <v>44621</v>
      </c>
      <c r="B37" s="5">
        <v>1.62</v>
      </c>
      <c r="C37">
        <f t="shared" si="0"/>
        <v>1.0162</v>
      </c>
      <c r="D37">
        <f t="shared" si="1"/>
        <v>1.2198821729721467</v>
      </c>
    </row>
    <row r="38" spans="1:4">
      <c r="A38" s="4">
        <v>44652</v>
      </c>
      <c r="B38" s="5">
        <v>1.06</v>
      </c>
      <c r="C38">
        <f t="shared" si="0"/>
        <v>1.0105999999999999</v>
      </c>
      <c r="D38">
        <f t="shared" si="1"/>
        <v>1.2328129240056513</v>
      </c>
    </row>
    <row r="39" spans="1:4">
      <c r="A39" s="4">
        <v>44682</v>
      </c>
      <c r="B39" s="5">
        <v>0.47</v>
      </c>
      <c r="C39">
        <f t="shared" si="0"/>
        <v>1.0046999999999999</v>
      </c>
      <c r="D39">
        <f t="shared" si="1"/>
        <v>1.2386071447484779</v>
      </c>
    </row>
    <row r="40" spans="1:4">
      <c r="A40" s="4">
        <v>44713</v>
      </c>
      <c r="B40" s="5">
        <v>0.67</v>
      </c>
      <c r="C40">
        <f t="shared" si="0"/>
        <v>1.0066999999999999</v>
      </c>
      <c r="D40">
        <f t="shared" si="1"/>
        <v>1.2469058126182926</v>
      </c>
    </row>
    <row r="41" spans="1:4">
      <c r="A41" s="4">
        <v>44743</v>
      </c>
      <c r="B41" s="5">
        <v>-0.68</v>
      </c>
      <c r="C41">
        <f t="shared" si="0"/>
        <v>0.99319999999999997</v>
      </c>
      <c r="D41">
        <f t="shared" si="1"/>
        <v>1.2384268530924882</v>
      </c>
    </row>
    <row r="42" spans="1:4">
      <c r="A42" s="4">
        <v>44774</v>
      </c>
      <c r="B42" s="5">
        <v>-0.36</v>
      </c>
      <c r="C42">
        <f t="shared" si="0"/>
        <v>0.99639999999999995</v>
      </c>
      <c r="D42">
        <f t="shared" si="1"/>
        <v>1.2339685164213552</v>
      </c>
    </row>
    <row r="43" spans="1:4">
      <c r="A43" s="4">
        <v>44805</v>
      </c>
      <c r="B43" s="5">
        <v>-0.28999999999999998</v>
      </c>
      <c r="C43">
        <f t="shared" si="0"/>
        <v>0.99709999999999999</v>
      </c>
      <c r="D43">
        <f t="shared" si="1"/>
        <v>1.2303900077237333</v>
      </c>
    </row>
    <row r="44" spans="1:4">
      <c r="A44" s="4">
        <v>44835</v>
      </c>
      <c r="B44">
        <v>0.33</v>
      </c>
      <c r="C44">
        <f t="shared" si="0"/>
        <v>1.0033000000000001</v>
      </c>
      <c r="D44">
        <f t="shared" si="1"/>
        <v>1.2344502947492217</v>
      </c>
    </row>
    <row r="45" spans="1:4">
      <c r="A45" s="4">
        <v>44866</v>
      </c>
      <c r="B45">
        <v>0.94638500140897963</v>
      </c>
      <c r="C45">
        <f t="shared" si="0"/>
        <v>1.0094638500140898</v>
      </c>
      <c r="D45">
        <f t="shared" si="1"/>
        <v>1.2461329471885774</v>
      </c>
    </row>
    <row r="46" spans="1:4">
      <c r="A46" s="4">
        <v>44896</v>
      </c>
      <c r="B46">
        <v>1.9531775560993834</v>
      </c>
      <c r="C46">
        <f t="shared" si="0"/>
        <v>1.0195317755609938</v>
      </c>
      <c r="D46">
        <f t="shared" si="1"/>
        <v>1.2704721362322244</v>
      </c>
    </row>
    <row r="47" spans="1:4">
      <c r="A47" s="4">
        <v>44927</v>
      </c>
      <c r="B47">
        <v>0.84570574593993919</v>
      </c>
      <c r="C47">
        <f t="shared" si="0"/>
        <v>1.0084570574593994</v>
      </c>
      <c r="D47">
        <f t="shared" si="1"/>
        <v>1.2812165920889063</v>
      </c>
    </row>
    <row r="48" spans="1:4">
      <c r="A48" s="4">
        <v>44958</v>
      </c>
      <c r="B48">
        <v>0.66448308609566664</v>
      </c>
      <c r="C48">
        <f t="shared" si="0"/>
        <v>1.0066448308609566</v>
      </c>
      <c r="D48">
        <f t="shared" si="1"/>
        <v>1.2897300596395882</v>
      </c>
    </row>
    <row r="49" spans="1:4">
      <c r="A49" s="4">
        <v>44986</v>
      </c>
      <c r="B49">
        <v>1.006792554690404</v>
      </c>
      <c r="C49">
        <f t="shared" si="0"/>
        <v>1.0100679255469041</v>
      </c>
      <c r="D49">
        <f t="shared" si="1"/>
        <v>1.3027149658556436</v>
      </c>
    </row>
    <row r="50" spans="1:4">
      <c r="A50" s="4">
        <v>45017</v>
      </c>
      <c r="B50">
        <v>1.1276076612532524</v>
      </c>
      <c r="C50">
        <f t="shared" si="0"/>
        <v>1.0112760766125326</v>
      </c>
      <c r="D50">
        <f t="shared" si="1"/>
        <v>1.3174044796149247</v>
      </c>
    </row>
    <row r="51" spans="1:4">
      <c r="A51" s="4">
        <v>45047</v>
      </c>
      <c r="B51">
        <v>0.41494999999999999</v>
      </c>
      <c r="C51">
        <f t="shared" si="0"/>
        <v>1.0041495</v>
      </c>
      <c r="D51">
        <f t="shared" si="1"/>
        <v>1.3228710495030869</v>
      </c>
    </row>
    <row r="52" spans="1:4">
      <c r="A52" s="4">
        <v>45078</v>
      </c>
      <c r="B52">
        <v>0.38303300000000001</v>
      </c>
      <c r="C52">
        <f t="shared" si="0"/>
        <v>1.00383033</v>
      </c>
      <c r="D52">
        <f t="shared" si="1"/>
        <v>1.3279380821701301</v>
      </c>
    </row>
    <row r="53" spans="1:4">
      <c r="A53" s="4">
        <v>45108</v>
      </c>
      <c r="B53">
        <v>0.35111999999999999</v>
      </c>
      <c r="C53">
        <f t="shared" si="0"/>
        <v>1.0035111999999999</v>
      </c>
      <c r="D53">
        <f t="shared" si="1"/>
        <v>1.3326007383642458</v>
      </c>
    </row>
    <row r="54" spans="1:4">
      <c r="A54" s="4">
        <v>45139</v>
      </c>
      <c r="B54">
        <v>0.17555687203791467</v>
      </c>
      <c r="C54">
        <f t="shared" si="0"/>
        <v>1.0017555687203792</v>
      </c>
      <c r="D54">
        <f t="shared" si="1"/>
        <v>1.3349402105372723</v>
      </c>
    </row>
    <row r="55" spans="1:4">
      <c r="A55" s="4">
        <v>45170</v>
      </c>
      <c r="B55">
        <v>9.5758293838862543E-2</v>
      </c>
      <c r="C55">
        <f t="shared" si="0"/>
        <v>1.0009575829383885</v>
      </c>
      <c r="D55">
        <f t="shared" si="1"/>
        <v>1.3362185265066515</v>
      </c>
    </row>
    <row r="56" spans="1:4">
      <c r="A56" s="4">
        <v>45200</v>
      </c>
      <c r="B56">
        <v>0.12767772511848341</v>
      </c>
      <c r="C56">
        <f t="shared" si="0"/>
        <v>1.0012767772511848</v>
      </c>
      <c r="D56">
        <f t="shared" si="1"/>
        <v>1.3379245799239068</v>
      </c>
    </row>
    <row r="57" spans="1:4">
      <c r="A57" s="4">
        <v>45231</v>
      </c>
      <c r="B57">
        <v>0.66754478672985762</v>
      </c>
      <c r="C57">
        <f t="shared" si="0"/>
        <v>1.0066754478672986</v>
      </c>
      <c r="D57">
        <f t="shared" si="1"/>
        <v>1.3468558257075662</v>
      </c>
    </row>
    <row r="58" spans="1:4">
      <c r="A58" s="4">
        <v>45261</v>
      </c>
      <c r="B58">
        <v>1.3776988151658764</v>
      </c>
      <c r="C58">
        <f t="shared" si="0"/>
        <v>1.0137769881516587</v>
      </c>
      <c r="D58">
        <f t="shared" si="1"/>
        <v>1.3654114424603319</v>
      </c>
    </row>
    <row r="59" spans="1:4">
      <c r="A59" s="4">
        <v>45292</v>
      </c>
      <c r="B59">
        <v>0.59652938388625576</v>
      </c>
      <c r="C59">
        <f t="shared" si="0"/>
        <v>1.0059652938388626</v>
      </c>
      <c r="D59">
        <f t="shared" si="1"/>
        <v>1.3735565229255529</v>
      </c>
    </row>
    <row r="60" spans="1:4">
      <c r="A60" s="4">
        <v>45323</v>
      </c>
      <c r="B60">
        <v>0.46870165876777242</v>
      </c>
      <c r="C60">
        <f t="shared" si="0"/>
        <v>1.0046870165876778</v>
      </c>
      <c r="D60">
        <f t="shared" si="1"/>
        <v>1.3799944051326178</v>
      </c>
    </row>
    <row r="61" spans="1:4">
      <c r="A61" s="4">
        <v>45352</v>
      </c>
      <c r="B61">
        <v>0.71015402843601882</v>
      </c>
      <c r="C61">
        <f t="shared" si="0"/>
        <v>1.0071015402843602</v>
      </c>
      <c r="D61">
        <f t="shared" si="1"/>
        <v>1.3897944909928588</v>
      </c>
    </row>
    <row r="62" spans="1:4">
      <c r="A62" s="4">
        <v>45383</v>
      </c>
      <c r="B62">
        <v>0.79537251184834112</v>
      </c>
      <c r="C62">
        <f t="shared" si="0"/>
        <v>1.0079537251184834</v>
      </c>
      <c r="D62">
        <f t="shared" si="1"/>
        <v>1.4008485343453985</v>
      </c>
    </row>
    <row r="63" spans="1:4">
      <c r="A63" s="4">
        <v>45413</v>
      </c>
      <c r="B63">
        <v>0.3692800947867298</v>
      </c>
      <c r="C63">
        <f t="shared" si="0"/>
        <v>1.0036928009478674</v>
      </c>
      <c r="D63">
        <f t="shared" si="1"/>
        <v>1.4060215891408478</v>
      </c>
    </row>
    <row r="64" spans="1:4">
      <c r="A64" s="4">
        <v>45444</v>
      </c>
      <c r="B64">
        <v>0.34087393364928903</v>
      </c>
      <c r="C64">
        <f t="shared" si="0"/>
        <v>1.003408739336493</v>
      </c>
      <c r="D64">
        <f t="shared" si="1"/>
        <v>1.4108143502397106</v>
      </c>
    </row>
    <row r="65" spans="1:4">
      <c r="A65" s="4">
        <v>45474</v>
      </c>
      <c r="B65">
        <v>0.31246777251184826</v>
      </c>
      <c r="C65">
        <f t="shared" si="0"/>
        <v>1.0031246777251184</v>
      </c>
      <c r="D65">
        <f t="shared" si="1"/>
        <v>1.415222690414182</v>
      </c>
    </row>
    <row r="66" spans="1:4">
      <c r="A66" s="4">
        <v>45505</v>
      </c>
      <c r="B66">
        <v>0.15623388625592413</v>
      </c>
      <c r="C66">
        <f t="shared" si="0"/>
        <v>1.0015623388625592</v>
      </c>
      <c r="D66">
        <f t="shared" si="1"/>
        <v>1.4174337478225916</v>
      </c>
    </row>
    <row r="67" spans="1:4">
      <c r="A67" s="4">
        <v>45536</v>
      </c>
      <c r="B67">
        <v>8.5218483412322257E-2</v>
      </c>
      <c r="C67">
        <f t="shared" ref="C67:C130" si="2">1+B67/100</f>
        <v>1.0008521848341232</v>
      </c>
      <c r="D67">
        <f t="shared" si="1"/>
        <v>1.4186416633658603</v>
      </c>
    </row>
    <row r="68" spans="1:4">
      <c r="A68" s="4">
        <v>45566</v>
      </c>
      <c r="B68">
        <v>0.11362464454976301</v>
      </c>
      <c r="C68">
        <f t="shared" si="2"/>
        <v>1.0011362464454976</v>
      </c>
      <c r="D68">
        <f t="shared" ref="D68:D131" si="3">C68*D67</f>
        <v>1.4202535899132944</v>
      </c>
    </row>
    <row r="69" spans="1:4">
      <c r="A69" s="4">
        <v>45597</v>
      </c>
      <c r="B69">
        <v>0.64748625592417042</v>
      </c>
      <c r="C69">
        <f t="shared" si="2"/>
        <v>1.0064748625592417</v>
      </c>
      <c r="D69">
        <f t="shared" si="3"/>
        <v>1.4294495367072526</v>
      </c>
    </row>
    <row r="70" spans="1:4">
      <c r="A70" s="4">
        <v>45627</v>
      </c>
      <c r="B70">
        <v>1.3363014218009477</v>
      </c>
      <c r="C70">
        <f t="shared" si="2"/>
        <v>1.0133630142180095</v>
      </c>
      <c r="D70">
        <f t="shared" si="3"/>
        <v>1.4485512911901985</v>
      </c>
    </row>
    <row r="71" spans="1:4">
      <c r="A71" s="4">
        <v>45658</v>
      </c>
      <c r="B71">
        <v>0.57860473933649281</v>
      </c>
      <c r="C71">
        <f t="shared" si="2"/>
        <v>1.0057860473933649</v>
      </c>
      <c r="D71">
        <f t="shared" si="3"/>
        <v>1.4569326776127449</v>
      </c>
    </row>
    <row r="72" spans="1:4">
      <c r="A72" s="4">
        <v>45689</v>
      </c>
      <c r="B72">
        <v>0.45461800947867292</v>
      </c>
      <c r="C72">
        <f t="shared" si="2"/>
        <v>1.0045461800947868</v>
      </c>
      <c r="D72">
        <f t="shared" si="3"/>
        <v>1.4635561559511525</v>
      </c>
    </row>
    <row r="73" spans="1:4">
      <c r="A73" s="4">
        <v>45717</v>
      </c>
      <c r="B73">
        <v>0.68881516587677716</v>
      </c>
      <c r="C73">
        <f t="shared" si="2"/>
        <v>1.0068881516587678</v>
      </c>
      <c r="D73">
        <f t="shared" si="3"/>
        <v>1.4736373527144673</v>
      </c>
    </row>
    <row r="74" spans="1:4">
      <c r="A74" s="4">
        <v>45748</v>
      </c>
      <c r="B74">
        <v>0.77147298578199042</v>
      </c>
      <c r="C74">
        <f t="shared" si="2"/>
        <v>1.00771472985782</v>
      </c>
      <c r="D74">
        <f t="shared" si="3"/>
        <v>1.4850060667990523</v>
      </c>
    </row>
    <row r="75" spans="1:4">
      <c r="A75" s="4">
        <v>45778</v>
      </c>
      <c r="B75">
        <v>0.35818388625592412</v>
      </c>
      <c r="C75">
        <f t="shared" si="2"/>
        <v>1.0035818388625593</v>
      </c>
      <c r="D75">
        <f t="shared" si="3"/>
        <v>1.4903251192402494</v>
      </c>
    </row>
    <row r="76" spans="1:4">
      <c r="A76" s="4">
        <v>45809</v>
      </c>
      <c r="B76">
        <v>0.33063127962085304</v>
      </c>
      <c r="C76">
        <f t="shared" si="2"/>
        <v>1.0033063127962085</v>
      </c>
      <c r="D76">
        <f t="shared" si="3"/>
        <v>1.4952526002525044</v>
      </c>
    </row>
    <row r="77" spans="1:4">
      <c r="A77" s="4">
        <v>45839</v>
      </c>
      <c r="B77">
        <v>0.30307867298578195</v>
      </c>
      <c r="C77">
        <f t="shared" si="2"/>
        <v>1.0030307867298578</v>
      </c>
      <c r="D77">
        <f t="shared" si="3"/>
        <v>1.4997843919911351</v>
      </c>
    </row>
    <row r="78" spans="1:4">
      <c r="A78" s="4">
        <v>45870</v>
      </c>
      <c r="B78">
        <v>0.15153933649289097</v>
      </c>
      <c r="C78">
        <f t="shared" si="2"/>
        <v>1.001515393364929</v>
      </c>
      <c r="D78">
        <f t="shared" si="3"/>
        <v>1.5020571553075825</v>
      </c>
    </row>
    <row r="79" spans="1:4">
      <c r="A79" s="4">
        <v>45901</v>
      </c>
      <c r="B79">
        <v>8.2657819905213259E-2</v>
      </c>
      <c r="C79">
        <f t="shared" si="2"/>
        <v>1.0008265781990522</v>
      </c>
      <c r="D79">
        <f t="shared" si="3"/>
        <v>1.5032987230058901</v>
      </c>
    </row>
    <row r="80" spans="1:4">
      <c r="A80" s="4">
        <v>45931</v>
      </c>
      <c r="B80">
        <v>0.11021042654028435</v>
      </c>
      <c r="C80">
        <f t="shared" si="2"/>
        <v>1.0011021042654029</v>
      </c>
      <c r="D80">
        <f t="shared" si="3"/>
        <v>1.5049555149406897</v>
      </c>
    </row>
    <row r="81" spans="1:4">
      <c r="A81" s="4">
        <v>45962</v>
      </c>
      <c r="B81">
        <v>0.64681800947867285</v>
      </c>
      <c r="C81">
        <f t="shared" si="2"/>
        <v>1.0064681800947868</v>
      </c>
      <c r="D81">
        <f t="shared" si="3"/>
        <v>1.5146898382459686</v>
      </c>
    </row>
    <row r="82" spans="1:4">
      <c r="A82" s="4">
        <v>45992</v>
      </c>
      <c r="B82">
        <v>1.3349222748815164</v>
      </c>
      <c r="C82">
        <f t="shared" si="2"/>
        <v>1.0133492227488152</v>
      </c>
      <c r="D82">
        <f t="shared" si="3"/>
        <v>1.5349097702920809</v>
      </c>
    </row>
    <row r="83" spans="1:4">
      <c r="A83" s="4">
        <v>46023</v>
      </c>
      <c r="B83">
        <v>0.5780075829383885</v>
      </c>
      <c r="C83">
        <f t="shared" si="2"/>
        <v>1.0057800758293838</v>
      </c>
      <c r="D83">
        <f t="shared" si="3"/>
        <v>1.5437816651556311</v>
      </c>
    </row>
    <row r="84" spans="1:4">
      <c r="A84" s="4">
        <v>46054</v>
      </c>
      <c r="B84">
        <v>0.45414881516587668</v>
      </c>
      <c r="C84">
        <f t="shared" si="2"/>
        <v>1.0045414881516588</v>
      </c>
      <c r="D84">
        <f t="shared" si="3"/>
        <v>1.5507927312966834</v>
      </c>
    </row>
    <row r="85" spans="1:4">
      <c r="A85" s="4">
        <v>46082</v>
      </c>
      <c r="B85">
        <v>0.68810426540284353</v>
      </c>
      <c r="C85">
        <f t="shared" si="2"/>
        <v>1.0068810426540284</v>
      </c>
      <c r="D85">
        <f t="shared" si="3"/>
        <v>1.5614638022282932</v>
      </c>
    </row>
    <row r="86" spans="1:4">
      <c r="A86" s="4">
        <v>46113</v>
      </c>
      <c r="B86">
        <v>0.77067677725118466</v>
      </c>
      <c r="C86">
        <f t="shared" si="2"/>
        <v>1.0077067677725118</v>
      </c>
      <c r="D86">
        <f t="shared" si="3"/>
        <v>1.5734976411372499</v>
      </c>
    </row>
    <row r="87" spans="1:4">
      <c r="A87" s="4">
        <v>46143</v>
      </c>
      <c r="B87">
        <v>0.3578142180094786</v>
      </c>
      <c r="C87">
        <f t="shared" si="2"/>
        <v>1.0035781421800949</v>
      </c>
      <c r="D87">
        <f t="shared" si="3"/>
        <v>1.579127839417283</v>
      </c>
    </row>
    <row r="88" spans="1:4">
      <c r="A88" s="4">
        <v>46174</v>
      </c>
      <c r="B88">
        <v>0.33029004739336487</v>
      </c>
      <c r="C88">
        <f t="shared" si="2"/>
        <v>1.0033029004739336</v>
      </c>
      <c r="D88">
        <f t="shared" si="3"/>
        <v>1.5843435415064959</v>
      </c>
    </row>
    <row r="89" spans="1:4">
      <c r="A89" s="4">
        <v>46204</v>
      </c>
      <c r="B89">
        <v>0.30276587677725114</v>
      </c>
      <c r="C89">
        <f t="shared" si="2"/>
        <v>1.0030276587677724</v>
      </c>
      <c r="D89">
        <f t="shared" si="3"/>
        <v>1.5891403931211017</v>
      </c>
    </row>
    <row r="90" spans="1:4">
      <c r="A90" s="4">
        <v>46235</v>
      </c>
      <c r="B90">
        <v>0.15138293838862557</v>
      </c>
      <c r="C90">
        <f t="shared" si="2"/>
        <v>1.0015138293838863</v>
      </c>
      <c r="D90">
        <f t="shared" si="3"/>
        <v>1.591546080543329</v>
      </c>
    </row>
    <row r="91" spans="1:4">
      <c r="A91" s="4">
        <v>46266</v>
      </c>
      <c r="B91">
        <v>8.2572511848341218E-2</v>
      </c>
      <c r="C91">
        <f t="shared" si="2"/>
        <v>1.0008257251184833</v>
      </c>
      <c r="D91">
        <f t="shared" si="3"/>
        <v>1.5928602601192574</v>
      </c>
    </row>
    <row r="92" spans="1:4">
      <c r="A92" s="4">
        <v>46296</v>
      </c>
      <c r="B92">
        <v>0.11009668246445496</v>
      </c>
      <c r="C92">
        <f t="shared" si="2"/>
        <v>1.0011009668246444</v>
      </c>
      <c r="D92">
        <f t="shared" si="3"/>
        <v>1.5946139464219433</v>
      </c>
    </row>
    <row r="93" spans="1:4">
      <c r="A93" s="4">
        <v>46327</v>
      </c>
      <c r="B93">
        <v>0.65048222748815143</v>
      </c>
      <c r="C93">
        <f t="shared" si="2"/>
        <v>1.0065048222748816</v>
      </c>
      <c r="D93">
        <f t="shared" si="3"/>
        <v>1.6049866267404655</v>
      </c>
    </row>
    <row r="94" spans="1:4">
      <c r="A94" s="4">
        <v>46357</v>
      </c>
      <c r="B94">
        <v>1.3424845971563977</v>
      </c>
      <c r="C94">
        <f t="shared" si="2"/>
        <v>1.013424845971564</v>
      </c>
      <c r="D94">
        <f t="shared" si="3"/>
        <v>1.6265333249908764</v>
      </c>
    </row>
    <row r="95" spans="1:4">
      <c r="A95" s="4">
        <v>46388</v>
      </c>
      <c r="B95">
        <v>0.5812819905213269</v>
      </c>
      <c r="C95">
        <f t="shared" si="2"/>
        <v>1.0058128199052132</v>
      </c>
      <c r="D95">
        <f t="shared" si="3"/>
        <v>1.635988070278876</v>
      </c>
    </row>
    <row r="96" spans="1:4">
      <c r="A96" s="4">
        <v>46419</v>
      </c>
      <c r="B96">
        <v>0.45672156398104258</v>
      </c>
      <c r="C96">
        <f t="shared" si="2"/>
        <v>1.0045672156398104</v>
      </c>
      <c r="D96">
        <f t="shared" si="3"/>
        <v>1.643459980579997</v>
      </c>
    </row>
    <row r="97" spans="1:4">
      <c r="A97" s="4">
        <v>46447</v>
      </c>
      <c r="B97">
        <v>0.69200236966824635</v>
      </c>
      <c r="C97">
        <f t="shared" si="2"/>
        <v>1.0069200236966824</v>
      </c>
      <c r="D97">
        <f t="shared" si="3"/>
        <v>1.6548327625901598</v>
      </c>
    </row>
    <row r="98" spans="1:4">
      <c r="A98" s="4">
        <v>46478</v>
      </c>
      <c r="B98">
        <v>0.77504265402843586</v>
      </c>
      <c r="C98">
        <f t="shared" si="2"/>
        <v>1.0077504265402843</v>
      </c>
      <c r="D98">
        <f t="shared" si="3"/>
        <v>1.6676584223530706</v>
      </c>
    </row>
    <row r="99" spans="1:4">
      <c r="A99" s="4">
        <v>46508</v>
      </c>
      <c r="B99">
        <v>0.35984123222748809</v>
      </c>
      <c r="C99">
        <f t="shared" si="2"/>
        <v>1.003598412322275</v>
      </c>
      <c r="D99">
        <f t="shared" si="3"/>
        <v>1.6736593449694115</v>
      </c>
    </row>
    <row r="100" spans="1:4">
      <c r="A100" s="4">
        <v>46539</v>
      </c>
      <c r="B100">
        <v>0.3321611374407582</v>
      </c>
      <c r="C100">
        <f t="shared" si="2"/>
        <v>1.0033216113744077</v>
      </c>
      <c r="D100">
        <f t="shared" si="3"/>
        <v>1.6792185908865456</v>
      </c>
    </row>
    <row r="101" spans="1:4">
      <c r="A101" s="4">
        <v>46569</v>
      </c>
      <c r="B101">
        <v>0.30448104265402837</v>
      </c>
      <c r="C101">
        <f t="shared" si="2"/>
        <v>1.0030448104265404</v>
      </c>
      <c r="D101">
        <f t="shared" si="3"/>
        <v>1.6843314931605173</v>
      </c>
    </row>
    <row r="102" spans="1:4">
      <c r="A102" s="4">
        <v>46600</v>
      </c>
      <c r="B102">
        <v>0.15224052132701418</v>
      </c>
      <c r="C102">
        <f t="shared" si="2"/>
        <v>1.0015224052132701</v>
      </c>
      <c r="D102">
        <f t="shared" si="3"/>
        <v>1.68689572820658</v>
      </c>
    </row>
    <row r="103" spans="1:4">
      <c r="A103" s="4">
        <v>46631</v>
      </c>
      <c r="B103">
        <v>8.3040284360189551E-2</v>
      </c>
      <c r="C103">
        <f t="shared" si="2"/>
        <v>1.0008304028436019</v>
      </c>
      <c r="D103">
        <f t="shared" si="3"/>
        <v>1.6882965312161426</v>
      </c>
    </row>
    <row r="104" spans="1:4">
      <c r="A104" s="4">
        <v>46661</v>
      </c>
      <c r="B104">
        <v>0.11072037914691941</v>
      </c>
      <c r="C104">
        <f t="shared" si="2"/>
        <v>1.0011072037914692</v>
      </c>
      <c r="D104">
        <f t="shared" si="3"/>
        <v>1.6901658195366296</v>
      </c>
    </row>
    <row r="105" spans="1:4">
      <c r="A105" s="4">
        <v>46692</v>
      </c>
      <c r="B105">
        <v>0.65446943127962065</v>
      </c>
      <c r="C105">
        <f t="shared" si="2"/>
        <v>1.0065446943127963</v>
      </c>
      <c r="D105">
        <f t="shared" si="3"/>
        <v>1.7012274381634336</v>
      </c>
    </row>
    <row r="106" spans="1:4">
      <c r="A106" s="4">
        <v>46722</v>
      </c>
      <c r="B106">
        <v>1.3507135071090044</v>
      </c>
      <c r="C106">
        <f t="shared" si="2"/>
        <v>1.01350713507109</v>
      </c>
      <c r="D106">
        <f t="shared" si="3"/>
        <v>1.7242061469573515</v>
      </c>
    </row>
    <row r="107" spans="1:4">
      <c r="A107" s="4">
        <v>46753</v>
      </c>
      <c r="B107">
        <v>0.58484502369668234</v>
      </c>
      <c r="C107">
        <f t="shared" si="2"/>
        <v>1.0058484502369669</v>
      </c>
      <c r="D107">
        <f t="shared" si="3"/>
        <v>1.7342900808061039</v>
      </c>
    </row>
    <row r="108" spans="1:4">
      <c r="A108" s="4">
        <v>46784</v>
      </c>
      <c r="B108">
        <v>0.45952109004739328</v>
      </c>
      <c r="C108">
        <f t="shared" si="2"/>
        <v>1.0045952109004739</v>
      </c>
      <c r="D108">
        <f t="shared" si="3"/>
        <v>1.7422595094900077</v>
      </c>
    </row>
    <row r="109" spans="1:4">
      <c r="A109" s="4">
        <v>46813</v>
      </c>
      <c r="B109">
        <v>0.69624407582938375</v>
      </c>
      <c r="C109">
        <f t="shared" si="2"/>
        <v>1.0069624407582938</v>
      </c>
      <c r="D109">
        <f t="shared" si="3"/>
        <v>1.7543898881104059</v>
      </c>
    </row>
    <row r="110" spans="1:4">
      <c r="A110" s="4">
        <v>46844</v>
      </c>
      <c r="B110">
        <v>0.77979336492890983</v>
      </c>
      <c r="C110">
        <f t="shared" si="2"/>
        <v>1.007797933649289</v>
      </c>
      <c r="D110">
        <f t="shared" si="3"/>
        <v>1.7680705040528744</v>
      </c>
    </row>
    <row r="111" spans="1:4">
      <c r="A111" s="4">
        <v>46874</v>
      </c>
      <c r="B111">
        <v>0.36204691943127953</v>
      </c>
      <c r="C111">
        <f t="shared" si="2"/>
        <v>1.0036204691943127</v>
      </c>
      <c r="D111">
        <f t="shared" si="3"/>
        <v>1.7744717488461708</v>
      </c>
    </row>
    <row r="112" spans="1:4">
      <c r="A112" s="4">
        <v>46905</v>
      </c>
      <c r="B112">
        <v>0.33419715639810421</v>
      </c>
      <c r="C112">
        <f t="shared" si="2"/>
        <v>1.0033419715639811</v>
      </c>
      <c r="D112">
        <f t="shared" si="3"/>
        <v>1.7804019829719024</v>
      </c>
    </row>
    <row r="113" spans="1:4">
      <c r="A113" s="4">
        <v>46935</v>
      </c>
      <c r="B113">
        <v>0.30634739336492883</v>
      </c>
      <c r="C113">
        <f t="shared" si="2"/>
        <v>1.0030634739336493</v>
      </c>
      <c r="D113">
        <f t="shared" si="3"/>
        <v>1.7858561980381542</v>
      </c>
    </row>
    <row r="114" spans="1:4">
      <c r="A114" s="4">
        <v>46966</v>
      </c>
      <c r="B114">
        <v>0.15317369668246442</v>
      </c>
      <c r="C114">
        <f t="shared" si="2"/>
        <v>1.0015317369668246</v>
      </c>
      <c r="D114">
        <f t="shared" si="3"/>
        <v>1.7885916599941221</v>
      </c>
    </row>
    <row r="115" spans="1:4">
      <c r="A115" s="4">
        <v>46997</v>
      </c>
      <c r="B115">
        <v>8.3549289099526053E-2</v>
      </c>
      <c r="C115">
        <f t="shared" si="2"/>
        <v>1.0008354928909953</v>
      </c>
      <c r="D115">
        <f t="shared" si="3"/>
        <v>1.7900860156109406</v>
      </c>
    </row>
    <row r="116" spans="1:4">
      <c r="A116" s="4">
        <v>47027</v>
      </c>
      <c r="B116">
        <v>0.1113990521327014</v>
      </c>
      <c r="C116">
        <f t="shared" si="2"/>
        <v>1.0011139905213271</v>
      </c>
      <c r="D116">
        <f t="shared" si="3"/>
        <v>1.7920801544646914</v>
      </c>
    </row>
    <row r="117" spans="1:4">
      <c r="A117" s="4">
        <v>47058</v>
      </c>
      <c r="B117">
        <v>0.65791090047393341</v>
      </c>
      <c r="C117">
        <f t="shared" si="2"/>
        <v>1.0065791090047393</v>
      </c>
      <c r="D117">
        <f t="shared" si="3"/>
        <v>1.8038704451461447</v>
      </c>
    </row>
    <row r="118" spans="1:4">
      <c r="A118" s="4">
        <v>47088</v>
      </c>
      <c r="B118">
        <v>1.3578161137440754</v>
      </c>
      <c r="C118">
        <f t="shared" si="2"/>
        <v>1.0135781611374408</v>
      </c>
      <c r="D118">
        <f t="shared" si="3"/>
        <v>1.8283636887214061</v>
      </c>
    </row>
    <row r="119" spans="1:4">
      <c r="A119" s="4">
        <v>47119</v>
      </c>
      <c r="B119">
        <v>0.5879203791469193</v>
      </c>
      <c r="C119">
        <f t="shared" si="2"/>
        <v>1.0058792037914692</v>
      </c>
      <c r="D119">
        <f t="shared" si="3"/>
        <v>1.8391130114523215</v>
      </c>
    </row>
    <row r="120" spans="1:4">
      <c r="A120" s="4">
        <v>47150</v>
      </c>
      <c r="B120">
        <v>0.46193744075829374</v>
      </c>
      <c r="C120">
        <f t="shared" si="2"/>
        <v>1.0046193744075829</v>
      </c>
      <c r="D120">
        <f t="shared" si="3"/>
        <v>1.8476085630300771</v>
      </c>
    </row>
    <row r="121" spans="1:4">
      <c r="A121" s="4">
        <v>47178</v>
      </c>
      <c r="B121">
        <v>0.6999052132701421</v>
      </c>
      <c r="C121">
        <f t="shared" si="2"/>
        <v>1.0069990521327015</v>
      </c>
      <c r="D121">
        <f t="shared" si="3"/>
        <v>1.8605400716835503</v>
      </c>
    </row>
    <row r="122" spans="1:4">
      <c r="A122" s="4">
        <v>47209</v>
      </c>
      <c r="B122">
        <v>0.78389383886255903</v>
      </c>
      <c r="C122">
        <f t="shared" si="2"/>
        <v>1.0078389383886255</v>
      </c>
      <c r="D122">
        <f t="shared" si="3"/>
        <v>1.8751247306750465</v>
      </c>
    </row>
    <row r="123" spans="1:4">
      <c r="A123" s="4">
        <v>47239</v>
      </c>
      <c r="B123">
        <v>0.36395071090047387</v>
      </c>
      <c r="C123">
        <f t="shared" si="2"/>
        <v>1.0036395071090047</v>
      </c>
      <c r="D123">
        <f t="shared" si="3"/>
        <v>1.8819492604626089</v>
      </c>
    </row>
    <row r="124" spans="1:4">
      <c r="A124" s="4">
        <v>47270</v>
      </c>
      <c r="B124">
        <v>0.33595450236966817</v>
      </c>
      <c r="C124">
        <f t="shared" si="2"/>
        <v>1.0033595450236967</v>
      </c>
      <c r="D124">
        <f t="shared" si="3"/>
        <v>1.8882717537354459</v>
      </c>
    </row>
    <row r="125" spans="1:4">
      <c r="A125" s="4">
        <v>47300</v>
      </c>
      <c r="B125">
        <v>0.30795829383886247</v>
      </c>
      <c r="C125">
        <f t="shared" si="2"/>
        <v>1.0030795829383887</v>
      </c>
      <c r="D125">
        <f t="shared" si="3"/>
        <v>1.8940868432112909</v>
      </c>
    </row>
    <row r="126" spans="1:4">
      <c r="A126" s="4">
        <v>47331</v>
      </c>
      <c r="B126">
        <v>0.15397914691943124</v>
      </c>
      <c r="C126">
        <f t="shared" si="2"/>
        <v>1.0015397914691944</v>
      </c>
      <c r="D126">
        <f t="shared" si="3"/>
        <v>1.897003341974381</v>
      </c>
    </row>
    <row r="127" spans="1:4">
      <c r="A127" s="4">
        <v>47362</v>
      </c>
      <c r="B127">
        <v>8.3988625592417043E-2</v>
      </c>
      <c r="C127">
        <f t="shared" si="2"/>
        <v>1.0008398862559242</v>
      </c>
      <c r="D127">
        <f t="shared" si="3"/>
        <v>1.8985966090087476</v>
      </c>
    </row>
    <row r="128" spans="1:4">
      <c r="A128" s="4">
        <v>47392</v>
      </c>
      <c r="B128">
        <v>0.11198483412322273</v>
      </c>
      <c r="C128">
        <f t="shared" si="2"/>
        <v>1.0011198483412322</v>
      </c>
      <c r="D128">
        <f t="shared" si="3"/>
        <v>1.9007227492720151</v>
      </c>
    </row>
    <row r="129" spans="1:4">
      <c r="A129" s="4">
        <v>47423</v>
      </c>
      <c r="B129">
        <v>0.66068412322274861</v>
      </c>
      <c r="C129">
        <f t="shared" si="2"/>
        <v>1.0066068412322275</v>
      </c>
      <c r="D129">
        <f t="shared" si="3"/>
        <v>1.9132805227029384</v>
      </c>
    </row>
    <row r="130" spans="1:4">
      <c r="A130" s="4">
        <v>47453</v>
      </c>
      <c r="B130">
        <v>1.3635395734597153</v>
      </c>
      <c r="C130">
        <f t="shared" si="2"/>
        <v>1.0136353957345972</v>
      </c>
      <c r="D130">
        <f t="shared" si="3"/>
        <v>1.9393688597812899</v>
      </c>
    </row>
    <row r="131" spans="1:4">
      <c r="A131" s="4">
        <v>47484</v>
      </c>
      <c r="B131">
        <v>0.59039857819905206</v>
      </c>
      <c r="C131">
        <f t="shared" ref="C131:C141" si="4">1+B131/100</f>
        <v>1.0059039857819905</v>
      </c>
      <c r="D131">
        <f t="shared" si="3"/>
        <v>1.9508188659554737</v>
      </c>
    </row>
    <row r="132" spans="1:4">
      <c r="A132" s="4">
        <v>47515</v>
      </c>
      <c r="B132">
        <v>0.46388459715639807</v>
      </c>
      <c r="C132">
        <f t="shared" si="4"/>
        <v>1.0046388459715641</v>
      </c>
      <c r="D132">
        <f t="shared" ref="D132:D141" si="5">C132*D131</f>
        <v>1.9598684141930625</v>
      </c>
    </row>
    <row r="133" spans="1:4">
      <c r="A133" s="4">
        <v>47543</v>
      </c>
      <c r="B133">
        <v>0.70285545023696683</v>
      </c>
      <c r="C133">
        <f t="shared" si="4"/>
        <v>1.0070285545023696</v>
      </c>
      <c r="D133">
        <f t="shared" si="5"/>
        <v>1.9736434561596912</v>
      </c>
    </row>
    <row r="134" spans="1:4">
      <c r="A134" s="4">
        <v>47574</v>
      </c>
      <c r="B134">
        <v>0.78719810426540271</v>
      </c>
      <c r="C134">
        <f t="shared" si="4"/>
        <v>1.007871981042654</v>
      </c>
      <c r="D134">
        <f t="shared" si="5"/>
        <v>1.9891799400315382</v>
      </c>
    </row>
    <row r="135" spans="1:4">
      <c r="A135" s="4">
        <v>47604</v>
      </c>
      <c r="B135">
        <v>0.36548483412322269</v>
      </c>
      <c r="C135">
        <f t="shared" si="4"/>
        <v>1.0036548483412322</v>
      </c>
      <c r="D135">
        <f t="shared" si="5"/>
        <v>1.9964500910357748</v>
      </c>
    </row>
    <row r="136" spans="1:4">
      <c r="A136" s="4">
        <v>47635</v>
      </c>
      <c r="B136">
        <v>0.33737061611374403</v>
      </c>
      <c r="C136">
        <f t="shared" si="4"/>
        <v>1.0033737061611374</v>
      </c>
      <c r="D136">
        <f t="shared" si="5"/>
        <v>2.0031855270083057</v>
      </c>
    </row>
    <row r="137" spans="1:4">
      <c r="A137" s="4">
        <v>47665</v>
      </c>
      <c r="B137">
        <v>0.30925639810426536</v>
      </c>
      <c r="C137">
        <f t="shared" si="4"/>
        <v>1.0030925639810426</v>
      </c>
      <c r="D137">
        <f t="shared" si="5"/>
        <v>2.0093805064164774</v>
      </c>
    </row>
    <row r="138" spans="1:4">
      <c r="A138" s="4">
        <v>47696</v>
      </c>
      <c r="B138">
        <v>0.15462819905213268</v>
      </c>
      <c r="C138">
        <f t="shared" si="4"/>
        <v>1.0015462819905214</v>
      </c>
      <c r="D138">
        <f t="shared" si="5"/>
        <v>2.0124875753056539</v>
      </c>
    </row>
    <row r="139" spans="1:4">
      <c r="A139" s="4">
        <v>47727</v>
      </c>
      <c r="B139">
        <v>8.4342654028436007E-2</v>
      </c>
      <c r="C139">
        <f t="shared" si="4"/>
        <v>1.0008434265402844</v>
      </c>
      <c r="D139">
        <f t="shared" si="5"/>
        <v>2.014184960738659</v>
      </c>
    </row>
    <row r="140" spans="1:4">
      <c r="A140" s="4">
        <v>47757</v>
      </c>
      <c r="B140">
        <v>0.11245687203791468</v>
      </c>
      <c r="C140">
        <f t="shared" si="4"/>
        <v>1.0011245687203791</v>
      </c>
      <c r="D140">
        <f t="shared" si="5"/>
        <v>2.0164500501425637</v>
      </c>
    </row>
    <row r="141" spans="1:4">
      <c r="A141" s="4">
        <v>47788</v>
      </c>
      <c r="B141">
        <v>0.66295616113744049</v>
      </c>
      <c r="C141">
        <f t="shared" si="4"/>
        <v>1.0066295616113745</v>
      </c>
      <c r="D141">
        <f t="shared" si="5"/>
        <v>2.0298182299862431</v>
      </c>
    </row>
  </sheetData>
  <pageMargins left="0.511811024" right="0.511811024" top="0.78740157499999996" bottom="0.78740157499999996" header="0.31496062000000002" footer="0.31496062000000002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0D321-1D12-4BC4-BE08-66239105275D}">
  <sheetPr codeName="Planilha27"/>
  <dimension ref="A1:D121"/>
  <sheetViews>
    <sheetView workbookViewId="0">
      <selection activeCell="A2" sqref="A2:B22"/>
    </sheetView>
  </sheetViews>
  <sheetFormatPr defaultRowHeight="15"/>
  <sheetData>
    <row r="1" spans="1:4">
      <c r="A1" t="s">
        <v>148</v>
      </c>
      <c r="B1" t="s">
        <v>92</v>
      </c>
      <c r="C1" t="s">
        <v>22</v>
      </c>
      <c r="D1" t="s">
        <v>149</v>
      </c>
    </row>
    <row r="2" spans="1:4">
      <c r="A2" s="4">
        <v>43678</v>
      </c>
      <c r="B2" s="5">
        <v>0.11</v>
      </c>
      <c r="C2">
        <f>1+B2/100</f>
        <v>1.0011000000000001</v>
      </c>
      <c r="D2">
        <v>1.0109999999999999</v>
      </c>
    </row>
    <row r="3" spans="1:4">
      <c r="A3" s="4">
        <v>43709</v>
      </c>
      <c r="B3" s="5">
        <v>-0.04</v>
      </c>
      <c r="C3">
        <f t="shared" ref="C3:C66" si="0">1+B3/100</f>
        <v>0.99960000000000004</v>
      </c>
      <c r="D3">
        <f>C3*D2</f>
        <v>1.0105956</v>
      </c>
    </row>
    <row r="4" spans="1:4">
      <c r="A4" s="4">
        <v>43739</v>
      </c>
      <c r="B4" s="5">
        <v>0.1</v>
      </c>
      <c r="C4">
        <f t="shared" si="0"/>
        <v>1.0009999999999999</v>
      </c>
      <c r="D4">
        <f t="shared" ref="D4:D67" si="1">C4*D3</f>
        <v>1.0116061956</v>
      </c>
    </row>
    <row r="5" spans="1:4">
      <c r="A5" s="4">
        <v>43770</v>
      </c>
      <c r="B5" s="5">
        <v>0.51</v>
      </c>
      <c r="C5">
        <f t="shared" si="0"/>
        <v>1.0051000000000001</v>
      </c>
      <c r="D5">
        <f t="shared" si="1"/>
        <v>1.0167653871975602</v>
      </c>
    </row>
    <row r="6" spans="1:4">
      <c r="A6" s="4">
        <v>43800</v>
      </c>
      <c r="B6" s="5">
        <v>1.1499999999999999</v>
      </c>
      <c r="C6">
        <f t="shared" si="0"/>
        <v>1.0115000000000001</v>
      </c>
      <c r="D6">
        <f t="shared" si="1"/>
        <v>1.0284581891503322</v>
      </c>
    </row>
    <row r="7" spans="1:4">
      <c r="A7" s="4">
        <v>43831</v>
      </c>
      <c r="B7" s="5">
        <v>0.21</v>
      </c>
      <c r="C7">
        <f t="shared" si="0"/>
        <v>1.0021</v>
      </c>
      <c r="D7">
        <f t="shared" si="1"/>
        <v>1.0306179513475477</v>
      </c>
    </row>
    <row r="8" spans="1:4">
      <c r="A8" s="4">
        <v>43862</v>
      </c>
      <c r="B8" s="5">
        <v>0.25</v>
      </c>
      <c r="C8">
        <f t="shared" si="0"/>
        <v>1.0024999999999999</v>
      </c>
      <c r="D8">
        <f t="shared" si="1"/>
        <v>1.0331944962259165</v>
      </c>
    </row>
    <row r="9" spans="1:4">
      <c r="A9" s="4">
        <v>43891</v>
      </c>
      <c r="B9" s="5">
        <v>7.0000000000000007E-2</v>
      </c>
      <c r="C9">
        <f t="shared" si="0"/>
        <v>1.0006999999999999</v>
      </c>
      <c r="D9">
        <f t="shared" si="1"/>
        <v>1.0339177323732747</v>
      </c>
    </row>
    <row r="10" spans="1:4">
      <c r="A10" s="4">
        <v>43922</v>
      </c>
      <c r="B10" s="5">
        <v>-0.31</v>
      </c>
      <c r="C10">
        <f t="shared" si="0"/>
        <v>0.99690000000000001</v>
      </c>
      <c r="D10">
        <f t="shared" si="1"/>
        <v>1.0307125874029175</v>
      </c>
    </row>
    <row r="11" spans="1:4">
      <c r="A11" s="4">
        <v>43952</v>
      </c>
      <c r="B11" s="5">
        <v>-0.38</v>
      </c>
      <c r="C11">
        <f t="shared" si="0"/>
        <v>0.99619999999999997</v>
      </c>
      <c r="D11">
        <f t="shared" si="1"/>
        <v>1.0267958795707863</v>
      </c>
    </row>
    <row r="12" spans="1:4">
      <c r="A12" s="4">
        <v>43983</v>
      </c>
      <c r="B12" s="5">
        <v>0.26</v>
      </c>
      <c r="C12">
        <f t="shared" si="0"/>
        <v>1.0025999999999999</v>
      </c>
      <c r="D12">
        <f t="shared" si="1"/>
        <v>1.0294655488576703</v>
      </c>
    </row>
    <row r="13" spans="1:4">
      <c r="A13" s="4">
        <v>44013</v>
      </c>
      <c r="B13" s="5">
        <v>0.36</v>
      </c>
      <c r="C13">
        <f t="shared" si="0"/>
        <v>1.0036</v>
      </c>
      <c r="D13">
        <f t="shared" si="1"/>
        <v>1.0331716248335578</v>
      </c>
    </row>
    <row r="14" spans="1:4">
      <c r="A14" s="4">
        <v>44044</v>
      </c>
      <c r="B14" s="5">
        <v>0.24</v>
      </c>
      <c r="C14">
        <f t="shared" si="0"/>
        <v>1.0024</v>
      </c>
      <c r="D14">
        <f t="shared" si="1"/>
        <v>1.0356512367331583</v>
      </c>
    </row>
    <row r="15" spans="1:4">
      <c r="A15" s="4">
        <v>44075</v>
      </c>
      <c r="B15" s="5">
        <v>0.64</v>
      </c>
      <c r="C15">
        <f t="shared" si="0"/>
        <v>1.0064</v>
      </c>
      <c r="D15">
        <f t="shared" si="1"/>
        <v>1.0422794046482504</v>
      </c>
    </row>
    <row r="16" spans="1:4">
      <c r="A16" s="4">
        <v>44105</v>
      </c>
      <c r="B16" s="5">
        <v>0.86</v>
      </c>
      <c r="C16">
        <f t="shared" si="0"/>
        <v>1.0085999999999999</v>
      </c>
      <c r="D16">
        <f t="shared" si="1"/>
        <v>1.0512430075282253</v>
      </c>
    </row>
    <row r="17" spans="1:4">
      <c r="A17" s="4">
        <v>44136</v>
      </c>
      <c r="B17" s="5">
        <v>0.89</v>
      </c>
      <c r="C17">
        <f t="shared" si="0"/>
        <v>1.0088999999999999</v>
      </c>
      <c r="D17">
        <f t="shared" si="1"/>
        <v>1.0605990702952264</v>
      </c>
    </row>
    <row r="18" spans="1:4">
      <c r="A18" s="4">
        <v>44166</v>
      </c>
      <c r="B18" s="5">
        <v>1.35</v>
      </c>
      <c r="C18">
        <f t="shared" si="0"/>
        <v>1.0135000000000001</v>
      </c>
      <c r="D18">
        <f t="shared" si="1"/>
        <v>1.074917157744212</v>
      </c>
    </row>
    <row r="19" spans="1:4">
      <c r="A19" s="4">
        <v>44197</v>
      </c>
      <c r="B19" s="5">
        <v>0.25</v>
      </c>
      <c r="C19">
        <f t="shared" si="0"/>
        <v>1.0024999999999999</v>
      </c>
      <c r="D19">
        <f t="shared" si="1"/>
        <v>1.0776044506385725</v>
      </c>
    </row>
    <row r="20" spans="1:4">
      <c r="A20" s="4">
        <v>44228</v>
      </c>
      <c r="B20" s="5">
        <v>0.86</v>
      </c>
      <c r="C20">
        <f t="shared" si="0"/>
        <v>1.0085999999999999</v>
      </c>
      <c r="D20">
        <f t="shared" si="1"/>
        <v>1.0868718489140641</v>
      </c>
    </row>
    <row r="21" spans="1:4">
      <c r="A21" s="4">
        <v>44256</v>
      </c>
      <c r="B21" s="5">
        <v>0.93</v>
      </c>
      <c r="C21">
        <f t="shared" si="0"/>
        <v>1.0093000000000001</v>
      </c>
      <c r="D21">
        <f t="shared" si="1"/>
        <v>1.096979757108965</v>
      </c>
    </row>
    <row r="22" spans="1:4">
      <c r="A22" s="4">
        <v>44287</v>
      </c>
      <c r="B22" s="5">
        <v>0.31</v>
      </c>
      <c r="C22">
        <f t="shared" si="0"/>
        <v>1.0031000000000001</v>
      </c>
      <c r="D22">
        <f t="shared" si="1"/>
        <v>1.1003803943560029</v>
      </c>
    </row>
    <row r="23" spans="1:4">
      <c r="A23" s="4">
        <v>44317</v>
      </c>
      <c r="B23" s="5">
        <v>0.83</v>
      </c>
      <c r="C23">
        <f t="shared" si="0"/>
        <v>1.0083</v>
      </c>
      <c r="D23">
        <f t="shared" si="1"/>
        <v>1.1095135516291577</v>
      </c>
    </row>
    <row r="24" spans="1:4">
      <c r="A24" s="4">
        <v>44348</v>
      </c>
      <c r="B24" s="5">
        <v>0.53</v>
      </c>
      <c r="C24">
        <f t="shared" si="0"/>
        <v>1.0053000000000001</v>
      </c>
      <c r="D24">
        <f t="shared" si="1"/>
        <v>1.1153939734527922</v>
      </c>
    </row>
    <row r="25" spans="1:4">
      <c r="A25" s="4">
        <v>44378</v>
      </c>
      <c r="B25" s="5">
        <v>0.96</v>
      </c>
      <c r="C25">
        <f t="shared" si="0"/>
        <v>1.0096000000000001</v>
      </c>
      <c r="D25">
        <f t="shared" si="1"/>
        <v>1.1261017555979391</v>
      </c>
    </row>
    <row r="26" spans="1:4">
      <c r="A26" s="4">
        <v>44409</v>
      </c>
      <c r="B26" s="5">
        <v>0.87</v>
      </c>
      <c r="C26">
        <f t="shared" si="0"/>
        <v>1.0086999999999999</v>
      </c>
      <c r="D26">
        <f t="shared" si="1"/>
        <v>1.1358988408716411</v>
      </c>
    </row>
    <row r="27" spans="1:4">
      <c r="A27" s="4">
        <v>44440</v>
      </c>
      <c r="B27" s="5">
        <v>1.1599999999999999</v>
      </c>
      <c r="C27">
        <f t="shared" si="0"/>
        <v>1.0116000000000001</v>
      </c>
      <c r="D27">
        <f t="shared" si="1"/>
        <v>1.1490752674257521</v>
      </c>
    </row>
    <row r="28" spans="1:4">
      <c r="A28" s="4">
        <v>44470</v>
      </c>
      <c r="B28" s="5">
        <v>1.25</v>
      </c>
      <c r="C28">
        <f t="shared" si="0"/>
        <v>1.0125</v>
      </c>
      <c r="D28">
        <f t="shared" si="1"/>
        <v>1.163438708268574</v>
      </c>
    </row>
    <row r="29" spans="1:4">
      <c r="A29" s="4">
        <v>44501</v>
      </c>
      <c r="B29" s="5">
        <v>0.95</v>
      </c>
      <c r="C29">
        <f t="shared" si="0"/>
        <v>1.0095000000000001</v>
      </c>
      <c r="D29">
        <f t="shared" si="1"/>
        <v>1.1744913759971256</v>
      </c>
    </row>
    <row r="30" spans="1:4">
      <c r="A30" s="4">
        <v>44531</v>
      </c>
      <c r="B30" s="5">
        <v>0.73</v>
      </c>
      <c r="C30">
        <f t="shared" si="0"/>
        <v>1.0073000000000001</v>
      </c>
      <c r="D30">
        <f t="shared" si="1"/>
        <v>1.1830651630419047</v>
      </c>
    </row>
    <row r="31" spans="1:4">
      <c r="A31" s="4">
        <v>44562</v>
      </c>
      <c r="B31" s="5">
        <v>0.54</v>
      </c>
      <c r="C31">
        <f t="shared" si="0"/>
        <v>1.0054000000000001</v>
      </c>
      <c r="D31">
        <f t="shared" si="1"/>
        <v>1.189453714922331</v>
      </c>
    </row>
    <row r="32" spans="1:4">
      <c r="A32" s="4">
        <v>44593</v>
      </c>
      <c r="B32" s="5">
        <v>1.01</v>
      </c>
      <c r="C32">
        <f t="shared" si="0"/>
        <v>1.0101</v>
      </c>
      <c r="D32">
        <f t="shared" si="1"/>
        <v>1.2014671974430464</v>
      </c>
    </row>
    <row r="33" spans="1:4">
      <c r="A33" s="4">
        <v>44621</v>
      </c>
      <c r="B33" s="5">
        <v>1.62</v>
      </c>
      <c r="C33">
        <f t="shared" si="0"/>
        <v>1.0162</v>
      </c>
      <c r="D33">
        <f t="shared" si="1"/>
        <v>1.2209309660416237</v>
      </c>
    </row>
    <row r="34" spans="1:4">
      <c r="A34" s="4">
        <v>44652</v>
      </c>
      <c r="B34" s="5">
        <v>1.06</v>
      </c>
      <c r="C34">
        <f t="shared" si="0"/>
        <v>1.0105999999999999</v>
      </c>
      <c r="D34">
        <f t="shared" si="1"/>
        <v>1.2338728342816647</v>
      </c>
    </row>
    <row r="35" spans="1:4">
      <c r="A35" s="4">
        <v>44682</v>
      </c>
      <c r="B35" s="5">
        <v>0.47</v>
      </c>
      <c r="C35">
        <f t="shared" si="0"/>
        <v>1.0046999999999999</v>
      </c>
      <c r="D35">
        <f t="shared" si="1"/>
        <v>1.2396720366027885</v>
      </c>
    </row>
    <row r="36" spans="1:4">
      <c r="A36" s="4">
        <v>44713</v>
      </c>
      <c r="B36" s="5">
        <v>0.67</v>
      </c>
      <c r="C36">
        <f t="shared" si="0"/>
        <v>1.0066999999999999</v>
      </c>
      <c r="D36">
        <f t="shared" si="1"/>
        <v>1.247977839248027</v>
      </c>
    </row>
    <row r="37" spans="1:4">
      <c r="A37" s="4">
        <v>44743</v>
      </c>
      <c r="B37" s="5">
        <v>-0.68</v>
      </c>
      <c r="C37">
        <f t="shared" si="0"/>
        <v>0.99319999999999997</v>
      </c>
      <c r="D37">
        <f t="shared" si="1"/>
        <v>1.2394915899411403</v>
      </c>
    </row>
    <row r="38" spans="1:4">
      <c r="A38" s="4">
        <v>44774</v>
      </c>
      <c r="B38" s="5">
        <v>-0.36</v>
      </c>
      <c r="C38">
        <f t="shared" si="0"/>
        <v>0.99639999999999995</v>
      </c>
      <c r="D38">
        <f t="shared" si="1"/>
        <v>1.2350294202173522</v>
      </c>
    </row>
    <row r="39" spans="1:4">
      <c r="A39" s="4">
        <v>44805</v>
      </c>
      <c r="B39" s="5">
        <v>-0.28999999999999998</v>
      </c>
      <c r="C39">
        <f t="shared" si="0"/>
        <v>0.99709999999999999</v>
      </c>
      <c r="D39">
        <f t="shared" si="1"/>
        <v>1.2314478348987219</v>
      </c>
    </row>
    <row r="40" spans="1:4">
      <c r="A40" s="4">
        <v>44835</v>
      </c>
      <c r="B40">
        <v>0.33</v>
      </c>
      <c r="C40">
        <f t="shared" si="0"/>
        <v>1.0033000000000001</v>
      </c>
      <c r="D40">
        <f t="shared" si="1"/>
        <v>1.2355116127538879</v>
      </c>
    </row>
    <row r="41" spans="1:4">
      <c r="A41" s="4">
        <v>44866</v>
      </c>
      <c r="B41">
        <v>0.94638500140897963</v>
      </c>
      <c r="C41">
        <f t="shared" si="0"/>
        <v>1.0094638500140898</v>
      </c>
      <c r="D41">
        <f t="shared" si="1"/>
        <v>1.2472043093476568</v>
      </c>
    </row>
    <row r="42" spans="1:4">
      <c r="A42" s="4">
        <v>44896</v>
      </c>
      <c r="B42">
        <v>1.9531775560993834</v>
      </c>
      <c r="C42">
        <f t="shared" si="0"/>
        <v>1.0195317755609938</v>
      </c>
      <c r="D42">
        <f t="shared" si="1"/>
        <v>1.2715644239965396</v>
      </c>
    </row>
    <row r="43" spans="1:4">
      <c r="A43" s="4">
        <v>44927</v>
      </c>
      <c r="B43">
        <v>0.84570574593993919</v>
      </c>
      <c r="C43">
        <f t="shared" si="0"/>
        <v>1.0084570574593994</v>
      </c>
      <c r="D43">
        <f t="shared" si="1"/>
        <v>1.2823181173936065</v>
      </c>
    </row>
    <row r="44" spans="1:4">
      <c r="A44" s="4">
        <v>44958</v>
      </c>
      <c r="B44">
        <v>0.66448308609566664</v>
      </c>
      <c r="C44">
        <f t="shared" si="0"/>
        <v>1.0066448308609566</v>
      </c>
      <c r="D44">
        <f t="shared" si="1"/>
        <v>1.2908389043936273</v>
      </c>
    </row>
    <row r="45" spans="1:4">
      <c r="A45" s="4">
        <v>44986</v>
      </c>
      <c r="B45">
        <v>1.006792554690404</v>
      </c>
      <c r="C45">
        <f t="shared" si="0"/>
        <v>1.0100679255469041</v>
      </c>
      <c r="D45">
        <f t="shared" si="1"/>
        <v>1.3038349743761095</v>
      </c>
    </row>
    <row r="46" spans="1:4">
      <c r="A46" s="4">
        <v>45017</v>
      </c>
      <c r="B46">
        <v>1.1276076612532524</v>
      </c>
      <c r="C46">
        <f t="shared" si="0"/>
        <v>1.0112760766125326</v>
      </c>
      <c r="D46">
        <f t="shared" si="1"/>
        <v>1.318537117437274</v>
      </c>
    </row>
    <row r="47" spans="1:4">
      <c r="A47" s="4">
        <v>45047</v>
      </c>
      <c r="B47">
        <v>0.41494999999999999</v>
      </c>
      <c r="C47">
        <f t="shared" si="0"/>
        <v>1.0041495</v>
      </c>
      <c r="D47">
        <f t="shared" si="1"/>
        <v>1.3240083872060799</v>
      </c>
    </row>
    <row r="48" spans="1:4">
      <c r="A48" s="4">
        <v>45078</v>
      </c>
      <c r="B48">
        <v>0.38303300000000001</v>
      </c>
      <c r="C48">
        <f t="shared" si="0"/>
        <v>1.00383033</v>
      </c>
      <c r="D48">
        <f t="shared" si="1"/>
        <v>1.3290797762518469</v>
      </c>
    </row>
    <row r="49" spans="1:4">
      <c r="A49" s="4">
        <v>45108</v>
      </c>
      <c r="B49">
        <v>0.35111999999999999</v>
      </c>
      <c r="C49">
        <f t="shared" si="0"/>
        <v>1.0035111999999999</v>
      </c>
      <c r="D49">
        <f t="shared" si="1"/>
        <v>1.3337464411622224</v>
      </c>
    </row>
    <row r="50" spans="1:4">
      <c r="A50" s="4">
        <v>45139</v>
      </c>
      <c r="B50">
        <v>0.17555687203791467</v>
      </c>
      <c r="C50">
        <f t="shared" si="0"/>
        <v>1.0017555687203792</v>
      </c>
      <c r="D50">
        <f t="shared" si="1"/>
        <v>1.336087924695244</v>
      </c>
    </row>
    <row r="51" spans="1:4">
      <c r="A51" s="4">
        <v>45170</v>
      </c>
      <c r="B51">
        <v>9.5758293838862543E-2</v>
      </c>
      <c r="C51">
        <f t="shared" si="0"/>
        <v>1.0009575829383885</v>
      </c>
      <c r="D51">
        <f t="shared" si="1"/>
        <v>1.337367339696119</v>
      </c>
    </row>
    <row r="52" spans="1:4">
      <c r="A52" s="4">
        <v>45200</v>
      </c>
      <c r="B52">
        <v>0.12767772511848341</v>
      </c>
      <c r="C52">
        <f t="shared" si="0"/>
        <v>1.0012767772511848</v>
      </c>
      <c r="D52">
        <f t="shared" si="1"/>
        <v>1.3390748598919204</v>
      </c>
    </row>
    <row r="53" spans="1:4">
      <c r="A53" s="4">
        <v>45231</v>
      </c>
      <c r="B53">
        <v>0.66754478672985762</v>
      </c>
      <c r="C53">
        <f t="shared" si="0"/>
        <v>1.0066754478672986</v>
      </c>
      <c r="D53">
        <f t="shared" si="1"/>
        <v>1.348013784309539</v>
      </c>
    </row>
    <row r="54" spans="1:4">
      <c r="A54" s="4">
        <v>45261</v>
      </c>
      <c r="B54">
        <v>1.3776988151658764</v>
      </c>
      <c r="C54">
        <f t="shared" si="0"/>
        <v>1.0137769881516587</v>
      </c>
      <c r="D54">
        <f t="shared" si="1"/>
        <v>1.3665853542442441</v>
      </c>
    </row>
    <row r="55" spans="1:4">
      <c r="A55" s="4">
        <v>45292</v>
      </c>
      <c r="B55">
        <v>0.59652938388625576</v>
      </c>
      <c r="C55">
        <f t="shared" si="0"/>
        <v>1.0059652938388626</v>
      </c>
      <c r="D55">
        <f t="shared" si="1"/>
        <v>1.3747374374381971</v>
      </c>
    </row>
    <row r="56" spans="1:4">
      <c r="A56" s="4">
        <v>45323</v>
      </c>
      <c r="B56">
        <v>0.46870165876777242</v>
      </c>
      <c r="C56">
        <f t="shared" si="0"/>
        <v>1.0046870165876778</v>
      </c>
      <c r="D56">
        <f t="shared" si="1"/>
        <v>1.3811808546111717</v>
      </c>
    </row>
    <row r="57" spans="1:4">
      <c r="A57" s="4">
        <v>45352</v>
      </c>
      <c r="B57">
        <v>0.71015402843601882</v>
      </c>
      <c r="C57">
        <f t="shared" si="0"/>
        <v>1.0071015402843602</v>
      </c>
      <c r="D57">
        <f t="shared" si="1"/>
        <v>1.39098936609018</v>
      </c>
    </row>
    <row r="58" spans="1:4">
      <c r="A58" s="4">
        <v>45383</v>
      </c>
      <c r="B58">
        <v>0.79537251184834112</v>
      </c>
      <c r="C58">
        <f t="shared" si="0"/>
        <v>1.0079537251184834</v>
      </c>
      <c r="D58">
        <f t="shared" si="1"/>
        <v>1.4020529131507946</v>
      </c>
    </row>
    <row r="59" spans="1:4">
      <c r="A59" s="4">
        <v>45413</v>
      </c>
      <c r="B59">
        <v>0.3692800947867298</v>
      </c>
      <c r="C59">
        <f t="shared" si="0"/>
        <v>1.0036928009478674</v>
      </c>
      <c r="D59">
        <f t="shared" si="1"/>
        <v>1.4072304154774382</v>
      </c>
    </row>
    <row r="60" spans="1:4">
      <c r="A60" s="4">
        <v>45444</v>
      </c>
      <c r="B60">
        <v>0.34087393364928903</v>
      </c>
      <c r="C60">
        <f t="shared" si="0"/>
        <v>1.003408739336493</v>
      </c>
      <c r="D60">
        <f t="shared" si="1"/>
        <v>1.4120272971501855</v>
      </c>
    </row>
    <row r="61" spans="1:4">
      <c r="A61" s="4">
        <v>45474</v>
      </c>
      <c r="B61">
        <v>0.31246777251184826</v>
      </c>
      <c r="C61">
        <f t="shared" si="0"/>
        <v>1.0031246777251184</v>
      </c>
      <c r="D61">
        <f t="shared" si="1"/>
        <v>1.4164394273928498</v>
      </c>
    </row>
    <row r="62" spans="1:4">
      <c r="A62" s="4">
        <v>45505</v>
      </c>
      <c r="B62">
        <v>0.15623388625592413</v>
      </c>
      <c r="C62">
        <f t="shared" si="0"/>
        <v>1.0015623388625592</v>
      </c>
      <c r="D62">
        <f t="shared" si="1"/>
        <v>1.4186523857567268</v>
      </c>
    </row>
    <row r="63" spans="1:4">
      <c r="A63" s="4">
        <v>45536</v>
      </c>
      <c r="B63">
        <v>8.5218483412322257E-2</v>
      </c>
      <c r="C63">
        <f t="shared" si="0"/>
        <v>1.0008521848341232</v>
      </c>
      <c r="D63">
        <f t="shared" si="1"/>
        <v>1.4198613398047615</v>
      </c>
    </row>
    <row r="64" spans="1:4">
      <c r="A64" s="4">
        <v>45566</v>
      </c>
      <c r="B64">
        <v>0.11362464454976301</v>
      </c>
      <c r="C64">
        <f t="shared" si="0"/>
        <v>1.0011362464454976</v>
      </c>
      <c r="D64">
        <f t="shared" si="1"/>
        <v>1.4214746522052142</v>
      </c>
    </row>
    <row r="65" spans="1:4">
      <c r="A65" s="4">
        <v>45597</v>
      </c>
      <c r="B65">
        <v>0.64748625592417042</v>
      </c>
      <c r="C65">
        <f t="shared" si="0"/>
        <v>1.0064748625592417</v>
      </c>
      <c r="D65">
        <f t="shared" si="1"/>
        <v>1.4306785052096889</v>
      </c>
    </row>
    <row r="66" spans="1:4">
      <c r="A66" s="4">
        <v>45627</v>
      </c>
      <c r="B66">
        <v>1.3363014218009477</v>
      </c>
      <c r="C66">
        <f t="shared" si="0"/>
        <v>1.0133630142180095</v>
      </c>
      <c r="D66">
        <f t="shared" si="1"/>
        <v>1.4497966824162065</v>
      </c>
    </row>
    <row r="67" spans="1:4">
      <c r="A67" s="4">
        <v>45658</v>
      </c>
      <c r="B67">
        <v>0.57860473933649281</v>
      </c>
      <c r="C67">
        <f t="shared" ref="C67:C121" si="2">1+B67/100</f>
        <v>1.0057860473933649</v>
      </c>
      <c r="D67">
        <f t="shared" si="1"/>
        <v>1.4581852747314099</v>
      </c>
    </row>
    <row r="68" spans="1:4">
      <c r="A68" s="4">
        <v>45689</v>
      </c>
      <c r="B68">
        <v>0.45461800947867292</v>
      </c>
      <c r="C68">
        <f t="shared" si="2"/>
        <v>1.0045461800947868</v>
      </c>
      <c r="D68">
        <f t="shared" ref="D68:D121" si="3">C68*D67</f>
        <v>1.4648144476019052</v>
      </c>
    </row>
    <row r="69" spans="1:4">
      <c r="A69" s="4">
        <v>45717</v>
      </c>
      <c r="B69">
        <v>0.68881516587677716</v>
      </c>
      <c r="C69">
        <f t="shared" si="2"/>
        <v>1.0068881516587678</v>
      </c>
      <c r="D69">
        <f t="shared" si="3"/>
        <v>1.4749043116689413</v>
      </c>
    </row>
    <row r="70" spans="1:4">
      <c r="A70" s="4">
        <v>45748</v>
      </c>
      <c r="B70">
        <v>0.77147298578199042</v>
      </c>
      <c r="C70">
        <f t="shared" si="2"/>
        <v>1.00771472985782</v>
      </c>
      <c r="D70">
        <f t="shared" si="3"/>
        <v>1.4862827999996011</v>
      </c>
    </row>
    <row r="71" spans="1:4">
      <c r="A71" s="4">
        <v>45778</v>
      </c>
      <c r="B71">
        <v>0.35818388625592412</v>
      </c>
      <c r="C71">
        <f t="shared" si="2"/>
        <v>1.0035818388625593</v>
      </c>
      <c r="D71">
        <f t="shared" si="3"/>
        <v>1.491606425493393</v>
      </c>
    </row>
    <row r="72" spans="1:4">
      <c r="A72" s="4">
        <v>45809</v>
      </c>
      <c r="B72">
        <v>0.33063127962085304</v>
      </c>
      <c r="C72">
        <f t="shared" si="2"/>
        <v>1.0033063127962085</v>
      </c>
      <c r="D72">
        <f t="shared" si="3"/>
        <v>1.4965381429049087</v>
      </c>
    </row>
    <row r="73" spans="1:4">
      <c r="A73" s="4">
        <v>45839</v>
      </c>
      <c r="B73">
        <v>0.30307867298578195</v>
      </c>
      <c r="C73">
        <f t="shared" si="2"/>
        <v>1.0030307867298578</v>
      </c>
      <c r="D73">
        <f t="shared" si="3"/>
        <v>1.5010738308491509</v>
      </c>
    </row>
    <row r="74" spans="1:4">
      <c r="A74" s="4">
        <v>45870</v>
      </c>
      <c r="B74">
        <v>0.15153933649289097</v>
      </c>
      <c r="C74">
        <f t="shared" si="2"/>
        <v>1.001515393364929</v>
      </c>
      <c r="D74">
        <f t="shared" si="3"/>
        <v>1.5033485481726883</v>
      </c>
    </row>
    <row r="75" spans="1:4">
      <c r="A75" s="4">
        <v>45901</v>
      </c>
      <c r="B75">
        <v>8.2657819905213259E-2</v>
      </c>
      <c r="C75">
        <f t="shared" si="2"/>
        <v>1.0008265781990522</v>
      </c>
      <c r="D75">
        <f t="shared" si="3"/>
        <v>1.5045911833081846</v>
      </c>
    </row>
    <row r="76" spans="1:4">
      <c r="A76" s="4">
        <v>45931</v>
      </c>
      <c r="B76">
        <v>0.11021042654028435</v>
      </c>
      <c r="C76">
        <f t="shared" si="2"/>
        <v>1.0011021042654029</v>
      </c>
      <c r="D76">
        <f t="shared" si="3"/>
        <v>1.5062493996689963</v>
      </c>
    </row>
    <row r="77" spans="1:4">
      <c r="A77" s="4">
        <v>45962</v>
      </c>
      <c r="B77">
        <v>0.64681800947867285</v>
      </c>
      <c r="C77">
        <f t="shared" si="2"/>
        <v>1.0064681800947868</v>
      </c>
      <c r="D77">
        <f t="shared" si="3"/>
        <v>1.5159920920537198</v>
      </c>
    </row>
    <row r="78" spans="1:4">
      <c r="A78" s="4">
        <v>45992</v>
      </c>
      <c r="B78">
        <v>1.3349222748815164</v>
      </c>
      <c r="C78">
        <f t="shared" si="2"/>
        <v>1.0133492227488152</v>
      </c>
      <c r="D78">
        <f t="shared" si="3"/>
        <v>1.5362294081759873</v>
      </c>
    </row>
    <row r="79" spans="1:4">
      <c r="A79" s="4">
        <v>46023</v>
      </c>
      <c r="B79">
        <v>0.5780075829383885</v>
      </c>
      <c r="C79">
        <f t="shared" si="2"/>
        <v>1.0057800758293838</v>
      </c>
      <c r="D79">
        <f t="shared" si="3"/>
        <v>1.545108930646574</v>
      </c>
    </row>
    <row r="80" spans="1:4">
      <c r="A80" s="4">
        <v>46054</v>
      </c>
      <c r="B80">
        <v>0.45414881516587668</v>
      </c>
      <c r="C80">
        <f t="shared" si="2"/>
        <v>1.0045414881516588</v>
      </c>
      <c r="D80">
        <f t="shared" si="3"/>
        <v>1.5521260245481274</v>
      </c>
    </row>
    <row r="81" spans="1:4">
      <c r="A81" s="4">
        <v>46082</v>
      </c>
      <c r="B81">
        <v>0.68810426540284353</v>
      </c>
      <c r="C81">
        <f t="shared" si="2"/>
        <v>1.0068810426540284</v>
      </c>
      <c r="D81">
        <f t="shared" si="3"/>
        <v>1.5628062699274707</v>
      </c>
    </row>
    <row r="82" spans="1:4">
      <c r="A82" s="4">
        <v>46113</v>
      </c>
      <c r="B82">
        <v>0.77067677725118466</v>
      </c>
      <c r="C82">
        <f t="shared" si="2"/>
        <v>1.0077067677725118</v>
      </c>
      <c r="D82">
        <f t="shared" si="3"/>
        <v>1.5748504549232272</v>
      </c>
    </row>
    <row r="83" spans="1:4">
      <c r="A83" s="4">
        <v>46143</v>
      </c>
      <c r="B83">
        <v>0.3578142180094786</v>
      </c>
      <c r="C83">
        <f t="shared" si="2"/>
        <v>1.0035781421800949</v>
      </c>
      <c r="D83">
        <f t="shared" si="3"/>
        <v>1.5804854937633297</v>
      </c>
    </row>
    <row r="84" spans="1:4">
      <c r="A84" s="4">
        <v>46174</v>
      </c>
      <c r="B84">
        <v>0.33029004739336487</v>
      </c>
      <c r="C84">
        <f t="shared" si="2"/>
        <v>1.0033029004739336</v>
      </c>
      <c r="D84">
        <f t="shared" si="3"/>
        <v>1.5857056800497258</v>
      </c>
    </row>
    <row r="85" spans="1:4">
      <c r="A85" s="4">
        <v>46204</v>
      </c>
      <c r="B85">
        <v>0.30276587677725114</v>
      </c>
      <c r="C85">
        <f t="shared" si="2"/>
        <v>1.0030276587677724</v>
      </c>
      <c r="D85">
        <f t="shared" si="3"/>
        <v>1.5905066557550349</v>
      </c>
    </row>
    <row r="86" spans="1:4">
      <c r="A86" s="4">
        <v>46235</v>
      </c>
      <c r="B86">
        <v>0.15138293838862557</v>
      </c>
      <c r="C86">
        <f t="shared" si="2"/>
        <v>1.0015138293838863</v>
      </c>
      <c r="D86">
        <f t="shared" si="3"/>
        <v>1.5929144114657836</v>
      </c>
    </row>
    <row r="87" spans="1:4">
      <c r="A87" s="4">
        <v>46266</v>
      </c>
      <c r="B87">
        <v>8.2572511848341218E-2</v>
      </c>
      <c r="C87">
        <f t="shared" si="2"/>
        <v>1.0008257251184833</v>
      </c>
      <c r="D87">
        <f t="shared" si="3"/>
        <v>1.5942297209069249</v>
      </c>
    </row>
    <row r="88" spans="1:4">
      <c r="A88" s="4">
        <v>46296</v>
      </c>
      <c r="B88">
        <v>0.11009668246445496</v>
      </c>
      <c r="C88">
        <f t="shared" si="2"/>
        <v>1.0011009668246444</v>
      </c>
      <c r="D88">
        <f t="shared" si="3"/>
        <v>1.5959849149405057</v>
      </c>
    </row>
    <row r="89" spans="1:4">
      <c r="A89" s="4">
        <v>46327</v>
      </c>
      <c r="B89">
        <v>0.65048222748815143</v>
      </c>
      <c r="C89">
        <f t="shared" si="2"/>
        <v>1.0065048222748816</v>
      </c>
      <c r="D89">
        <f t="shared" si="3"/>
        <v>1.6063665131655855</v>
      </c>
    </row>
    <row r="90" spans="1:4">
      <c r="A90" s="4">
        <v>46357</v>
      </c>
      <c r="B90">
        <v>1.3424845971563977</v>
      </c>
      <c r="C90">
        <f t="shared" si="2"/>
        <v>1.013424845971564</v>
      </c>
      <c r="D90">
        <f t="shared" si="3"/>
        <v>1.6279317361787118</v>
      </c>
    </row>
    <row r="91" spans="1:4">
      <c r="A91" s="4">
        <v>46388</v>
      </c>
      <c r="B91">
        <v>0.5812819905213269</v>
      </c>
      <c r="C91">
        <f t="shared" si="2"/>
        <v>1.0058128199052132</v>
      </c>
      <c r="D91">
        <f t="shared" si="3"/>
        <v>1.6373946101790997</v>
      </c>
    </row>
    <row r="92" spans="1:4">
      <c r="A92" s="4">
        <v>46419</v>
      </c>
      <c r="B92">
        <v>0.45672156398104258</v>
      </c>
      <c r="C92">
        <f t="shared" si="2"/>
        <v>1.0045672156398104</v>
      </c>
      <c r="D92">
        <f t="shared" si="3"/>
        <v>1.6448729444512511</v>
      </c>
    </row>
    <row r="93" spans="1:4">
      <c r="A93" s="4">
        <v>46447</v>
      </c>
      <c r="B93">
        <v>0.69200236966824635</v>
      </c>
      <c r="C93">
        <f t="shared" si="2"/>
        <v>1.0069200236966824</v>
      </c>
      <c r="D93">
        <f t="shared" si="3"/>
        <v>1.6562555042048857</v>
      </c>
    </row>
    <row r="94" spans="1:4">
      <c r="A94" s="4">
        <v>46478</v>
      </c>
      <c r="B94">
        <v>0.77504265402843586</v>
      </c>
      <c r="C94">
        <f t="shared" si="2"/>
        <v>1.0077504265402843</v>
      </c>
      <c r="D94">
        <f t="shared" si="3"/>
        <v>1.6690921908221672</v>
      </c>
    </row>
    <row r="95" spans="1:4">
      <c r="A95" s="4">
        <v>46508</v>
      </c>
      <c r="B95">
        <v>0.35984123222748809</v>
      </c>
      <c r="C95">
        <f t="shared" si="2"/>
        <v>1.003598412322275</v>
      </c>
      <c r="D95">
        <f t="shared" si="3"/>
        <v>1.6750982727286345</v>
      </c>
    </row>
    <row r="96" spans="1:4">
      <c r="A96" s="4">
        <v>46539</v>
      </c>
      <c r="B96">
        <v>0.3321611374407582</v>
      </c>
      <c r="C96">
        <f t="shared" si="2"/>
        <v>1.0033216113744077</v>
      </c>
      <c r="D96">
        <f t="shared" si="3"/>
        <v>1.6806622982045807</v>
      </c>
    </row>
    <row r="97" spans="1:4">
      <c r="A97" s="4">
        <v>46569</v>
      </c>
      <c r="B97">
        <v>0.30448104265402837</v>
      </c>
      <c r="C97">
        <f t="shared" si="2"/>
        <v>1.0030448104265404</v>
      </c>
      <c r="D97">
        <f t="shared" si="3"/>
        <v>1.6857795962936473</v>
      </c>
    </row>
    <row r="98" spans="1:4">
      <c r="A98" s="4">
        <v>46600</v>
      </c>
      <c r="B98">
        <v>0.15224052132701418</v>
      </c>
      <c r="C98">
        <f t="shared" si="2"/>
        <v>1.0015224052132701</v>
      </c>
      <c r="D98">
        <f t="shared" si="3"/>
        <v>1.6883460359394691</v>
      </c>
    </row>
    <row r="99" spans="1:4">
      <c r="A99" s="4">
        <v>46631</v>
      </c>
      <c r="B99">
        <v>8.3040284360189551E-2</v>
      </c>
      <c r="C99">
        <f t="shared" si="2"/>
        <v>1.0008304028436019</v>
      </c>
      <c r="D99">
        <f t="shared" si="3"/>
        <v>1.6897480432886973</v>
      </c>
    </row>
    <row r="100" spans="1:4">
      <c r="A100" s="4">
        <v>46661</v>
      </c>
      <c r="B100">
        <v>0.11072037914691941</v>
      </c>
      <c r="C100">
        <f t="shared" si="2"/>
        <v>1.0011072037914692</v>
      </c>
      <c r="D100">
        <f t="shared" si="3"/>
        <v>1.6916189387288543</v>
      </c>
    </row>
    <row r="101" spans="1:4">
      <c r="A101" s="4">
        <v>46692</v>
      </c>
      <c r="B101">
        <v>0.65446943127962065</v>
      </c>
      <c r="C101">
        <f t="shared" si="2"/>
        <v>1.0065446943127963</v>
      </c>
      <c r="D101">
        <f t="shared" si="3"/>
        <v>1.7026900675765715</v>
      </c>
    </row>
    <row r="102" spans="1:4">
      <c r="A102" s="4">
        <v>46722</v>
      </c>
      <c r="B102">
        <v>1.3507135071090044</v>
      </c>
      <c r="C102">
        <f t="shared" si="2"/>
        <v>1.01350713507109</v>
      </c>
      <c r="D102">
        <f t="shared" si="3"/>
        <v>1.7256885323035316</v>
      </c>
    </row>
    <row r="103" spans="1:4">
      <c r="A103" s="4">
        <v>46753</v>
      </c>
      <c r="B103">
        <v>0.58484502369668234</v>
      </c>
      <c r="C103">
        <f t="shared" si="2"/>
        <v>1.0058484502369669</v>
      </c>
      <c r="D103">
        <f t="shared" si="3"/>
        <v>1.7357811358092132</v>
      </c>
    </row>
    <row r="104" spans="1:4">
      <c r="A104" s="4">
        <v>46784</v>
      </c>
      <c r="B104">
        <v>0.45952109004739328</v>
      </c>
      <c r="C104">
        <f t="shared" si="2"/>
        <v>1.0045952109004739</v>
      </c>
      <c r="D104">
        <f t="shared" si="3"/>
        <v>1.7437574162053207</v>
      </c>
    </row>
    <row r="105" spans="1:4">
      <c r="A105" s="4">
        <v>46813</v>
      </c>
      <c r="B105">
        <v>0.69624407582938375</v>
      </c>
      <c r="C105">
        <f t="shared" si="2"/>
        <v>1.0069624407582938</v>
      </c>
      <c r="D105">
        <f t="shared" si="3"/>
        <v>1.7558982239124856</v>
      </c>
    </row>
    <row r="106" spans="1:4">
      <c r="A106" s="4">
        <v>46844</v>
      </c>
      <c r="B106">
        <v>0.77979336492890983</v>
      </c>
      <c r="C106">
        <f t="shared" si="2"/>
        <v>1.007797933649289</v>
      </c>
      <c r="D106">
        <f t="shared" si="3"/>
        <v>1.7695906017574596</v>
      </c>
    </row>
    <row r="107" spans="1:4">
      <c r="A107" s="4">
        <v>46874</v>
      </c>
      <c r="B107">
        <v>0.36204691943127953</v>
      </c>
      <c r="C107">
        <f t="shared" si="2"/>
        <v>1.0036204691943127</v>
      </c>
      <c r="D107">
        <f t="shared" si="3"/>
        <v>1.7759973500176678</v>
      </c>
    </row>
    <row r="108" spans="1:4">
      <c r="A108" s="4">
        <v>46905</v>
      </c>
      <c r="B108">
        <v>0.33419715639810421</v>
      </c>
      <c r="C108">
        <f t="shared" si="2"/>
        <v>1.0033419715639811</v>
      </c>
      <c r="D108">
        <f t="shared" si="3"/>
        <v>1.7819326826591326</v>
      </c>
    </row>
    <row r="109" spans="1:4">
      <c r="A109" s="4">
        <v>46935</v>
      </c>
      <c r="B109">
        <v>0.30634739336492883</v>
      </c>
      <c r="C109">
        <f t="shared" si="2"/>
        <v>1.0030634739336493</v>
      </c>
      <c r="D109">
        <f t="shared" si="3"/>
        <v>1.7873915869839765</v>
      </c>
    </row>
    <row r="110" spans="1:4">
      <c r="A110" s="4">
        <v>46966</v>
      </c>
      <c r="B110">
        <v>0.15317369668246442</v>
      </c>
      <c r="C110">
        <f t="shared" si="2"/>
        <v>1.0015317369668246</v>
      </c>
      <c r="D110">
        <f t="shared" si="3"/>
        <v>1.7901294007519513</v>
      </c>
    </row>
    <row r="111" spans="1:4">
      <c r="A111" s="4">
        <v>46997</v>
      </c>
      <c r="B111">
        <v>8.3549289099526053E-2</v>
      </c>
      <c r="C111">
        <f t="shared" si="2"/>
        <v>1.0008354928909953</v>
      </c>
      <c r="D111">
        <f t="shared" si="3"/>
        <v>1.7916250411402412</v>
      </c>
    </row>
    <row r="112" spans="1:4">
      <c r="A112" s="4">
        <v>47027</v>
      </c>
      <c r="B112">
        <v>0.1113990521327014</v>
      </c>
      <c r="C112">
        <f t="shared" si="2"/>
        <v>1.0011139905213271</v>
      </c>
      <c r="D112">
        <f t="shared" si="3"/>
        <v>1.7936208944538437</v>
      </c>
    </row>
    <row r="113" spans="1:4">
      <c r="A113" s="4">
        <v>47058</v>
      </c>
      <c r="B113">
        <v>0.65791090047393341</v>
      </c>
      <c r="C113">
        <f t="shared" si="2"/>
        <v>1.0065791090047393</v>
      </c>
      <c r="D113">
        <f t="shared" si="3"/>
        <v>1.8054213218316335</v>
      </c>
    </row>
    <row r="114" spans="1:4">
      <c r="A114" s="4">
        <v>47088</v>
      </c>
      <c r="B114">
        <v>1.3578161137440754</v>
      </c>
      <c r="C114">
        <f t="shared" si="2"/>
        <v>1.0135781611374408</v>
      </c>
      <c r="D114">
        <f t="shared" si="3"/>
        <v>1.8299356234604349</v>
      </c>
    </row>
    <row r="115" spans="1:4">
      <c r="A115" s="4">
        <v>47119</v>
      </c>
      <c r="B115">
        <v>0.5879203791469193</v>
      </c>
      <c r="C115">
        <f t="shared" si="2"/>
        <v>1.0058792037914692</v>
      </c>
      <c r="D115">
        <f t="shared" si="3"/>
        <v>1.8406941879160281</v>
      </c>
    </row>
    <row r="116" spans="1:4">
      <c r="A116" s="4">
        <v>47150</v>
      </c>
      <c r="B116">
        <v>0.46193744075829374</v>
      </c>
      <c r="C116">
        <f t="shared" si="2"/>
        <v>1.0046193744075829</v>
      </c>
      <c r="D116">
        <f t="shared" si="3"/>
        <v>1.8491970435398739</v>
      </c>
    </row>
    <row r="117" spans="1:4">
      <c r="A117" s="4">
        <v>47178</v>
      </c>
      <c r="B117">
        <v>0.6999052132701421</v>
      </c>
      <c r="C117">
        <f t="shared" si="2"/>
        <v>1.0069990521327015</v>
      </c>
      <c r="D117">
        <f t="shared" si="3"/>
        <v>1.8621396700512469</v>
      </c>
    </row>
    <row r="118" spans="1:4">
      <c r="A118" s="4">
        <v>47209</v>
      </c>
      <c r="B118">
        <v>0.78389383886255903</v>
      </c>
      <c r="C118">
        <f t="shared" si="2"/>
        <v>1.0078389383886255</v>
      </c>
      <c r="D118">
        <f t="shared" si="3"/>
        <v>1.8767368681957941</v>
      </c>
    </row>
    <row r="119" spans="1:4">
      <c r="A119" s="4">
        <v>47239</v>
      </c>
      <c r="B119">
        <v>0.36395071090047387</v>
      </c>
      <c r="C119">
        <f t="shared" si="2"/>
        <v>1.0036395071090047</v>
      </c>
      <c r="D119">
        <f t="shared" si="3"/>
        <v>1.8835672653693241</v>
      </c>
    </row>
    <row r="120" spans="1:4">
      <c r="A120" s="4">
        <v>47270</v>
      </c>
      <c r="B120">
        <v>0.33595450236966817</v>
      </c>
      <c r="C120">
        <f t="shared" si="2"/>
        <v>1.0033595450236967</v>
      </c>
      <c r="D120">
        <f t="shared" si="3"/>
        <v>1.8898951944024935</v>
      </c>
    </row>
    <row r="121" spans="1:4">
      <c r="A121" s="4">
        <v>47300</v>
      </c>
      <c r="B121">
        <v>0.30795829383886247</v>
      </c>
      <c r="C121">
        <f t="shared" si="2"/>
        <v>1.0030795829383887</v>
      </c>
      <c r="D121">
        <f t="shared" si="3"/>
        <v>1.8957152833985182</v>
      </c>
    </row>
  </sheetData>
  <pageMargins left="0.511811024" right="0.511811024" top="0.78740157499999996" bottom="0.78740157499999996" header="0.31496062000000002" footer="0.31496062000000002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4B4C0-5855-4EB9-82ED-12E094729A86}">
  <sheetPr codeName="Planilha28"/>
  <dimension ref="A1:D85"/>
  <sheetViews>
    <sheetView workbookViewId="0">
      <selection activeCell="A5" sqref="A5:B84"/>
    </sheetView>
  </sheetViews>
  <sheetFormatPr defaultRowHeight="15"/>
  <sheetData>
    <row r="1" spans="1:4">
      <c r="A1" t="s">
        <v>21</v>
      </c>
      <c r="B1" t="s">
        <v>146</v>
      </c>
      <c r="C1" t="s">
        <v>22</v>
      </c>
      <c r="D1" t="s">
        <v>147</v>
      </c>
    </row>
    <row r="2" spans="1:4">
      <c r="A2" s="4">
        <v>43586</v>
      </c>
      <c r="B2" s="5">
        <v>0.13</v>
      </c>
      <c r="C2">
        <f>1+B2/100</f>
        <v>1.0013000000000001</v>
      </c>
      <c r="D2">
        <v>1.0013000000000001</v>
      </c>
    </row>
    <row r="3" spans="1:4">
      <c r="A3" s="4">
        <v>43617</v>
      </c>
      <c r="B3" s="5">
        <v>0.01</v>
      </c>
      <c r="C3">
        <f t="shared" ref="C3:C66" si="0">1+B3/100</f>
        <v>1.0001</v>
      </c>
      <c r="D3">
        <f>C3*D2</f>
        <v>1.0014001300000002</v>
      </c>
    </row>
    <row r="4" spans="1:4">
      <c r="A4" s="4">
        <v>43647</v>
      </c>
      <c r="B4" s="5">
        <v>0.19</v>
      </c>
      <c r="C4">
        <f t="shared" si="0"/>
        <v>1.0019</v>
      </c>
      <c r="D4">
        <f t="shared" ref="D4:D67" si="1">C4*D3</f>
        <v>1.0033027902470002</v>
      </c>
    </row>
    <row r="5" spans="1:4">
      <c r="A5" s="4">
        <v>43678</v>
      </c>
      <c r="B5" s="5">
        <v>0.11</v>
      </c>
      <c r="C5">
        <f t="shared" si="0"/>
        <v>1.0011000000000001</v>
      </c>
      <c r="D5">
        <f t="shared" si="1"/>
        <v>1.0044064233162719</v>
      </c>
    </row>
    <row r="6" spans="1:4">
      <c r="A6" s="4">
        <v>43709</v>
      </c>
      <c r="B6" s="5">
        <v>-0.04</v>
      </c>
      <c r="C6">
        <f t="shared" si="0"/>
        <v>0.99960000000000004</v>
      </c>
      <c r="D6">
        <f t="shared" si="1"/>
        <v>1.0040046607469455</v>
      </c>
    </row>
    <row r="7" spans="1:4">
      <c r="A7" s="4">
        <v>43739</v>
      </c>
      <c r="B7" s="5">
        <v>0.1</v>
      </c>
      <c r="C7">
        <f t="shared" si="0"/>
        <v>1.0009999999999999</v>
      </c>
      <c r="D7">
        <f t="shared" si="1"/>
        <v>1.0050086654076924</v>
      </c>
    </row>
    <row r="8" spans="1:4">
      <c r="A8" s="4">
        <v>43770</v>
      </c>
      <c r="B8" s="5">
        <v>0.51</v>
      </c>
      <c r="C8">
        <f t="shared" si="0"/>
        <v>1.0051000000000001</v>
      </c>
      <c r="D8">
        <f t="shared" si="1"/>
        <v>1.0101342096012718</v>
      </c>
    </row>
    <row r="9" spans="1:4">
      <c r="A9" s="4">
        <v>43800</v>
      </c>
      <c r="B9" s="5">
        <v>1.1499999999999999</v>
      </c>
      <c r="C9">
        <f t="shared" si="0"/>
        <v>1.0115000000000001</v>
      </c>
      <c r="D9">
        <f t="shared" si="1"/>
        <v>1.0217507530116865</v>
      </c>
    </row>
    <row r="10" spans="1:4">
      <c r="A10" s="4">
        <v>43831</v>
      </c>
      <c r="B10" s="5">
        <v>0.21</v>
      </c>
      <c r="C10">
        <f t="shared" si="0"/>
        <v>1.0021</v>
      </c>
      <c r="D10">
        <f t="shared" si="1"/>
        <v>1.0238964295930111</v>
      </c>
    </row>
    <row r="11" spans="1:4">
      <c r="A11" s="4">
        <v>43862</v>
      </c>
      <c r="B11" s="5">
        <v>0.25</v>
      </c>
      <c r="C11">
        <f t="shared" si="0"/>
        <v>1.0024999999999999</v>
      </c>
      <c r="D11">
        <f t="shared" si="1"/>
        <v>1.0264561706669935</v>
      </c>
    </row>
    <row r="12" spans="1:4">
      <c r="A12" s="4">
        <v>43891</v>
      </c>
      <c r="B12" s="5">
        <v>7.0000000000000007E-2</v>
      </c>
      <c r="C12">
        <f t="shared" si="0"/>
        <v>1.0006999999999999</v>
      </c>
      <c r="D12">
        <f t="shared" si="1"/>
        <v>1.0271746899864602</v>
      </c>
    </row>
    <row r="13" spans="1:4">
      <c r="A13" s="4">
        <v>43922</v>
      </c>
      <c r="B13" s="5">
        <v>-0.31</v>
      </c>
      <c r="C13">
        <f t="shared" si="0"/>
        <v>0.99690000000000001</v>
      </c>
      <c r="D13">
        <f t="shared" si="1"/>
        <v>1.0239904484475022</v>
      </c>
    </row>
    <row r="14" spans="1:4">
      <c r="A14" s="4">
        <v>43952</v>
      </c>
      <c r="B14" s="5">
        <v>-0.38</v>
      </c>
      <c r="C14">
        <f t="shared" si="0"/>
        <v>0.99619999999999997</v>
      </c>
      <c r="D14">
        <f t="shared" si="1"/>
        <v>1.0200992847434016</v>
      </c>
    </row>
    <row r="15" spans="1:4">
      <c r="A15" s="4">
        <v>43983</v>
      </c>
      <c r="B15" s="5">
        <v>0.26</v>
      </c>
      <c r="C15">
        <f t="shared" si="0"/>
        <v>1.0025999999999999</v>
      </c>
      <c r="D15">
        <f t="shared" si="1"/>
        <v>1.0227515428837344</v>
      </c>
    </row>
    <row r="16" spans="1:4">
      <c r="A16" s="4">
        <v>44013</v>
      </c>
      <c r="B16" s="5">
        <v>0.36</v>
      </c>
      <c r="C16">
        <f t="shared" si="0"/>
        <v>1.0036</v>
      </c>
      <c r="D16">
        <f t="shared" si="1"/>
        <v>1.0264334484381159</v>
      </c>
    </row>
    <row r="17" spans="1:4">
      <c r="A17" s="4">
        <v>44044</v>
      </c>
      <c r="B17" s="5">
        <v>0.24</v>
      </c>
      <c r="C17">
        <f t="shared" si="0"/>
        <v>1.0024</v>
      </c>
      <c r="D17">
        <f t="shared" si="1"/>
        <v>1.0288968887143672</v>
      </c>
    </row>
    <row r="18" spans="1:4">
      <c r="A18" s="4">
        <v>44075</v>
      </c>
      <c r="B18" s="5">
        <v>0.64</v>
      </c>
      <c r="C18">
        <f t="shared" si="0"/>
        <v>1.0064</v>
      </c>
      <c r="D18">
        <f t="shared" si="1"/>
        <v>1.0354818288021392</v>
      </c>
    </row>
    <row r="19" spans="1:4">
      <c r="A19" s="4">
        <v>44105</v>
      </c>
      <c r="B19" s="5">
        <v>0.86</v>
      </c>
      <c r="C19">
        <f t="shared" si="0"/>
        <v>1.0085999999999999</v>
      </c>
      <c r="D19">
        <f t="shared" si="1"/>
        <v>1.0443869725298376</v>
      </c>
    </row>
    <row r="20" spans="1:4">
      <c r="A20" s="4">
        <v>44136</v>
      </c>
      <c r="B20" s="5">
        <v>0.89</v>
      </c>
      <c r="C20">
        <f t="shared" si="0"/>
        <v>1.0088999999999999</v>
      </c>
      <c r="D20">
        <f t="shared" si="1"/>
        <v>1.0536820165853531</v>
      </c>
    </row>
    <row r="21" spans="1:4">
      <c r="A21" s="4">
        <v>44166</v>
      </c>
      <c r="B21" s="5">
        <v>1.35</v>
      </c>
      <c r="C21">
        <f t="shared" si="0"/>
        <v>1.0135000000000001</v>
      </c>
      <c r="D21">
        <f t="shared" si="1"/>
        <v>1.0679067238092554</v>
      </c>
    </row>
    <row r="22" spans="1:4">
      <c r="A22" s="4">
        <v>44197</v>
      </c>
      <c r="B22" s="5">
        <v>0.25</v>
      </c>
      <c r="C22">
        <f t="shared" si="0"/>
        <v>1.0024999999999999</v>
      </c>
      <c r="D22">
        <f t="shared" si="1"/>
        <v>1.0705764906187785</v>
      </c>
    </row>
    <row r="23" spans="1:4">
      <c r="A23" s="4">
        <v>44228</v>
      </c>
      <c r="B23" s="5">
        <v>0.86</v>
      </c>
      <c r="C23">
        <f t="shared" si="0"/>
        <v>1.0085999999999999</v>
      </c>
      <c r="D23">
        <f t="shared" si="1"/>
        <v>1.0797834484380999</v>
      </c>
    </row>
    <row r="24" spans="1:4">
      <c r="A24" s="4">
        <v>44256</v>
      </c>
      <c r="B24" s="5">
        <v>0.93</v>
      </c>
      <c r="C24">
        <f t="shared" si="0"/>
        <v>1.0093000000000001</v>
      </c>
      <c r="D24">
        <f t="shared" si="1"/>
        <v>1.0898254345085743</v>
      </c>
    </row>
    <row r="25" spans="1:4">
      <c r="A25" s="4">
        <v>44287</v>
      </c>
      <c r="B25" s="5">
        <v>0.31</v>
      </c>
      <c r="C25">
        <f t="shared" si="0"/>
        <v>1.0031000000000001</v>
      </c>
      <c r="D25">
        <f t="shared" si="1"/>
        <v>1.093203893355551</v>
      </c>
    </row>
    <row r="26" spans="1:4">
      <c r="A26" s="4">
        <v>44317</v>
      </c>
      <c r="B26" s="5">
        <v>0.83</v>
      </c>
      <c r="C26">
        <f t="shared" si="0"/>
        <v>1.0083</v>
      </c>
      <c r="D26">
        <f t="shared" si="1"/>
        <v>1.1022774856704021</v>
      </c>
    </row>
    <row r="27" spans="1:4">
      <c r="A27" s="4">
        <v>44348</v>
      </c>
      <c r="B27" s="5">
        <v>0.53</v>
      </c>
      <c r="C27">
        <f t="shared" si="0"/>
        <v>1.0053000000000001</v>
      </c>
      <c r="D27">
        <f t="shared" si="1"/>
        <v>1.1081195563444552</v>
      </c>
    </row>
    <row r="28" spans="1:4">
      <c r="A28" s="4">
        <v>44378</v>
      </c>
      <c r="B28" s="5">
        <v>0.96</v>
      </c>
      <c r="C28">
        <f t="shared" si="0"/>
        <v>1.0096000000000001</v>
      </c>
      <c r="D28">
        <f t="shared" si="1"/>
        <v>1.1187575040853621</v>
      </c>
    </row>
    <row r="29" spans="1:4">
      <c r="A29" s="4">
        <v>44409</v>
      </c>
      <c r="B29" s="5">
        <v>0.87</v>
      </c>
      <c r="C29">
        <f t="shared" si="0"/>
        <v>1.0086999999999999</v>
      </c>
      <c r="D29">
        <f t="shared" si="1"/>
        <v>1.1284906943709048</v>
      </c>
    </row>
    <row r="30" spans="1:4">
      <c r="A30" s="4">
        <v>44440</v>
      </c>
      <c r="B30" s="5">
        <v>1.1599999999999999</v>
      </c>
      <c r="C30">
        <f t="shared" si="0"/>
        <v>1.0116000000000001</v>
      </c>
      <c r="D30">
        <f t="shared" si="1"/>
        <v>1.1415811864256074</v>
      </c>
    </row>
    <row r="31" spans="1:4">
      <c r="A31" s="4">
        <v>44470</v>
      </c>
      <c r="B31" s="5">
        <v>1.25</v>
      </c>
      <c r="C31">
        <f t="shared" si="0"/>
        <v>1.0125</v>
      </c>
      <c r="D31">
        <f t="shared" si="1"/>
        <v>1.1558509512559274</v>
      </c>
    </row>
    <row r="32" spans="1:4">
      <c r="A32" s="4">
        <v>44501</v>
      </c>
      <c r="B32" s="5">
        <v>0.95</v>
      </c>
      <c r="C32">
        <f t="shared" si="0"/>
        <v>1.0095000000000001</v>
      </c>
      <c r="D32">
        <f t="shared" si="1"/>
        <v>1.1668315352928589</v>
      </c>
    </row>
    <row r="33" spans="1:4">
      <c r="A33" s="4">
        <v>44531</v>
      </c>
      <c r="B33" s="5">
        <v>0.73</v>
      </c>
      <c r="C33">
        <f t="shared" si="0"/>
        <v>1.0073000000000001</v>
      </c>
      <c r="D33">
        <f t="shared" si="1"/>
        <v>1.1753494055004969</v>
      </c>
    </row>
    <row r="34" spans="1:4">
      <c r="A34" s="4">
        <v>44562</v>
      </c>
      <c r="B34" s="5">
        <v>0.54</v>
      </c>
      <c r="C34">
        <f t="shared" si="0"/>
        <v>1.0054000000000001</v>
      </c>
      <c r="D34">
        <f t="shared" si="1"/>
        <v>1.1816962922901997</v>
      </c>
    </row>
    <row r="35" spans="1:4">
      <c r="A35" s="4">
        <v>44593</v>
      </c>
      <c r="B35" s="5">
        <v>1.01</v>
      </c>
      <c r="C35">
        <f t="shared" si="0"/>
        <v>1.0101</v>
      </c>
      <c r="D35">
        <f t="shared" si="1"/>
        <v>1.1936314248423308</v>
      </c>
    </row>
    <row r="36" spans="1:4">
      <c r="A36" s="4">
        <v>44621</v>
      </c>
      <c r="B36" s="5">
        <v>1.62</v>
      </c>
      <c r="C36">
        <f t="shared" si="0"/>
        <v>1.0162</v>
      </c>
      <c r="D36">
        <f t="shared" si="1"/>
        <v>1.2129682539247766</v>
      </c>
    </row>
    <row r="37" spans="1:4">
      <c r="A37" s="4">
        <v>44652</v>
      </c>
      <c r="B37" s="5">
        <v>1.06</v>
      </c>
      <c r="C37">
        <f t="shared" si="0"/>
        <v>1.0105999999999999</v>
      </c>
      <c r="D37">
        <f t="shared" si="1"/>
        <v>1.2258257174163791</v>
      </c>
    </row>
    <row r="38" spans="1:4">
      <c r="A38" s="4">
        <v>44682</v>
      </c>
      <c r="B38" s="5">
        <v>0.47</v>
      </c>
      <c r="C38">
        <f t="shared" si="0"/>
        <v>1.0046999999999999</v>
      </c>
      <c r="D38">
        <f t="shared" si="1"/>
        <v>1.231587098288236</v>
      </c>
    </row>
    <row r="39" spans="1:4">
      <c r="A39" s="4">
        <v>44713</v>
      </c>
      <c r="B39" s="5">
        <v>0.67</v>
      </c>
      <c r="C39">
        <f t="shared" si="0"/>
        <v>1.0066999999999999</v>
      </c>
      <c r="D39">
        <f t="shared" si="1"/>
        <v>1.2398387318467672</v>
      </c>
    </row>
    <row r="40" spans="1:4">
      <c r="A40" s="4">
        <v>44743</v>
      </c>
      <c r="B40" s="5">
        <v>-0.68</v>
      </c>
      <c r="C40">
        <f t="shared" si="0"/>
        <v>0.99319999999999997</v>
      </c>
      <c r="D40">
        <f t="shared" si="1"/>
        <v>1.2314078284702092</v>
      </c>
    </row>
    <row r="41" spans="1:4">
      <c r="A41" s="4">
        <v>44774</v>
      </c>
      <c r="B41" s="5">
        <v>-0.36</v>
      </c>
      <c r="C41">
        <f t="shared" si="0"/>
        <v>0.99639999999999995</v>
      </c>
      <c r="D41">
        <f t="shared" si="1"/>
        <v>1.2269747602877163</v>
      </c>
    </row>
    <row r="42" spans="1:4">
      <c r="A42" s="4">
        <v>44805</v>
      </c>
      <c r="B42" s="5">
        <v>-0.28999999999999998</v>
      </c>
      <c r="C42">
        <f t="shared" si="0"/>
        <v>0.99709999999999999</v>
      </c>
      <c r="D42">
        <f t="shared" si="1"/>
        <v>1.2234165334828819</v>
      </c>
    </row>
    <row r="43" spans="1:4">
      <c r="A43" s="4">
        <v>44835</v>
      </c>
      <c r="B43">
        <v>0.33</v>
      </c>
      <c r="C43">
        <f t="shared" si="0"/>
        <v>1.0033000000000001</v>
      </c>
      <c r="D43">
        <f t="shared" si="1"/>
        <v>1.2274538080433754</v>
      </c>
    </row>
    <row r="44" spans="1:4">
      <c r="A44" s="4">
        <v>44866</v>
      </c>
      <c r="B44">
        <v>0.94638500140897963</v>
      </c>
      <c r="C44">
        <f t="shared" si="0"/>
        <v>1.0094638500140898</v>
      </c>
      <c r="D44">
        <f t="shared" si="1"/>
        <v>1.2390702467819212</v>
      </c>
    </row>
    <row r="45" spans="1:4">
      <c r="A45" s="4">
        <v>44896</v>
      </c>
      <c r="B45">
        <v>1.9531775560993834</v>
      </c>
      <c r="C45">
        <f t="shared" si="0"/>
        <v>1.0195317755609938</v>
      </c>
      <c r="D45">
        <f t="shared" si="1"/>
        <v>1.263271488746371</v>
      </c>
    </row>
    <row r="46" spans="1:4">
      <c r="A46" s="4">
        <v>44927</v>
      </c>
      <c r="B46">
        <v>0.84570574593993919</v>
      </c>
      <c r="C46">
        <f t="shared" si="0"/>
        <v>1.0084570574593994</v>
      </c>
      <c r="D46">
        <f t="shared" si="1"/>
        <v>1.27395504831352</v>
      </c>
    </row>
    <row r="47" spans="1:4">
      <c r="A47" s="4">
        <v>44958</v>
      </c>
      <c r="B47">
        <v>0.66448308609566664</v>
      </c>
      <c r="C47">
        <f t="shared" si="0"/>
        <v>1.0066448308609566</v>
      </c>
      <c r="D47">
        <f t="shared" si="1"/>
        <v>1.2824202641340252</v>
      </c>
    </row>
    <row r="48" spans="1:4">
      <c r="A48" s="4">
        <v>44986</v>
      </c>
      <c r="B48">
        <v>1.006792554690404</v>
      </c>
      <c r="C48">
        <f t="shared" si="0"/>
        <v>1.0100679255469041</v>
      </c>
      <c r="D48">
        <f t="shared" si="1"/>
        <v>1.2953315758731676</v>
      </c>
    </row>
    <row r="49" spans="1:4">
      <c r="A49" s="4">
        <v>45017</v>
      </c>
      <c r="B49">
        <v>1.1276076612532524</v>
      </c>
      <c r="C49">
        <f t="shared" si="0"/>
        <v>1.0112760766125326</v>
      </c>
      <c r="D49">
        <f t="shared" si="1"/>
        <v>1.3099378339613461</v>
      </c>
    </row>
    <row r="50" spans="1:4">
      <c r="A50" s="4">
        <v>45047</v>
      </c>
      <c r="B50">
        <v>0.41494999999999999</v>
      </c>
      <c r="C50">
        <f t="shared" si="0"/>
        <v>1.0041495</v>
      </c>
      <c r="D50">
        <f t="shared" si="1"/>
        <v>1.3153734210033687</v>
      </c>
    </row>
    <row r="51" spans="1:4">
      <c r="A51" s="4">
        <v>45078</v>
      </c>
      <c r="B51">
        <v>0.38303300000000001</v>
      </c>
      <c r="C51">
        <f t="shared" si="0"/>
        <v>1.00383033</v>
      </c>
      <c r="D51">
        <f t="shared" si="1"/>
        <v>1.3204117352790405</v>
      </c>
    </row>
    <row r="52" spans="1:4">
      <c r="A52" s="4">
        <v>45108</v>
      </c>
      <c r="B52">
        <v>0.35111999999999999</v>
      </c>
      <c r="C52">
        <f t="shared" si="0"/>
        <v>1.0035111999999999</v>
      </c>
      <c r="D52">
        <f t="shared" si="1"/>
        <v>1.3250479649639522</v>
      </c>
    </row>
    <row r="53" spans="1:4">
      <c r="A53" s="4">
        <v>45139</v>
      </c>
      <c r="B53">
        <v>0.17555687203791467</v>
      </c>
      <c r="C53">
        <f t="shared" si="0"/>
        <v>1.0017555687203792</v>
      </c>
      <c r="D53">
        <f t="shared" si="1"/>
        <v>1.3273741777242449</v>
      </c>
    </row>
    <row r="54" spans="1:4">
      <c r="A54" s="4">
        <v>45170</v>
      </c>
      <c r="B54">
        <v>9.5758293838862543E-2</v>
      </c>
      <c r="C54">
        <f t="shared" si="0"/>
        <v>1.0009575829383885</v>
      </c>
      <c r="D54">
        <f t="shared" si="1"/>
        <v>1.3286452485896911</v>
      </c>
    </row>
    <row r="55" spans="1:4">
      <c r="A55" s="4">
        <v>45200</v>
      </c>
      <c r="B55">
        <v>0.12767772511848341</v>
      </c>
      <c r="C55">
        <f t="shared" si="0"/>
        <v>1.0012767772511848</v>
      </c>
      <c r="D55">
        <f t="shared" si="1"/>
        <v>1.3303416326179853</v>
      </c>
    </row>
    <row r="56" spans="1:4">
      <c r="A56" s="4">
        <v>45231</v>
      </c>
      <c r="B56">
        <v>0.66754478672985762</v>
      </c>
      <c r="C56">
        <f t="shared" si="0"/>
        <v>1.0066754478672986</v>
      </c>
      <c r="D56">
        <f t="shared" si="1"/>
        <v>1.3392222588322236</v>
      </c>
    </row>
    <row r="57" spans="1:4">
      <c r="A57" s="4">
        <v>45261</v>
      </c>
      <c r="B57">
        <v>1.3776988151658764</v>
      </c>
      <c r="C57">
        <f t="shared" si="0"/>
        <v>1.0137769881516587</v>
      </c>
      <c r="D57">
        <f t="shared" si="1"/>
        <v>1.3576727080245927</v>
      </c>
    </row>
    <row r="58" spans="1:4">
      <c r="A58" s="4">
        <v>45292</v>
      </c>
      <c r="B58">
        <v>0.59652938388625576</v>
      </c>
      <c r="C58">
        <f t="shared" si="0"/>
        <v>1.0059652938388626</v>
      </c>
      <c r="D58">
        <f t="shared" si="1"/>
        <v>1.3657716246649636</v>
      </c>
    </row>
    <row r="59" spans="1:4">
      <c r="A59" s="4">
        <v>45323</v>
      </c>
      <c r="B59">
        <v>0.46870165876777242</v>
      </c>
      <c r="C59">
        <f t="shared" si="0"/>
        <v>1.0046870165876778</v>
      </c>
      <c r="D59">
        <f t="shared" si="1"/>
        <v>1.3721730189247479</v>
      </c>
    </row>
    <row r="60" spans="1:4">
      <c r="A60" s="4">
        <v>45352</v>
      </c>
      <c r="B60">
        <v>0.71015402843601882</v>
      </c>
      <c r="C60">
        <f t="shared" si="0"/>
        <v>1.0071015402843602</v>
      </c>
      <c r="D60">
        <f t="shared" si="1"/>
        <v>1.3819175608957541</v>
      </c>
    </row>
    <row r="61" spans="1:4">
      <c r="A61" s="4">
        <v>45383</v>
      </c>
      <c r="B61">
        <v>0.79537251184834112</v>
      </c>
      <c r="C61">
        <f t="shared" si="0"/>
        <v>1.0079537251184834</v>
      </c>
      <c r="D61">
        <f t="shared" si="1"/>
        <v>1.392908953311524</v>
      </c>
    </row>
    <row r="62" spans="1:4">
      <c r="A62" s="4">
        <v>45413</v>
      </c>
      <c r="B62">
        <v>0.3692800947867298</v>
      </c>
      <c r="C62">
        <f t="shared" si="0"/>
        <v>1.0036928009478674</v>
      </c>
      <c r="D62">
        <f t="shared" si="1"/>
        <v>1.3980526888146056</v>
      </c>
    </row>
    <row r="63" spans="1:4">
      <c r="A63" s="4">
        <v>45444</v>
      </c>
      <c r="B63">
        <v>0.34087393364928903</v>
      </c>
      <c r="C63">
        <f t="shared" si="0"/>
        <v>1.003408739336493</v>
      </c>
      <c r="D63">
        <f t="shared" si="1"/>
        <v>1.4028182860094578</v>
      </c>
    </row>
    <row r="64" spans="1:4">
      <c r="A64" s="4">
        <v>45474</v>
      </c>
      <c r="B64">
        <v>0.31246777251184826</v>
      </c>
      <c r="C64">
        <f t="shared" si="0"/>
        <v>1.0031246777251184</v>
      </c>
      <c r="D64">
        <f t="shared" si="1"/>
        <v>1.4072016410601402</v>
      </c>
    </row>
    <row r="65" spans="1:4">
      <c r="A65" s="4">
        <v>45505</v>
      </c>
      <c r="B65">
        <v>0.15623388625592413</v>
      </c>
      <c r="C65">
        <f t="shared" si="0"/>
        <v>1.0015623388625592</v>
      </c>
      <c r="D65">
        <f t="shared" si="1"/>
        <v>1.4094001668714256</v>
      </c>
    </row>
    <row r="66" spans="1:4">
      <c r="A66" s="4">
        <v>45536</v>
      </c>
      <c r="B66">
        <v>8.5218483412322257E-2</v>
      </c>
      <c r="C66">
        <f t="shared" si="0"/>
        <v>1.0008521848341232</v>
      </c>
      <c r="D66">
        <f t="shared" si="1"/>
        <v>1.410601236318844</v>
      </c>
    </row>
    <row r="67" spans="1:4">
      <c r="A67" s="4">
        <v>45566</v>
      </c>
      <c r="B67">
        <v>0.11362464454976301</v>
      </c>
      <c r="C67">
        <f t="shared" ref="C67:C85" si="2">1+B67/100</f>
        <v>1.0011362464454976</v>
      </c>
      <c r="D67">
        <f t="shared" si="1"/>
        <v>1.4122040269596259</v>
      </c>
    </row>
    <row r="68" spans="1:4">
      <c r="A68" s="4">
        <v>45597</v>
      </c>
      <c r="B68">
        <v>0.64748625592417042</v>
      </c>
      <c r="C68">
        <f t="shared" si="2"/>
        <v>1.0064748625592417</v>
      </c>
      <c r="D68">
        <f t="shared" ref="D68:D85" si="3">C68*D67</f>
        <v>1.421347853939797</v>
      </c>
    </row>
    <row r="69" spans="1:4">
      <c r="A69" s="4">
        <v>45627</v>
      </c>
      <c r="B69">
        <v>1.3363014218009477</v>
      </c>
      <c r="C69">
        <f t="shared" si="2"/>
        <v>1.0133630142180095</v>
      </c>
      <c r="D69">
        <f t="shared" si="3"/>
        <v>1.4403413455207317</v>
      </c>
    </row>
    <row r="70" spans="1:4">
      <c r="A70" s="4">
        <v>45658</v>
      </c>
      <c r="B70">
        <v>0.57860473933649281</v>
      </c>
      <c r="C70">
        <f t="shared" si="2"/>
        <v>1.0057860473933649</v>
      </c>
      <c r="D70">
        <f t="shared" si="3"/>
        <v>1.4486752288085376</v>
      </c>
    </row>
    <row r="71" spans="1:4">
      <c r="A71" s="4">
        <v>45689</v>
      </c>
      <c r="B71">
        <v>0.45461800947867292</v>
      </c>
      <c r="C71">
        <f t="shared" si="2"/>
        <v>1.0045461800947868</v>
      </c>
      <c r="D71">
        <f t="shared" si="3"/>
        <v>1.4552611672975577</v>
      </c>
    </row>
    <row r="72" spans="1:4">
      <c r="A72" s="4">
        <v>45717</v>
      </c>
      <c r="B72">
        <v>0.68881516587677716</v>
      </c>
      <c r="C72">
        <f t="shared" si="2"/>
        <v>1.0068881516587678</v>
      </c>
      <c r="D72">
        <f t="shared" si="3"/>
        <v>1.4652852269210188</v>
      </c>
    </row>
    <row r="73" spans="1:4">
      <c r="A73" s="4">
        <v>45748</v>
      </c>
      <c r="B73">
        <v>0.77147298578199042</v>
      </c>
      <c r="C73">
        <f t="shared" si="2"/>
        <v>1.00771472985782</v>
      </c>
      <c r="D73">
        <f t="shared" si="3"/>
        <v>1.4765895066113688</v>
      </c>
    </row>
    <row r="74" spans="1:4">
      <c r="A74" s="4">
        <v>45778</v>
      </c>
      <c r="B74">
        <v>0.35818388625592412</v>
      </c>
      <c r="C74">
        <f t="shared" si="2"/>
        <v>1.0035818388625593</v>
      </c>
      <c r="D74">
        <f t="shared" si="3"/>
        <v>1.4818784122901967</v>
      </c>
    </row>
    <row r="75" spans="1:4">
      <c r="A75" s="4">
        <v>45809</v>
      </c>
      <c r="B75">
        <v>0.33063127962085304</v>
      </c>
      <c r="C75">
        <f t="shared" si="2"/>
        <v>1.0033063127962085</v>
      </c>
      <c r="D75">
        <f t="shared" si="3"/>
        <v>1.4867779658471769</v>
      </c>
    </row>
    <row r="76" spans="1:4">
      <c r="A76" s="4">
        <v>45839</v>
      </c>
      <c r="B76">
        <v>0.30307867298578195</v>
      </c>
      <c r="C76">
        <f t="shared" si="2"/>
        <v>1.0030307867298578</v>
      </c>
      <c r="D76">
        <f t="shared" si="3"/>
        <v>1.4912840727763115</v>
      </c>
    </row>
    <row r="77" spans="1:4">
      <c r="A77" s="4">
        <v>45870</v>
      </c>
      <c r="B77">
        <v>0.15153933649289097</v>
      </c>
      <c r="C77">
        <f t="shared" si="2"/>
        <v>1.001515393364929</v>
      </c>
      <c r="D77">
        <f t="shared" si="3"/>
        <v>1.493543954765421</v>
      </c>
    </row>
    <row r="78" spans="1:4">
      <c r="A78" s="4">
        <v>45901</v>
      </c>
      <c r="B78">
        <v>8.2657819905213259E-2</v>
      </c>
      <c r="C78">
        <f t="shared" si="2"/>
        <v>1.0008265781990522</v>
      </c>
      <c r="D78">
        <f t="shared" si="3"/>
        <v>1.4947784856377564</v>
      </c>
    </row>
    <row r="79" spans="1:4">
      <c r="A79" s="4">
        <v>45931</v>
      </c>
      <c r="B79">
        <v>0.11021042654028435</v>
      </c>
      <c r="C79">
        <f t="shared" si="2"/>
        <v>1.0011021042654029</v>
      </c>
      <c r="D79">
        <f t="shared" si="3"/>
        <v>1.4964258873826102</v>
      </c>
    </row>
    <row r="80" spans="1:4">
      <c r="A80" s="4">
        <v>45962</v>
      </c>
      <c r="B80">
        <v>0.64681800947867285</v>
      </c>
      <c r="C80">
        <f t="shared" si="2"/>
        <v>1.0064681800947868</v>
      </c>
      <c r="D80">
        <f t="shared" si="3"/>
        <v>1.5061050395207021</v>
      </c>
    </row>
    <row r="81" spans="1:4">
      <c r="A81" s="4">
        <v>45992</v>
      </c>
      <c r="B81">
        <v>1.3349222748815164</v>
      </c>
      <c r="C81">
        <f t="shared" si="2"/>
        <v>1.0133492227488152</v>
      </c>
      <c r="D81">
        <f t="shared" si="3"/>
        <v>1.526210371176377</v>
      </c>
    </row>
    <row r="82" spans="1:4">
      <c r="A82" s="4">
        <v>46023</v>
      </c>
      <c r="B82">
        <v>0.5780075829383885</v>
      </c>
      <c r="C82">
        <f t="shared" si="2"/>
        <v>1.0057800758293838</v>
      </c>
      <c r="D82">
        <f t="shared" si="3"/>
        <v>1.5350319828533685</v>
      </c>
    </row>
    <row r="83" spans="1:4">
      <c r="A83" s="4">
        <v>46054</v>
      </c>
      <c r="B83">
        <v>0.45414881516587668</v>
      </c>
      <c r="C83">
        <f t="shared" si="2"/>
        <v>1.0045414881516588</v>
      </c>
      <c r="D83">
        <f t="shared" si="3"/>
        <v>1.5420033124159143</v>
      </c>
    </row>
    <row r="84" spans="1:4">
      <c r="A84" s="4">
        <v>46082</v>
      </c>
      <c r="B84">
        <v>0.68810426540284353</v>
      </c>
      <c r="C84">
        <f t="shared" si="2"/>
        <v>1.0068810426540284</v>
      </c>
      <c r="D84">
        <f t="shared" si="3"/>
        <v>1.5526139029813013</v>
      </c>
    </row>
    <row r="85" spans="1:4">
      <c r="A85" s="4">
        <v>46113</v>
      </c>
      <c r="B85">
        <v>0.77067677725118466</v>
      </c>
      <c r="C85">
        <f t="shared" si="2"/>
        <v>1.0077067677725118</v>
      </c>
      <c r="D85">
        <f t="shared" si="3"/>
        <v>1.5645795377719514</v>
      </c>
    </row>
  </sheetData>
  <pageMargins left="0.511811024" right="0.511811024" top="0.78740157499999996" bottom="0.78740157499999996" header="0.31496062000000002" footer="0.31496062000000002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F7808-B048-42EE-BEC4-F138427540D0}">
  <sheetPr codeName="Planilha29"/>
  <dimension ref="A1:F62"/>
  <sheetViews>
    <sheetView topLeftCell="A19" workbookViewId="0">
      <selection activeCell="B14" sqref="B14:B63"/>
    </sheetView>
  </sheetViews>
  <sheetFormatPr defaultRowHeight="15"/>
  <cols>
    <col min="1" max="1" width="11.140625" customWidth="1"/>
    <col min="2" max="2" width="14.7109375" customWidth="1"/>
    <col min="3" max="3" width="16.28515625" customWidth="1"/>
    <col min="4" max="4" width="9.28515625" customWidth="1"/>
    <col min="5" max="5" width="13.5703125" customWidth="1"/>
  </cols>
  <sheetData>
    <row r="1" spans="1:6">
      <c r="A1" t="s">
        <v>21</v>
      </c>
      <c r="B1" t="s">
        <v>138</v>
      </c>
      <c r="C1" t="s">
        <v>140</v>
      </c>
      <c r="D1" t="s">
        <v>116</v>
      </c>
      <c r="E1" t="s">
        <v>134</v>
      </c>
      <c r="F1" t="s">
        <v>130</v>
      </c>
    </row>
    <row r="2" spans="1:6">
      <c r="A2" s="4">
        <v>43556</v>
      </c>
      <c r="B2">
        <v>6.4000000000000001E-2</v>
      </c>
      <c r="C2">
        <f>((1+B2)^(21/252))-1</f>
        <v>5.1830014303420047E-3</v>
      </c>
      <c r="D2">
        <v>1.08</v>
      </c>
      <c r="E2">
        <f>C2*D2</f>
        <v>5.5976415447693655E-3</v>
      </c>
    </row>
    <row r="3" spans="1:6">
      <c r="A3" s="4">
        <v>43586</v>
      </c>
      <c r="B3">
        <v>6.4000000000000001E-2</v>
      </c>
      <c r="C3">
        <f t="shared" ref="C3:C62" si="0">((1+B3)^(21/252))-1</f>
        <v>5.1830014303420047E-3</v>
      </c>
      <c r="D3">
        <v>1.08</v>
      </c>
      <c r="E3">
        <f t="shared" ref="E3:E62" si="1">C3*D3</f>
        <v>5.5976415447693655E-3</v>
      </c>
    </row>
    <row r="4" spans="1:6">
      <c r="A4" s="4">
        <v>43617</v>
      </c>
      <c r="B4">
        <v>6.4000000000000001E-2</v>
      </c>
      <c r="C4">
        <f t="shared" si="0"/>
        <v>5.1830014303420047E-3</v>
      </c>
      <c r="D4">
        <v>1.08</v>
      </c>
      <c r="E4">
        <f t="shared" si="1"/>
        <v>5.5976415447693655E-3</v>
      </c>
    </row>
    <row r="5" spans="1:6">
      <c r="A5" s="4">
        <v>43647</v>
      </c>
      <c r="B5">
        <v>6.4000000000000001E-2</v>
      </c>
      <c r="C5">
        <f t="shared" si="0"/>
        <v>5.1830014303420047E-3</v>
      </c>
      <c r="D5">
        <v>1.08</v>
      </c>
      <c r="E5">
        <f t="shared" si="1"/>
        <v>5.5976415447693655E-3</v>
      </c>
    </row>
    <row r="6" spans="1:6">
      <c r="A6" s="4">
        <v>43678</v>
      </c>
      <c r="B6">
        <v>5.8999999999999997E-2</v>
      </c>
      <c r="C6">
        <f t="shared" si="0"/>
        <v>4.7885173650881185E-3</v>
      </c>
      <c r="D6">
        <v>1.08</v>
      </c>
      <c r="E6">
        <f t="shared" si="1"/>
        <v>5.1715987542951683E-3</v>
      </c>
    </row>
    <row r="7" spans="1:6">
      <c r="A7" s="4">
        <v>43709</v>
      </c>
      <c r="B7">
        <v>5.8999999999999997E-2</v>
      </c>
      <c r="C7">
        <f t="shared" si="0"/>
        <v>4.7885173650881185E-3</v>
      </c>
      <c r="D7">
        <v>1.08</v>
      </c>
      <c r="E7">
        <f t="shared" si="1"/>
        <v>5.1715987542951683E-3</v>
      </c>
    </row>
    <row r="8" spans="1:6">
      <c r="A8" s="4">
        <v>43739</v>
      </c>
      <c r="B8">
        <v>5.3999999999999999E-2</v>
      </c>
      <c r="C8">
        <f t="shared" si="0"/>
        <v>4.3923222705009035E-3</v>
      </c>
      <c r="D8">
        <v>1.08</v>
      </c>
      <c r="E8">
        <f t="shared" si="1"/>
        <v>4.7437080521409757E-3</v>
      </c>
    </row>
    <row r="9" spans="1:6">
      <c r="A9" s="4">
        <v>43770</v>
      </c>
      <c r="B9">
        <v>4.9000000000000002E-2</v>
      </c>
      <c r="C9">
        <f t="shared" si="0"/>
        <v>3.9944005553169681E-3</v>
      </c>
      <c r="D9">
        <v>1.08</v>
      </c>
      <c r="E9">
        <f t="shared" si="1"/>
        <v>4.3139525997423255E-3</v>
      </c>
    </row>
    <row r="10" spans="1:6">
      <c r="A10" s="4">
        <v>43800</v>
      </c>
      <c r="B10">
        <v>4.3999999999999997E-2</v>
      </c>
      <c r="C10">
        <f t="shared" si="0"/>
        <v>3.5947364110451296E-3</v>
      </c>
      <c r="D10">
        <v>1.08</v>
      </c>
      <c r="E10">
        <f t="shared" si="1"/>
        <v>3.8823153239287401E-3</v>
      </c>
    </row>
    <row r="11" spans="1:6">
      <c r="A11" s="4">
        <v>43831</v>
      </c>
      <c r="B11">
        <v>4.3999999999999997E-2</v>
      </c>
      <c r="C11">
        <f t="shared" si="0"/>
        <v>3.5947364110451296E-3</v>
      </c>
      <c r="D11">
        <v>1.08</v>
      </c>
      <c r="E11">
        <f t="shared" si="1"/>
        <v>3.8823153239287401E-3</v>
      </c>
    </row>
    <row r="12" spans="1:6">
      <c r="A12" s="4">
        <v>43862</v>
      </c>
      <c r="B12">
        <v>4.1500000000000002E-2</v>
      </c>
      <c r="C12">
        <f t="shared" si="0"/>
        <v>3.3942459274463044E-3</v>
      </c>
      <c r="D12">
        <v>1.08</v>
      </c>
      <c r="E12">
        <f t="shared" si="1"/>
        <v>3.6657856016420092E-3</v>
      </c>
    </row>
    <row r="13" spans="1:6">
      <c r="A13" s="4">
        <v>43891</v>
      </c>
      <c r="B13">
        <v>4.1500000000000002E-2</v>
      </c>
      <c r="C13">
        <f t="shared" si="0"/>
        <v>3.3942459274463044E-3</v>
      </c>
      <c r="D13">
        <v>1.08</v>
      </c>
      <c r="E13">
        <f t="shared" si="1"/>
        <v>3.6657856016420092E-3</v>
      </c>
    </row>
    <row r="14" spans="1:6">
      <c r="A14" s="4">
        <v>43922</v>
      </c>
      <c r="B14">
        <v>3.6499999999999998E-2</v>
      </c>
      <c r="C14">
        <f t="shared" si="0"/>
        <v>2.9919380133611728E-3</v>
      </c>
      <c r="D14">
        <v>1.08</v>
      </c>
      <c r="E14">
        <f t="shared" si="1"/>
        <v>3.2312930544300669E-3</v>
      </c>
    </row>
    <row r="15" spans="1:6">
      <c r="A15" s="4">
        <v>43952</v>
      </c>
      <c r="B15">
        <v>2.9000000000000001E-2</v>
      </c>
      <c r="C15">
        <f t="shared" si="0"/>
        <v>2.3851279739270925E-3</v>
      </c>
      <c r="D15">
        <v>1.08</v>
      </c>
      <c r="E15">
        <f t="shared" si="1"/>
        <v>2.5759382118412601E-3</v>
      </c>
    </row>
    <row r="16" spans="1:6">
      <c r="A16" s="4">
        <v>43983</v>
      </c>
      <c r="B16">
        <v>2.9000000000000001E-2</v>
      </c>
      <c r="C16">
        <f t="shared" si="0"/>
        <v>2.3851279739270925E-3</v>
      </c>
      <c r="D16">
        <v>1.08</v>
      </c>
      <c r="E16">
        <f t="shared" si="1"/>
        <v>2.5759382118412601E-3</v>
      </c>
    </row>
    <row r="17" spans="1:5">
      <c r="A17" s="4">
        <v>44013</v>
      </c>
      <c r="B17">
        <v>2.1499999999999998E-2</v>
      </c>
      <c r="C17">
        <f t="shared" si="0"/>
        <v>1.7742500619855051E-3</v>
      </c>
      <c r="D17">
        <v>1.08</v>
      </c>
      <c r="E17">
        <f t="shared" si="1"/>
        <v>1.9161900669443456E-3</v>
      </c>
    </row>
    <row r="18" spans="1:5">
      <c r="A18" s="4">
        <v>44044</v>
      </c>
      <c r="B18">
        <v>1.9E-2</v>
      </c>
      <c r="C18">
        <f t="shared" si="0"/>
        <v>1.5697102274137009E-3</v>
      </c>
      <c r="D18">
        <v>1.08</v>
      </c>
      <c r="E18">
        <f t="shared" si="1"/>
        <v>1.6952870456067972E-3</v>
      </c>
    </row>
    <row r="19" spans="1:5">
      <c r="A19" s="4">
        <v>44075</v>
      </c>
      <c r="B19">
        <v>1.9E-2</v>
      </c>
      <c r="C19">
        <f t="shared" si="0"/>
        <v>1.5697102274137009E-3</v>
      </c>
      <c r="D19">
        <v>1.08</v>
      </c>
      <c r="E19">
        <f t="shared" si="1"/>
        <v>1.6952870456067972E-3</v>
      </c>
    </row>
    <row r="20" spans="1:5">
      <c r="A20" s="4">
        <v>44105</v>
      </c>
      <c r="B20">
        <v>1.9E-2</v>
      </c>
      <c r="C20">
        <f t="shared" si="0"/>
        <v>1.5697102274137009E-3</v>
      </c>
      <c r="D20">
        <v>1.08</v>
      </c>
      <c r="E20">
        <f t="shared" si="1"/>
        <v>1.6952870456067972E-3</v>
      </c>
    </row>
    <row r="21" spans="1:5">
      <c r="A21" s="4">
        <v>44136</v>
      </c>
      <c r="B21">
        <v>1.9E-2</v>
      </c>
      <c r="C21">
        <f t="shared" si="0"/>
        <v>1.5697102274137009E-3</v>
      </c>
      <c r="D21">
        <v>1.08</v>
      </c>
      <c r="E21">
        <f t="shared" si="1"/>
        <v>1.6952870456067972E-3</v>
      </c>
    </row>
    <row r="22" spans="1:5">
      <c r="A22" s="4">
        <v>44166</v>
      </c>
      <c r="B22">
        <v>1.9E-2</v>
      </c>
      <c r="C22">
        <f t="shared" si="0"/>
        <v>1.5697102274137009E-3</v>
      </c>
      <c r="D22">
        <v>1.08</v>
      </c>
      <c r="E22">
        <f t="shared" si="1"/>
        <v>1.6952870456067972E-3</v>
      </c>
    </row>
    <row r="23" spans="1:5">
      <c r="A23" s="4">
        <v>44197</v>
      </c>
      <c r="B23">
        <v>1.9E-2</v>
      </c>
      <c r="C23">
        <f t="shared" si="0"/>
        <v>1.5697102274137009E-3</v>
      </c>
      <c r="D23">
        <v>1.08</v>
      </c>
      <c r="E23">
        <f t="shared" si="1"/>
        <v>1.6952870456067972E-3</v>
      </c>
    </row>
    <row r="24" spans="1:5">
      <c r="A24" s="4">
        <v>44228</v>
      </c>
      <c r="B24">
        <v>1.9E-2</v>
      </c>
      <c r="C24">
        <f t="shared" si="0"/>
        <v>1.5697102274137009E-3</v>
      </c>
      <c r="D24">
        <v>1.08</v>
      </c>
      <c r="E24">
        <f t="shared" si="1"/>
        <v>1.6952870456067972E-3</v>
      </c>
    </row>
    <row r="25" spans="1:5">
      <c r="A25" s="4">
        <v>44256</v>
      </c>
      <c r="B25">
        <v>1.9E-2</v>
      </c>
      <c r="C25">
        <f t="shared" si="0"/>
        <v>1.5697102274137009E-3</v>
      </c>
      <c r="D25">
        <v>1.08</v>
      </c>
      <c r="E25">
        <f t="shared" si="1"/>
        <v>1.6952870456067972E-3</v>
      </c>
    </row>
    <row r="26" spans="1:5">
      <c r="A26" s="4">
        <v>44287</v>
      </c>
      <c r="B26">
        <v>2.6499999999999999E-2</v>
      </c>
      <c r="C26">
        <f t="shared" si="0"/>
        <v>2.18195680041533E-3</v>
      </c>
      <c r="D26">
        <v>1.08</v>
      </c>
      <c r="E26">
        <f t="shared" si="1"/>
        <v>2.3565133444485567E-3</v>
      </c>
    </row>
    <row r="27" spans="1:5">
      <c r="A27" s="4">
        <v>44317</v>
      </c>
      <c r="B27">
        <v>3.4000000000000002E-2</v>
      </c>
      <c r="C27">
        <f t="shared" si="0"/>
        <v>2.7901164905321796E-3</v>
      </c>
      <c r="D27">
        <v>1.08</v>
      </c>
      <c r="E27">
        <f t="shared" si="1"/>
        <v>3.0133258097747541E-3</v>
      </c>
    </row>
    <row r="28" spans="1:5">
      <c r="A28" s="4">
        <v>44348</v>
      </c>
      <c r="B28">
        <v>3.4000000000000002E-2</v>
      </c>
      <c r="C28">
        <f t="shared" si="0"/>
        <v>2.7901164905321796E-3</v>
      </c>
      <c r="D28">
        <v>1.08</v>
      </c>
      <c r="E28">
        <f t="shared" si="1"/>
        <v>3.0133258097747541E-3</v>
      </c>
    </row>
    <row r="29" spans="1:5">
      <c r="A29" s="4">
        <v>44378</v>
      </c>
      <c r="B29">
        <v>4.1500000000000002E-2</v>
      </c>
      <c r="C29">
        <f t="shared" si="0"/>
        <v>3.3942459274463044E-3</v>
      </c>
      <c r="D29">
        <v>1.08</v>
      </c>
      <c r="E29">
        <f t="shared" si="1"/>
        <v>3.6657856016420092E-3</v>
      </c>
    </row>
    <row r="30" spans="1:5">
      <c r="A30" s="4">
        <v>44409</v>
      </c>
      <c r="B30">
        <v>5.1499999999999997E-2</v>
      </c>
      <c r="C30">
        <f t="shared" si="0"/>
        <v>4.1935782233755159E-3</v>
      </c>
      <c r="D30">
        <v>1.08</v>
      </c>
      <c r="E30">
        <f t="shared" si="1"/>
        <v>4.5290644812455575E-3</v>
      </c>
    </row>
    <row r="31" spans="1:5">
      <c r="A31" s="4">
        <v>44440</v>
      </c>
      <c r="B31">
        <v>5.1499999999999997E-2</v>
      </c>
      <c r="C31">
        <f t="shared" si="0"/>
        <v>4.1935782233755159E-3</v>
      </c>
      <c r="D31">
        <v>1.08</v>
      </c>
      <c r="E31">
        <f t="shared" si="1"/>
        <v>4.5290644812455575E-3</v>
      </c>
    </row>
    <row r="32" spans="1:5">
      <c r="A32" s="4">
        <v>44470</v>
      </c>
      <c r="B32">
        <v>6.1499999999999999E-2</v>
      </c>
      <c r="C32">
        <f t="shared" si="0"/>
        <v>4.9859723103033993E-3</v>
      </c>
      <c r="D32">
        <v>1.08</v>
      </c>
      <c r="E32">
        <f t="shared" si="1"/>
        <v>5.3848500951276714E-3</v>
      </c>
    </row>
    <row r="33" spans="1:5">
      <c r="A33" s="4">
        <v>44501</v>
      </c>
      <c r="B33">
        <v>7.6499999999999999E-2</v>
      </c>
      <c r="C33">
        <f t="shared" si="0"/>
        <v>6.1618262441982541E-3</v>
      </c>
      <c r="D33">
        <v>1.08</v>
      </c>
      <c r="E33">
        <f t="shared" si="1"/>
        <v>6.6547723437341147E-3</v>
      </c>
    </row>
    <row r="34" spans="1:5">
      <c r="A34" s="4">
        <v>44531</v>
      </c>
      <c r="B34">
        <v>9.1499999999999998E-2</v>
      </c>
      <c r="C34">
        <f t="shared" si="0"/>
        <v>7.3227559539175147E-3</v>
      </c>
      <c r="D34">
        <v>1.08</v>
      </c>
      <c r="E34">
        <f t="shared" si="1"/>
        <v>7.9085764302309156E-3</v>
      </c>
    </row>
    <row r="35" spans="1:5">
      <c r="A35" s="4">
        <v>44562</v>
      </c>
      <c r="B35">
        <v>9.1499999999999998E-2</v>
      </c>
      <c r="C35">
        <f t="shared" si="0"/>
        <v>7.3227559539175147E-3</v>
      </c>
      <c r="D35">
        <v>1.08</v>
      </c>
      <c r="E35">
        <f t="shared" si="1"/>
        <v>7.9085764302309156E-3</v>
      </c>
    </row>
    <row r="36" spans="1:5">
      <c r="A36" s="4">
        <v>44593</v>
      </c>
      <c r="B36">
        <v>0.1065</v>
      </c>
      <c r="C36">
        <f t="shared" si="0"/>
        <v>8.4691521009379045E-3</v>
      </c>
      <c r="D36">
        <v>1.08</v>
      </c>
      <c r="E36">
        <f t="shared" si="1"/>
        <v>9.1466842690129373E-3</v>
      </c>
    </row>
    <row r="37" spans="1:5">
      <c r="A37" s="4">
        <v>44621</v>
      </c>
      <c r="B37">
        <v>0.1065</v>
      </c>
      <c r="C37">
        <f t="shared" si="0"/>
        <v>8.4691521009379045E-3</v>
      </c>
      <c r="D37">
        <v>1.08</v>
      </c>
      <c r="E37">
        <f t="shared" si="1"/>
        <v>9.1466842690129373E-3</v>
      </c>
    </row>
    <row r="38" spans="1:5">
      <c r="A38" s="4">
        <v>44652</v>
      </c>
      <c r="B38">
        <v>0.11650000000000001</v>
      </c>
      <c r="C38">
        <f t="shared" si="0"/>
        <v>9.2255279427448933E-3</v>
      </c>
      <c r="D38">
        <v>1.08</v>
      </c>
      <c r="E38">
        <f t="shared" si="1"/>
        <v>9.9635701781644846E-3</v>
      </c>
    </row>
    <row r="39" spans="1:5">
      <c r="A39" s="4">
        <v>44682</v>
      </c>
      <c r="B39">
        <v>0.1265</v>
      </c>
      <c r="C39">
        <f t="shared" si="0"/>
        <v>9.9757191050890981E-3</v>
      </c>
      <c r="D39">
        <v>1.08</v>
      </c>
      <c r="E39">
        <f t="shared" si="1"/>
        <v>1.0773776633496226E-2</v>
      </c>
    </row>
    <row r="40" spans="1:5">
      <c r="A40" s="4">
        <v>44713</v>
      </c>
      <c r="B40">
        <v>0.1265</v>
      </c>
      <c r="C40">
        <f t="shared" si="0"/>
        <v>9.9757191050890981E-3</v>
      </c>
      <c r="D40">
        <v>1.08</v>
      </c>
      <c r="E40">
        <f t="shared" si="1"/>
        <v>1.0773776633496226E-2</v>
      </c>
    </row>
    <row r="41" spans="1:5">
      <c r="A41" s="4">
        <v>44743</v>
      </c>
      <c r="B41">
        <v>0.13150000000000001</v>
      </c>
      <c r="C41">
        <f t="shared" si="0"/>
        <v>1.0348528288471437E-2</v>
      </c>
      <c r="D41">
        <v>1.08</v>
      </c>
      <c r="E41">
        <f t="shared" si="1"/>
        <v>1.1176410551549153E-2</v>
      </c>
    </row>
    <row r="42" spans="1:5">
      <c r="A42" s="4">
        <v>44774</v>
      </c>
      <c r="B42">
        <v>0.13650000000000001</v>
      </c>
      <c r="C42">
        <f t="shared" si="0"/>
        <v>1.0719830392053042E-2</v>
      </c>
      <c r="D42">
        <v>1.08</v>
      </c>
      <c r="E42">
        <f t="shared" si="1"/>
        <v>1.1577416823417286E-2</v>
      </c>
    </row>
    <row r="43" spans="1:5">
      <c r="A43" s="4">
        <v>44805</v>
      </c>
      <c r="B43">
        <v>0.13650000000000001</v>
      </c>
      <c r="C43">
        <f t="shared" si="0"/>
        <v>1.0719830392053042E-2</v>
      </c>
      <c r="D43">
        <v>1.08</v>
      </c>
      <c r="E43">
        <f t="shared" si="1"/>
        <v>1.1577416823417286E-2</v>
      </c>
    </row>
    <row r="44" spans="1:5">
      <c r="A44" s="4">
        <v>44835</v>
      </c>
      <c r="B44">
        <v>0.13650000000000001</v>
      </c>
      <c r="C44">
        <f t="shared" si="0"/>
        <v>1.0719830392053042E-2</v>
      </c>
      <c r="D44">
        <v>1.08</v>
      </c>
      <c r="E44">
        <f t="shared" si="1"/>
        <v>1.1577416823417286E-2</v>
      </c>
    </row>
    <row r="45" spans="1:5">
      <c r="A45" s="4">
        <v>44866</v>
      </c>
      <c r="B45">
        <v>0.13650000000000001</v>
      </c>
      <c r="C45">
        <f t="shared" si="0"/>
        <v>1.0719830392053042E-2</v>
      </c>
      <c r="D45">
        <v>1.08</v>
      </c>
      <c r="E45">
        <f t="shared" si="1"/>
        <v>1.1577416823417286E-2</v>
      </c>
    </row>
    <row r="46" spans="1:5">
      <c r="A46" s="4">
        <v>44896</v>
      </c>
      <c r="B46">
        <v>0.13655999999999999</v>
      </c>
      <c r="C46">
        <f t="shared" si="0"/>
        <v>1.0724276918118836E-2</v>
      </c>
      <c r="D46">
        <v>1.08</v>
      </c>
      <c r="E46">
        <f t="shared" si="1"/>
        <v>1.1582219071568343E-2</v>
      </c>
    </row>
    <row r="47" spans="1:5">
      <c r="A47" s="4">
        <v>44927</v>
      </c>
      <c r="B47">
        <v>0.13672000000000001</v>
      </c>
      <c r="C47">
        <f t="shared" si="0"/>
        <v>1.0736133269080073E-2</v>
      </c>
      <c r="D47">
        <v>1.08</v>
      </c>
      <c r="E47">
        <f t="shared" si="1"/>
        <v>1.1595023930606478E-2</v>
      </c>
    </row>
    <row r="48" spans="1:5">
      <c r="A48" s="4">
        <v>44958</v>
      </c>
      <c r="B48">
        <v>0.13683999999999999</v>
      </c>
      <c r="C48">
        <f t="shared" si="0"/>
        <v>1.0745024528425295E-2</v>
      </c>
      <c r="D48">
        <v>1.08</v>
      </c>
      <c r="E48">
        <f t="shared" si="1"/>
        <v>1.160462649069932E-2</v>
      </c>
    </row>
    <row r="49" spans="1:5">
      <c r="A49" s="4">
        <v>44986</v>
      </c>
      <c r="B49">
        <v>0.13705000000000001</v>
      </c>
      <c r="C49">
        <f t="shared" si="0"/>
        <v>1.0760582162355092E-2</v>
      </c>
      <c r="D49">
        <v>1.08</v>
      </c>
      <c r="E49">
        <f t="shared" si="1"/>
        <v>1.1621428735343501E-2</v>
      </c>
    </row>
    <row r="50" spans="1:5">
      <c r="A50" s="4">
        <v>45017</v>
      </c>
      <c r="B50">
        <v>0.13700000000000001</v>
      </c>
      <c r="C50">
        <f t="shared" si="0"/>
        <v>1.0756878202714981E-2</v>
      </c>
      <c r="D50">
        <v>1.08</v>
      </c>
      <c r="E50">
        <f t="shared" si="1"/>
        <v>1.1617428458932181E-2</v>
      </c>
    </row>
    <row r="51" spans="1:5">
      <c r="A51" s="4">
        <v>45047</v>
      </c>
      <c r="B51">
        <v>0.13694999999999999</v>
      </c>
      <c r="C51">
        <f t="shared" si="0"/>
        <v>1.075317409376253E-2</v>
      </c>
      <c r="D51">
        <v>1.08</v>
      </c>
      <c r="E51">
        <f t="shared" si="1"/>
        <v>1.1613428021263533E-2</v>
      </c>
    </row>
    <row r="52" spans="1:5">
      <c r="A52" s="4">
        <v>45078</v>
      </c>
      <c r="B52">
        <v>0.13658000000000001</v>
      </c>
      <c r="C52">
        <f t="shared" si="0"/>
        <v>1.0725759045657535E-2</v>
      </c>
      <c r="D52">
        <v>1.08</v>
      </c>
      <c r="E52">
        <f t="shared" si="1"/>
        <v>1.1583819769310139E-2</v>
      </c>
    </row>
    <row r="53" spans="1:5">
      <c r="A53" s="4">
        <v>45108</v>
      </c>
      <c r="B53">
        <v>0.1361</v>
      </c>
      <c r="C53">
        <f t="shared" si="0"/>
        <v>1.0690181384565234E-2</v>
      </c>
      <c r="D53">
        <v>1.08</v>
      </c>
      <c r="E53">
        <f t="shared" si="1"/>
        <v>1.1545395895330454E-2</v>
      </c>
    </row>
    <row r="54" spans="1:5">
      <c r="A54" s="4">
        <v>45139</v>
      </c>
      <c r="B54">
        <v>0.13525000000000001</v>
      </c>
      <c r="C54">
        <f t="shared" si="0"/>
        <v>1.0627145458520282E-2</v>
      </c>
      <c r="D54">
        <v>1.08</v>
      </c>
      <c r="E54">
        <f t="shared" si="1"/>
        <v>1.1477317095201904E-2</v>
      </c>
    </row>
    <row r="55" spans="1:5">
      <c r="A55" s="4">
        <v>45170</v>
      </c>
      <c r="B55">
        <v>0.13413</v>
      </c>
      <c r="C55">
        <f t="shared" si="0"/>
        <v>1.0544020262500675E-2</v>
      </c>
      <c r="D55">
        <v>1.08</v>
      </c>
      <c r="E55">
        <f t="shared" si="1"/>
        <v>1.138754188350073E-2</v>
      </c>
    </row>
    <row r="56" spans="1:5">
      <c r="A56" s="4">
        <v>45200</v>
      </c>
      <c r="B56">
        <v>0.13305</v>
      </c>
      <c r="C56">
        <f t="shared" si="0"/>
        <v>1.0463792527246163E-2</v>
      </c>
      <c r="D56">
        <v>1.08</v>
      </c>
      <c r="E56">
        <f t="shared" si="1"/>
        <v>1.1300895929425857E-2</v>
      </c>
    </row>
    <row r="57" spans="1:5">
      <c r="A57" s="4">
        <v>45231</v>
      </c>
      <c r="B57">
        <v>0.13150999999999999</v>
      </c>
      <c r="C57">
        <f t="shared" si="0"/>
        <v>1.0349272392489395E-2</v>
      </c>
      <c r="D57">
        <v>1.08</v>
      </c>
      <c r="E57">
        <f t="shared" si="1"/>
        <v>1.1177214183888546E-2</v>
      </c>
    </row>
    <row r="58" spans="1:5">
      <c r="A58" s="4">
        <v>45261</v>
      </c>
      <c r="B58">
        <v>0.13150999999999999</v>
      </c>
      <c r="C58">
        <f t="shared" si="0"/>
        <v>1.0349272392489395E-2</v>
      </c>
      <c r="D58">
        <v>1.08</v>
      </c>
      <c r="E58">
        <f t="shared" si="1"/>
        <v>1.1177214183888546E-2</v>
      </c>
    </row>
    <row r="59" spans="1:5">
      <c r="A59" s="4">
        <v>45292</v>
      </c>
      <c r="B59">
        <v>0.12934999999999999</v>
      </c>
      <c r="C59">
        <f t="shared" si="0"/>
        <v>1.0188405778917886E-2</v>
      </c>
      <c r="D59">
        <v>1.08</v>
      </c>
      <c r="E59">
        <f t="shared" si="1"/>
        <v>1.1003478241231318E-2</v>
      </c>
    </row>
    <row r="60" spans="1:5">
      <c r="A60" s="4">
        <v>45323</v>
      </c>
      <c r="B60">
        <v>0.12934999999999999</v>
      </c>
      <c r="C60">
        <f t="shared" si="0"/>
        <v>1.0188405778917886E-2</v>
      </c>
      <c r="D60">
        <v>1.08</v>
      </c>
      <c r="E60">
        <f t="shared" si="1"/>
        <v>1.1003478241231318E-2</v>
      </c>
    </row>
    <row r="61" spans="1:5">
      <c r="A61" s="4">
        <v>45352</v>
      </c>
      <c r="B61">
        <v>0.12934999999999999</v>
      </c>
      <c r="C61">
        <f t="shared" si="0"/>
        <v>1.0188405778917886E-2</v>
      </c>
      <c r="D61">
        <v>1.08</v>
      </c>
      <c r="E61">
        <f t="shared" si="1"/>
        <v>1.1003478241231318E-2</v>
      </c>
    </row>
    <row r="62" spans="1:5">
      <c r="A62" s="4">
        <v>45383</v>
      </c>
      <c r="B62">
        <v>0.12570000000000001</v>
      </c>
      <c r="C62">
        <f t="shared" si="0"/>
        <v>9.9159289226782299E-3</v>
      </c>
      <c r="D62">
        <v>1.08</v>
      </c>
      <c r="E62">
        <f t="shared" si="1"/>
        <v>1.0709203236492489E-2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A912F-E561-45EA-B157-736DD1C82D18}">
  <sheetPr codeName="Planilha30"/>
  <dimension ref="A1:F99"/>
  <sheetViews>
    <sheetView workbookViewId="0">
      <selection activeCell="B31" sqref="B31:B85"/>
    </sheetView>
  </sheetViews>
  <sheetFormatPr defaultRowHeight="15"/>
  <cols>
    <col min="1" max="1" width="11.140625" customWidth="1"/>
    <col min="2" max="2" width="14.7109375" customWidth="1"/>
    <col min="3" max="3" width="12.5703125" customWidth="1"/>
    <col min="4" max="4" width="9.28515625" customWidth="1"/>
    <col min="5" max="5" width="13.5703125" customWidth="1"/>
    <col min="6" max="6" width="9.42578125" customWidth="1"/>
  </cols>
  <sheetData>
    <row r="1" spans="1:6">
      <c r="A1" t="s">
        <v>21</v>
      </c>
      <c r="B1" t="s">
        <v>138</v>
      </c>
      <c r="C1" t="s">
        <v>139</v>
      </c>
      <c r="D1" t="s">
        <v>116</v>
      </c>
      <c r="E1" t="s">
        <v>134</v>
      </c>
      <c r="F1" t="s">
        <v>135</v>
      </c>
    </row>
    <row r="2" spans="1:6" hidden="1">
      <c r="A2" s="4">
        <v>43556</v>
      </c>
      <c r="B2">
        <v>6.4000000000000001E-2</v>
      </c>
      <c r="C2">
        <f>((1+B2)^(1/252))-1</f>
        <v>2.4620248904749786E-4</v>
      </c>
      <c r="D2">
        <v>0.01</v>
      </c>
      <c r="E2">
        <f>C2+D2</f>
        <v>1.0246202489047498E-2</v>
      </c>
      <c r="F2">
        <f>$B$99*E2</f>
        <v>10.246202489047498</v>
      </c>
    </row>
    <row r="3" spans="1:6" hidden="1">
      <c r="A3" s="4">
        <v>43586</v>
      </c>
      <c r="B3">
        <v>6.4000000000000001E-2</v>
      </c>
      <c r="C3">
        <f t="shared" ref="C3:C66" si="0">((1+B3)^(1/252))-1</f>
        <v>2.4620248904749786E-4</v>
      </c>
      <c r="D3">
        <v>0.01</v>
      </c>
      <c r="E3">
        <f t="shared" ref="E3:E66" si="1">C3+D3</f>
        <v>1.0246202489047498E-2</v>
      </c>
      <c r="F3">
        <f t="shared" ref="F3:F66" si="2">$B$99*E3</f>
        <v>10.246202489047498</v>
      </c>
    </row>
    <row r="4" spans="1:6" hidden="1">
      <c r="A4" s="4">
        <v>43617</v>
      </c>
      <c r="B4">
        <v>6.4000000000000001E-2</v>
      </c>
      <c r="C4">
        <f t="shared" si="0"/>
        <v>2.4620248904749786E-4</v>
      </c>
      <c r="D4">
        <v>0.01</v>
      </c>
      <c r="E4">
        <f t="shared" si="1"/>
        <v>1.0246202489047498E-2</v>
      </c>
      <c r="F4">
        <f t="shared" si="2"/>
        <v>10.246202489047498</v>
      </c>
    </row>
    <row r="5" spans="1:6" hidden="1">
      <c r="A5" s="4">
        <v>43647</v>
      </c>
      <c r="B5">
        <v>6.4000000000000001E-2</v>
      </c>
      <c r="C5">
        <f t="shared" si="0"/>
        <v>2.4620248904749786E-4</v>
      </c>
      <c r="D5">
        <v>0.01</v>
      </c>
      <c r="E5">
        <f t="shared" si="1"/>
        <v>1.0246202489047498E-2</v>
      </c>
      <c r="F5">
        <f t="shared" si="2"/>
        <v>10.246202489047498</v>
      </c>
    </row>
    <row r="6" spans="1:6" hidden="1">
      <c r="A6" s="4">
        <v>43678</v>
      </c>
      <c r="B6">
        <v>5.8999999999999997E-2</v>
      </c>
      <c r="C6">
        <f t="shared" si="0"/>
        <v>2.275062987258103E-4</v>
      </c>
      <c r="D6">
        <v>0.01</v>
      </c>
      <c r="E6">
        <f t="shared" si="1"/>
        <v>1.0227506298725811E-2</v>
      </c>
      <c r="F6">
        <f t="shared" si="2"/>
        <v>10.22750629872581</v>
      </c>
    </row>
    <row r="7" spans="1:6">
      <c r="A7" s="4">
        <v>43709</v>
      </c>
      <c r="B7">
        <v>5.8999999999999997E-2</v>
      </c>
      <c r="C7">
        <f t="shared" si="0"/>
        <v>2.275062987258103E-4</v>
      </c>
      <c r="D7">
        <v>0.01</v>
      </c>
      <c r="E7">
        <f t="shared" si="1"/>
        <v>1.0227506298725811E-2</v>
      </c>
      <c r="F7">
        <f t="shared" si="2"/>
        <v>10.22750629872581</v>
      </c>
    </row>
    <row r="8" spans="1:6" hidden="1">
      <c r="A8" s="4">
        <v>43739</v>
      </c>
      <c r="B8">
        <v>5.3999999999999999E-2</v>
      </c>
      <c r="C8">
        <f t="shared" si="0"/>
        <v>2.0872197828714079E-4</v>
      </c>
      <c r="D8">
        <v>0.01</v>
      </c>
      <c r="E8">
        <f t="shared" si="1"/>
        <v>1.0208721978287141E-2</v>
      </c>
      <c r="F8">
        <f t="shared" si="2"/>
        <v>10.208721978287141</v>
      </c>
    </row>
    <row r="9" spans="1:6" hidden="1">
      <c r="A9" s="4">
        <v>43770</v>
      </c>
      <c r="B9">
        <v>4.9000000000000002E-2</v>
      </c>
      <c r="C9">
        <f t="shared" si="0"/>
        <v>1.8984869126059678E-4</v>
      </c>
      <c r="D9">
        <v>0.01</v>
      </c>
      <c r="E9">
        <f t="shared" si="1"/>
        <v>1.0189848691260597E-2</v>
      </c>
      <c r="F9">
        <f t="shared" si="2"/>
        <v>10.189848691260597</v>
      </c>
    </row>
    <row r="10" spans="1:6" hidden="1">
      <c r="A10" s="4">
        <v>43800</v>
      </c>
      <c r="B10">
        <v>4.3999999999999997E-2</v>
      </c>
      <c r="C10">
        <f t="shared" si="0"/>
        <v>1.7088558920153041E-4</v>
      </c>
      <c r="D10">
        <v>0.01</v>
      </c>
      <c r="E10">
        <f t="shared" si="1"/>
        <v>1.0170885589201531E-2</v>
      </c>
      <c r="F10">
        <f t="shared" si="2"/>
        <v>10.17088558920153</v>
      </c>
    </row>
    <row r="11" spans="1:6" hidden="1">
      <c r="A11" s="4">
        <v>43831</v>
      </c>
      <c r="B11">
        <v>4.3999999999999997E-2</v>
      </c>
      <c r="C11">
        <f t="shared" si="0"/>
        <v>1.7088558920153041E-4</v>
      </c>
      <c r="D11">
        <v>0.01</v>
      </c>
      <c r="E11">
        <f t="shared" si="1"/>
        <v>1.0170885589201531E-2</v>
      </c>
      <c r="F11">
        <f t="shared" si="2"/>
        <v>10.17088558920153</v>
      </c>
    </row>
    <row r="12" spans="1:6" hidden="1">
      <c r="A12" s="4">
        <v>43862</v>
      </c>
      <c r="B12">
        <v>4.1500000000000002E-2</v>
      </c>
      <c r="C12">
        <f t="shared" si="0"/>
        <v>1.6137008906524919E-4</v>
      </c>
      <c r="D12">
        <v>0.01</v>
      </c>
      <c r="E12">
        <f t="shared" si="1"/>
        <v>1.0161370089065249E-2</v>
      </c>
      <c r="F12">
        <f t="shared" si="2"/>
        <v>10.161370089065249</v>
      </c>
    </row>
    <row r="13" spans="1:6">
      <c r="A13" s="4">
        <v>43891</v>
      </c>
      <c r="B13">
        <v>4.1500000000000002E-2</v>
      </c>
      <c r="C13">
        <f t="shared" si="0"/>
        <v>1.6137008906524919E-4</v>
      </c>
      <c r="D13">
        <v>0.01</v>
      </c>
      <c r="E13">
        <f t="shared" si="1"/>
        <v>1.0161370089065249E-2</v>
      </c>
      <c r="F13">
        <f t="shared" si="2"/>
        <v>10.161370089065249</v>
      </c>
    </row>
    <row r="14" spans="1:6" hidden="1">
      <c r="A14" s="4">
        <v>43922</v>
      </c>
      <c r="B14">
        <v>3.6499999999999998E-2</v>
      </c>
      <c r="C14">
        <f t="shared" si="0"/>
        <v>1.4227064686456181E-4</v>
      </c>
      <c r="D14">
        <v>0.01</v>
      </c>
      <c r="E14">
        <f t="shared" si="1"/>
        <v>1.0142270646864562E-2</v>
      </c>
      <c r="F14">
        <f t="shared" si="2"/>
        <v>10.142270646864562</v>
      </c>
    </row>
    <row r="15" spans="1:6" hidden="1">
      <c r="A15" s="4">
        <v>43952</v>
      </c>
      <c r="B15">
        <v>2.9000000000000001E-2</v>
      </c>
      <c r="C15">
        <f t="shared" si="0"/>
        <v>1.1344872391472194E-4</v>
      </c>
      <c r="D15">
        <v>0.01</v>
      </c>
      <c r="E15">
        <f t="shared" si="1"/>
        <v>1.0113448723914722E-2</v>
      </c>
      <c r="F15">
        <f t="shared" si="2"/>
        <v>10.113448723914722</v>
      </c>
    </row>
    <row r="16" spans="1:6" hidden="1">
      <c r="A16" s="4">
        <v>43983</v>
      </c>
      <c r="B16">
        <v>2.9000000000000001E-2</v>
      </c>
      <c r="C16">
        <f t="shared" si="0"/>
        <v>1.1344872391472194E-4</v>
      </c>
      <c r="D16">
        <v>0.01</v>
      </c>
      <c r="E16">
        <f t="shared" si="1"/>
        <v>1.0113448723914722E-2</v>
      </c>
      <c r="F16">
        <f t="shared" si="2"/>
        <v>10.113448723914722</v>
      </c>
    </row>
    <row r="17" spans="1:6" hidden="1">
      <c r="A17" s="4">
        <v>44013</v>
      </c>
      <c r="B17">
        <v>2.1499999999999998E-2</v>
      </c>
      <c r="C17">
        <f t="shared" si="0"/>
        <v>8.4416798117770142E-5</v>
      </c>
      <c r="D17">
        <v>0.01</v>
      </c>
      <c r="E17">
        <f t="shared" si="1"/>
        <v>1.008441679811777E-2</v>
      </c>
      <c r="F17">
        <f t="shared" si="2"/>
        <v>10.08441679811777</v>
      </c>
    </row>
    <row r="18" spans="1:6" hidden="1">
      <c r="A18" s="4">
        <v>44044</v>
      </c>
      <c r="B18">
        <v>1.9E-2</v>
      </c>
      <c r="C18">
        <f t="shared" si="0"/>
        <v>7.4692290285005569E-5</v>
      </c>
      <c r="D18">
        <v>0.01</v>
      </c>
      <c r="E18">
        <f t="shared" si="1"/>
        <v>1.0074692290285006E-2</v>
      </c>
      <c r="F18">
        <f t="shared" si="2"/>
        <v>10.074692290285006</v>
      </c>
    </row>
    <row r="19" spans="1:6">
      <c r="A19" s="4">
        <v>44075</v>
      </c>
      <c r="B19">
        <v>1.9E-2</v>
      </c>
      <c r="C19">
        <f t="shared" si="0"/>
        <v>7.4692290285005569E-5</v>
      </c>
      <c r="D19">
        <v>0.01</v>
      </c>
      <c r="E19">
        <f t="shared" si="1"/>
        <v>1.0074692290285006E-2</v>
      </c>
      <c r="F19">
        <f t="shared" si="2"/>
        <v>10.074692290285006</v>
      </c>
    </row>
    <row r="20" spans="1:6" hidden="1">
      <c r="A20" s="4">
        <v>44105</v>
      </c>
      <c r="B20">
        <v>1.9E-2</v>
      </c>
      <c r="C20">
        <f t="shared" si="0"/>
        <v>7.4692290285005569E-5</v>
      </c>
      <c r="D20">
        <v>0.01</v>
      </c>
      <c r="E20">
        <f t="shared" si="1"/>
        <v>1.0074692290285006E-2</v>
      </c>
      <c r="F20">
        <f t="shared" si="2"/>
        <v>10.074692290285006</v>
      </c>
    </row>
    <row r="21" spans="1:6" hidden="1">
      <c r="A21" s="4">
        <v>44136</v>
      </c>
      <c r="B21">
        <v>1.9E-2</v>
      </c>
      <c r="C21">
        <f t="shared" si="0"/>
        <v>7.4692290285005569E-5</v>
      </c>
      <c r="D21">
        <v>0.01</v>
      </c>
      <c r="E21">
        <f t="shared" si="1"/>
        <v>1.0074692290285006E-2</v>
      </c>
      <c r="F21">
        <f t="shared" si="2"/>
        <v>10.074692290285006</v>
      </c>
    </row>
    <row r="22" spans="1:6" hidden="1">
      <c r="A22" s="4">
        <v>44166</v>
      </c>
      <c r="B22">
        <v>1.9E-2</v>
      </c>
      <c r="C22">
        <f t="shared" si="0"/>
        <v>7.4692290285005569E-5</v>
      </c>
      <c r="D22">
        <v>0.01</v>
      </c>
      <c r="E22">
        <f t="shared" si="1"/>
        <v>1.0074692290285006E-2</v>
      </c>
      <c r="F22">
        <f t="shared" si="2"/>
        <v>10.074692290285006</v>
      </c>
    </row>
    <row r="23" spans="1:6" hidden="1">
      <c r="A23" s="4">
        <v>44197</v>
      </c>
      <c r="B23">
        <v>1.9E-2</v>
      </c>
      <c r="C23">
        <f t="shared" si="0"/>
        <v>7.4692290285005569E-5</v>
      </c>
      <c r="D23">
        <v>0.01</v>
      </c>
      <c r="E23">
        <f t="shared" si="1"/>
        <v>1.0074692290285006E-2</v>
      </c>
      <c r="F23">
        <f t="shared" si="2"/>
        <v>10.074692290285006</v>
      </c>
    </row>
    <row r="24" spans="1:6" hidden="1">
      <c r="A24" s="4">
        <v>44228</v>
      </c>
      <c r="B24">
        <v>1.9E-2</v>
      </c>
      <c r="C24">
        <f t="shared" si="0"/>
        <v>7.4692290285005569E-5</v>
      </c>
      <c r="D24">
        <v>0.01</v>
      </c>
      <c r="E24">
        <f t="shared" si="1"/>
        <v>1.0074692290285006E-2</v>
      </c>
      <c r="F24">
        <f t="shared" si="2"/>
        <v>10.074692290285006</v>
      </c>
    </row>
    <row r="25" spans="1:6">
      <c r="A25" s="4">
        <v>44256</v>
      </c>
      <c r="B25">
        <v>1.9E-2</v>
      </c>
      <c r="C25">
        <f t="shared" si="0"/>
        <v>7.4692290285005569E-5</v>
      </c>
      <c r="D25">
        <v>0.01</v>
      </c>
      <c r="E25">
        <f t="shared" si="1"/>
        <v>1.0074692290285006E-2</v>
      </c>
      <c r="F25">
        <f t="shared" si="2"/>
        <v>10.074692290285006</v>
      </c>
    </row>
    <row r="26" spans="1:6" hidden="1">
      <c r="A26" s="4">
        <v>44287</v>
      </c>
      <c r="B26">
        <v>2.6499999999999999E-2</v>
      </c>
      <c r="C26">
        <f t="shared" si="0"/>
        <v>1.0379490011502845E-4</v>
      </c>
      <c r="D26">
        <v>0.01</v>
      </c>
      <c r="E26">
        <f t="shared" si="1"/>
        <v>1.0103794900115029E-2</v>
      </c>
      <c r="F26">
        <f t="shared" si="2"/>
        <v>10.103794900115028</v>
      </c>
    </row>
    <row r="27" spans="1:6" hidden="1">
      <c r="A27" s="4">
        <v>44317</v>
      </c>
      <c r="B27">
        <v>3.4000000000000002E-2</v>
      </c>
      <c r="C27">
        <f t="shared" si="0"/>
        <v>1.3268648495490254E-4</v>
      </c>
      <c r="D27">
        <v>0.01</v>
      </c>
      <c r="E27">
        <f t="shared" si="1"/>
        <v>1.0132686484954903E-2</v>
      </c>
      <c r="F27">
        <f t="shared" si="2"/>
        <v>10.132686484954903</v>
      </c>
    </row>
    <row r="28" spans="1:6" hidden="1">
      <c r="A28" s="4">
        <v>44348</v>
      </c>
      <c r="B28">
        <v>3.4000000000000002E-2</v>
      </c>
      <c r="C28">
        <f t="shared" si="0"/>
        <v>1.3268648495490254E-4</v>
      </c>
      <c r="D28">
        <v>0.01</v>
      </c>
      <c r="E28">
        <f t="shared" si="1"/>
        <v>1.0132686484954903E-2</v>
      </c>
      <c r="F28">
        <f t="shared" si="2"/>
        <v>10.132686484954903</v>
      </c>
    </row>
    <row r="29" spans="1:6" hidden="1">
      <c r="A29" s="4">
        <v>44378</v>
      </c>
      <c r="B29">
        <v>4.1500000000000002E-2</v>
      </c>
      <c r="C29">
        <f t="shared" si="0"/>
        <v>1.6137008906524919E-4</v>
      </c>
      <c r="D29">
        <v>0.01</v>
      </c>
      <c r="E29">
        <f t="shared" si="1"/>
        <v>1.0161370089065249E-2</v>
      </c>
      <c r="F29">
        <f t="shared" si="2"/>
        <v>10.161370089065249</v>
      </c>
    </row>
    <row r="30" spans="1:6" hidden="1">
      <c r="A30" s="4">
        <v>44409</v>
      </c>
      <c r="B30">
        <v>5.1499999999999997E-2</v>
      </c>
      <c r="C30">
        <f t="shared" si="0"/>
        <v>1.9929650834193957E-4</v>
      </c>
      <c r="D30">
        <v>0.01</v>
      </c>
      <c r="E30">
        <f t="shared" si="1"/>
        <v>1.019929650834194E-2</v>
      </c>
      <c r="F30">
        <f t="shared" si="2"/>
        <v>10.19929650834194</v>
      </c>
    </row>
    <row r="31" spans="1:6">
      <c r="A31" s="4">
        <v>44440</v>
      </c>
      <c r="B31">
        <v>5.1499999999999997E-2</v>
      </c>
      <c r="C31">
        <f t="shared" si="0"/>
        <v>1.9929650834193957E-4</v>
      </c>
      <c r="D31">
        <v>0.01</v>
      </c>
      <c r="E31">
        <f t="shared" si="1"/>
        <v>1.019929650834194E-2</v>
      </c>
      <c r="F31">
        <f t="shared" si="2"/>
        <v>10.19929650834194</v>
      </c>
    </row>
    <row r="32" spans="1:6" hidden="1">
      <c r="A32" s="4">
        <v>44470</v>
      </c>
      <c r="B32">
        <v>6.1499999999999999E-2</v>
      </c>
      <c r="C32">
        <f t="shared" si="0"/>
        <v>2.3686535833333799E-4</v>
      </c>
      <c r="D32">
        <v>0.01</v>
      </c>
      <c r="E32">
        <f t="shared" si="1"/>
        <v>1.0236865358333338E-2</v>
      </c>
      <c r="F32">
        <f t="shared" si="2"/>
        <v>10.236865358333338</v>
      </c>
    </row>
    <row r="33" spans="1:6" hidden="1">
      <c r="A33" s="4">
        <v>44501</v>
      </c>
      <c r="B33">
        <v>7.6499999999999999E-2</v>
      </c>
      <c r="C33">
        <f t="shared" si="0"/>
        <v>2.9256277950295839E-4</v>
      </c>
      <c r="D33">
        <v>0.01</v>
      </c>
      <c r="E33">
        <f t="shared" si="1"/>
        <v>1.0292562779502959E-2</v>
      </c>
      <c r="F33">
        <f t="shared" si="2"/>
        <v>10.292562779502958</v>
      </c>
    </row>
    <row r="34" spans="1:6" hidden="1">
      <c r="A34" s="4">
        <v>44531</v>
      </c>
      <c r="B34">
        <v>9.1499999999999998E-2</v>
      </c>
      <c r="C34">
        <f t="shared" si="0"/>
        <v>3.4749249251664338E-4</v>
      </c>
      <c r="D34">
        <v>0.01</v>
      </c>
      <c r="E34">
        <f t="shared" si="1"/>
        <v>1.0347492492516644E-2</v>
      </c>
      <c r="F34">
        <f t="shared" si="2"/>
        <v>10.347492492516643</v>
      </c>
    </row>
    <row r="35" spans="1:6" hidden="1">
      <c r="A35" s="4">
        <v>44562</v>
      </c>
      <c r="B35">
        <v>9.1499999999999998E-2</v>
      </c>
      <c r="C35">
        <f t="shared" si="0"/>
        <v>3.4749249251664338E-4</v>
      </c>
      <c r="D35">
        <v>0.01</v>
      </c>
      <c r="E35">
        <f t="shared" si="1"/>
        <v>1.0347492492516644E-2</v>
      </c>
      <c r="F35">
        <f t="shared" si="2"/>
        <v>10.347492492516643</v>
      </c>
    </row>
    <row r="36" spans="1:6" hidden="1">
      <c r="A36" s="4">
        <v>44593</v>
      </c>
      <c r="B36">
        <v>0.1065</v>
      </c>
      <c r="C36">
        <f t="shared" si="0"/>
        <v>4.0167541389757311E-4</v>
      </c>
      <c r="D36">
        <v>0.01</v>
      </c>
      <c r="E36">
        <f t="shared" si="1"/>
        <v>1.0401675413897573E-2</v>
      </c>
      <c r="F36">
        <f t="shared" si="2"/>
        <v>10.401675413897573</v>
      </c>
    </row>
    <row r="37" spans="1:6">
      <c r="A37" s="4">
        <v>44621</v>
      </c>
      <c r="B37">
        <v>0.1065</v>
      </c>
      <c r="C37">
        <f t="shared" si="0"/>
        <v>4.0167541389757311E-4</v>
      </c>
      <c r="D37">
        <v>0.01</v>
      </c>
      <c r="E37">
        <f t="shared" si="1"/>
        <v>1.0401675413897573E-2</v>
      </c>
      <c r="F37">
        <f t="shared" si="2"/>
        <v>10.401675413897573</v>
      </c>
    </row>
    <row r="38" spans="1:6" hidden="1">
      <c r="A38" s="4">
        <v>44652</v>
      </c>
      <c r="B38">
        <v>0.11650000000000001</v>
      </c>
      <c r="C38">
        <f t="shared" si="0"/>
        <v>4.3739242301588099E-4</v>
      </c>
      <c r="D38">
        <v>0.01</v>
      </c>
      <c r="E38">
        <f t="shared" si="1"/>
        <v>1.0437392423015881E-2</v>
      </c>
      <c r="F38">
        <f t="shared" si="2"/>
        <v>10.437392423015881</v>
      </c>
    </row>
    <row r="39" spans="1:6" hidden="1">
      <c r="A39" s="4">
        <v>44682</v>
      </c>
      <c r="B39">
        <v>0.1265</v>
      </c>
      <c r="C39">
        <f t="shared" si="0"/>
        <v>4.727922107445881E-4</v>
      </c>
      <c r="D39">
        <v>0.01</v>
      </c>
      <c r="E39">
        <f t="shared" si="1"/>
        <v>1.0472792210744588E-2</v>
      </c>
      <c r="F39">
        <f t="shared" si="2"/>
        <v>10.472792210744588</v>
      </c>
    </row>
    <row r="40" spans="1:6" hidden="1">
      <c r="A40" s="4">
        <v>44713</v>
      </c>
      <c r="B40">
        <v>0.1265</v>
      </c>
      <c r="C40">
        <f t="shared" si="0"/>
        <v>4.727922107445881E-4</v>
      </c>
      <c r="D40">
        <v>0.01</v>
      </c>
      <c r="E40">
        <f t="shared" si="1"/>
        <v>1.0472792210744588E-2</v>
      </c>
      <c r="F40">
        <f t="shared" si="2"/>
        <v>10.472792210744588</v>
      </c>
    </row>
    <row r="41" spans="1:6" hidden="1">
      <c r="A41" s="4">
        <v>44743</v>
      </c>
      <c r="B41">
        <v>0.13150000000000001</v>
      </c>
      <c r="C41">
        <f t="shared" si="0"/>
        <v>4.9037490119197003E-4</v>
      </c>
      <c r="D41">
        <v>0.01</v>
      </c>
      <c r="E41">
        <f t="shared" si="1"/>
        <v>1.049037490119197E-2</v>
      </c>
      <c r="F41">
        <f t="shared" si="2"/>
        <v>10.49037490119197</v>
      </c>
    </row>
    <row r="42" spans="1:6" hidden="1">
      <c r="A42" s="4">
        <v>44774</v>
      </c>
      <c r="B42">
        <v>0.13650000000000001</v>
      </c>
      <c r="C42">
        <f t="shared" si="0"/>
        <v>5.0788037326188196E-4</v>
      </c>
      <c r="D42">
        <v>0.01</v>
      </c>
      <c r="E42">
        <f t="shared" si="1"/>
        <v>1.0507880373261882E-2</v>
      </c>
      <c r="F42">
        <f t="shared" si="2"/>
        <v>10.507880373261882</v>
      </c>
    </row>
    <row r="43" spans="1:6">
      <c r="A43" s="4">
        <v>44805</v>
      </c>
      <c r="B43">
        <v>0.13650000000000001</v>
      </c>
      <c r="C43">
        <f t="shared" si="0"/>
        <v>5.0788037326188196E-4</v>
      </c>
      <c r="D43">
        <v>0.01</v>
      </c>
      <c r="E43">
        <f t="shared" si="1"/>
        <v>1.0507880373261882E-2</v>
      </c>
      <c r="F43">
        <f t="shared" si="2"/>
        <v>10.507880373261882</v>
      </c>
    </row>
    <row r="44" spans="1:6" hidden="1">
      <c r="A44" s="4">
        <v>44835</v>
      </c>
      <c r="B44">
        <v>0.13650000000000001</v>
      </c>
      <c r="C44">
        <f t="shared" si="0"/>
        <v>5.0788037326188196E-4</v>
      </c>
      <c r="D44">
        <v>0.01</v>
      </c>
      <c r="E44">
        <f t="shared" si="1"/>
        <v>1.0507880373261882E-2</v>
      </c>
      <c r="F44">
        <f t="shared" si="2"/>
        <v>10.507880373261882</v>
      </c>
    </row>
    <row r="45" spans="1:6" hidden="1">
      <c r="A45" s="4">
        <v>44866</v>
      </c>
      <c r="B45">
        <v>0.13650000000000001</v>
      </c>
      <c r="C45">
        <f t="shared" si="0"/>
        <v>5.0788037326188196E-4</v>
      </c>
      <c r="D45">
        <v>0.01</v>
      </c>
      <c r="E45">
        <f t="shared" si="1"/>
        <v>1.0507880373261882E-2</v>
      </c>
      <c r="F45">
        <f t="shared" si="2"/>
        <v>10.507880373261882</v>
      </c>
    </row>
    <row r="46" spans="1:6" hidden="1">
      <c r="A46" s="4">
        <v>44896</v>
      </c>
      <c r="B46">
        <v>0.13655999999999999</v>
      </c>
      <c r="C46">
        <f t="shared" si="0"/>
        <v>5.0808997282114632E-4</v>
      </c>
      <c r="D46">
        <v>0.01</v>
      </c>
      <c r="E46">
        <f t="shared" si="1"/>
        <v>1.0508089972821147E-2</v>
      </c>
      <c r="F46">
        <f t="shared" si="2"/>
        <v>10.508089972821146</v>
      </c>
    </row>
    <row r="47" spans="1:6" hidden="1">
      <c r="A47" s="4">
        <v>44927</v>
      </c>
      <c r="B47">
        <v>0.13672000000000001</v>
      </c>
      <c r="C47">
        <f t="shared" si="0"/>
        <v>5.0864885110279978E-4</v>
      </c>
      <c r="D47">
        <v>0.01</v>
      </c>
      <c r="E47">
        <f t="shared" si="1"/>
        <v>1.05086488511028E-2</v>
      </c>
      <c r="F47">
        <f t="shared" si="2"/>
        <v>10.5086488511028</v>
      </c>
    </row>
    <row r="48" spans="1:6" hidden="1">
      <c r="A48" s="4">
        <v>44958</v>
      </c>
      <c r="B48">
        <v>0.13683999999999999</v>
      </c>
      <c r="C48">
        <f t="shared" si="0"/>
        <v>5.0906795839722463E-4</v>
      </c>
      <c r="D48">
        <v>0.01</v>
      </c>
      <c r="E48">
        <f t="shared" si="1"/>
        <v>1.0509067958397225E-2</v>
      </c>
      <c r="F48">
        <f t="shared" si="2"/>
        <v>10.509067958397225</v>
      </c>
    </row>
    <row r="49" spans="1:6">
      <c r="A49" s="4">
        <v>44986</v>
      </c>
      <c r="B49">
        <v>0.13705000000000001</v>
      </c>
      <c r="C49">
        <f t="shared" si="0"/>
        <v>5.0980129014543962E-4</v>
      </c>
      <c r="D49">
        <v>0.01</v>
      </c>
      <c r="E49">
        <f t="shared" si="1"/>
        <v>1.050980129014544E-2</v>
      </c>
      <c r="F49">
        <f t="shared" si="2"/>
        <v>10.50980129014544</v>
      </c>
    </row>
    <row r="50" spans="1:6" hidden="1">
      <c r="A50" s="4">
        <v>45017</v>
      </c>
      <c r="B50">
        <v>0.13700000000000001</v>
      </c>
      <c r="C50">
        <f t="shared" si="0"/>
        <v>5.096266995849863E-4</v>
      </c>
      <c r="D50">
        <v>0.01</v>
      </c>
      <c r="E50">
        <f t="shared" si="1"/>
        <v>1.0509626699584987E-2</v>
      </c>
      <c r="F50">
        <f t="shared" si="2"/>
        <v>10.509626699584986</v>
      </c>
    </row>
    <row r="51" spans="1:6" hidden="1">
      <c r="A51" s="4">
        <v>45047</v>
      </c>
      <c r="B51">
        <v>0.13694999999999999</v>
      </c>
      <c r="C51">
        <f t="shared" si="0"/>
        <v>5.0945210137687269E-4</v>
      </c>
      <c r="D51">
        <v>0.01</v>
      </c>
      <c r="E51">
        <f t="shared" si="1"/>
        <v>1.0509452101376873E-2</v>
      </c>
      <c r="F51">
        <f t="shared" si="2"/>
        <v>10.509452101376873</v>
      </c>
    </row>
    <row r="52" spans="1:6" hidden="1">
      <c r="A52" s="4">
        <v>45078</v>
      </c>
      <c r="B52">
        <v>0.13658000000000001</v>
      </c>
      <c r="C52">
        <f t="shared" si="0"/>
        <v>5.081598368916751E-4</v>
      </c>
      <c r="D52">
        <v>0.01</v>
      </c>
      <c r="E52">
        <f t="shared" si="1"/>
        <v>1.0508159836891675E-2</v>
      </c>
      <c r="F52">
        <f t="shared" si="2"/>
        <v>10.508159836891675</v>
      </c>
    </row>
    <row r="53" spans="1:6" hidden="1">
      <c r="A53" s="4">
        <v>45108</v>
      </c>
      <c r="B53">
        <v>0.1361</v>
      </c>
      <c r="C53">
        <f t="shared" si="0"/>
        <v>5.0648276114029223E-4</v>
      </c>
      <c r="D53">
        <v>0.01</v>
      </c>
      <c r="E53">
        <f t="shared" si="1"/>
        <v>1.0506482761140292E-2</v>
      </c>
      <c r="F53">
        <f t="shared" si="2"/>
        <v>10.506482761140292</v>
      </c>
    </row>
    <row r="54" spans="1:6" hidden="1">
      <c r="A54" s="4">
        <v>45139</v>
      </c>
      <c r="B54">
        <v>0.13525000000000001</v>
      </c>
      <c r="C54">
        <f t="shared" si="0"/>
        <v>5.0351120731240151E-4</v>
      </c>
      <c r="D54">
        <v>0.01</v>
      </c>
      <c r="E54">
        <f t="shared" si="1"/>
        <v>1.0503511207312402E-2</v>
      </c>
      <c r="F54">
        <f t="shared" si="2"/>
        <v>10.503511207312402</v>
      </c>
    </row>
    <row r="55" spans="1:6">
      <c r="A55" s="4">
        <v>45170</v>
      </c>
      <c r="B55">
        <v>0.13413</v>
      </c>
      <c r="C55">
        <f t="shared" si="0"/>
        <v>4.9959236258434458E-4</v>
      </c>
      <c r="D55">
        <v>0.01</v>
      </c>
      <c r="E55">
        <f t="shared" si="1"/>
        <v>1.0499592362584345E-2</v>
      </c>
      <c r="F55">
        <f t="shared" si="2"/>
        <v>10.499592362584345</v>
      </c>
    </row>
    <row r="56" spans="1:6" hidden="1">
      <c r="A56" s="4">
        <v>45200</v>
      </c>
      <c r="B56">
        <v>0.13305</v>
      </c>
      <c r="C56">
        <f t="shared" si="0"/>
        <v>4.9580982426378206E-4</v>
      </c>
      <c r="D56">
        <v>0.01</v>
      </c>
      <c r="E56">
        <f t="shared" si="1"/>
        <v>1.0495809824263782E-2</v>
      </c>
      <c r="F56">
        <f t="shared" si="2"/>
        <v>10.495809824263782</v>
      </c>
    </row>
    <row r="57" spans="1:6" hidden="1">
      <c r="A57" s="4">
        <v>45231</v>
      </c>
      <c r="B57">
        <v>0.13150999999999999</v>
      </c>
      <c r="C57">
        <f t="shared" si="0"/>
        <v>4.9040998897309507E-4</v>
      </c>
      <c r="D57">
        <v>0.01</v>
      </c>
      <c r="E57">
        <f t="shared" si="1"/>
        <v>1.0490409988973095E-2</v>
      </c>
      <c r="F57">
        <f t="shared" si="2"/>
        <v>10.490409988973095</v>
      </c>
    </row>
    <row r="58" spans="1:6" hidden="1">
      <c r="A58" s="4">
        <v>45261</v>
      </c>
      <c r="B58">
        <v>0.13150999999999999</v>
      </c>
      <c r="C58">
        <f t="shared" si="0"/>
        <v>4.9040998897309507E-4</v>
      </c>
      <c r="D58">
        <v>0.01</v>
      </c>
      <c r="E58">
        <f t="shared" si="1"/>
        <v>1.0490409988973095E-2</v>
      </c>
      <c r="F58">
        <f t="shared" si="2"/>
        <v>10.490409988973095</v>
      </c>
    </row>
    <row r="59" spans="1:6" hidden="1">
      <c r="A59" s="4">
        <v>45292</v>
      </c>
      <c r="B59">
        <v>0.12934999999999999</v>
      </c>
      <c r="C59">
        <f t="shared" si="0"/>
        <v>4.8282384725473193E-4</v>
      </c>
      <c r="D59">
        <v>0.01</v>
      </c>
      <c r="E59">
        <f t="shared" si="1"/>
        <v>1.0482823847254732E-2</v>
      </c>
      <c r="F59">
        <f t="shared" si="2"/>
        <v>10.482823847254732</v>
      </c>
    </row>
    <row r="60" spans="1:6" hidden="1">
      <c r="A60" s="4">
        <v>45323</v>
      </c>
      <c r="B60">
        <v>0.12934999999999999</v>
      </c>
      <c r="C60">
        <f t="shared" si="0"/>
        <v>4.8282384725473193E-4</v>
      </c>
      <c r="D60">
        <v>0.01</v>
      </c>
      <c r="E60">
        <f t="shared" si="1"/>
        <v>1.0482823847254732E-2</v>
      </c>
      <c r="F60">
        <f t="shared" si="2"/>
        <v>10.482823847254732</v>
      </c>
    </row>
    <row r="61" spans="1:6">
      <c r="A61" s="4">
        <v>45352</v>
      </c>
      <c r="B61">
        <v>0.12934999999999999</v>
      </c>
      <c r="C61">
        <f t="shared" si="0"/>
        <v>4.8282384725473193E-4</v>
      </c>
      <c r="D61">
        <v>0.01</v>
      </c>
      <c r="E61">
        <f t="shared" si="1"/>
        <v>1.0482823847254732E-2</v>
      </c>
      <c r="F61">
        <f t="shared" si="2"/>
        <v>10.482823847254732</v>
      </c>
    </row>
    <row r="62" spans="1:6" hidden="1">
      <c r="A62" s="4">
        <v>45383</v>
      </c>
      <c r="B62">
        <v>0.12570000000000001</v>
      </c>
      <c r="C62">
        <f t="shared" si="0"/>
        <v>4.6997176872420887E-4</v>
      </c>
      <c r="D62">
        <v>0.01</v>
      </c>
      <c r="E62">
        <f t="shared" si="1"/>
        <v>1.0469971768724209E-2</v>
      </c>
      <c r="F62">
        <f t="shared" si="2"/>
        <v>10.469971768724209</v>
      </c>
    </row>
    <row r="63" spans="1:6" hidden="1">
      <c r="A63" s="4">
        <v>45413</v>
      </c>
      <c r="B63">
        <v>0.12570000000000001</v>
      </c>
      <c r="C63">
        <f t="shared" si="0"/>
        <v>4.6997176872420887E-4</v>
      </c>
      <c r="D63">
        <v>0.01</v>
      </c>
      <c r="E63">
        <f t="shared" si="1"/>
        <v>1.0469971768724209E-2</v>
      </c>
      <c r="F63">
        <f t="shared" si="2"/>
        <v>10.469971768724209</v>
      </c>
    </row>
    <row r="64" spans="1:6" hidden="1">
      <c r="A64" s="4">
        <v>45444</v>
      </c>
      <c r="B64">
        <v>0.12570000000000001</v>
      </c>
      <c r="C64">
        <f t="shared" si="0"/>
        <v>4.6997176872420887E-4</v>
      </c>
      <c r="D64">
        <v>0.01</v>
      </c>
      <c r="E64">
        <f t="shared" si="1"/>
        <v>1.0469971768724209E-2</v>
      </c>
      <c r="F64">
        <f t="shared" si="2"/>
        <v>10.469971768724209</v>
      </c>
    </row>
    <row r="65" spans="1:6" hidden="1">
      <c r="A65" s="4">
        <v>45474</v>
      </c>
      <c r="B65">
        <v>0.1205</v>
      </c>
      <c r="C65">
        <f t="shared" si="0"/>
        <v>4.5159008793693722E-4</v>
      </c>
      <c r="D65">
        <v>0.01</v>
      </c>
      <c r="E65">
        <f t="shared" si="1"/>
        <v>1.0451590087936937E-2</v>
      </c>
      <c r="F65">
        <f t="shared" si="2"/>
        <v>10.451590087936937</v>
      </c>
    </row>
    <row r="66" spans="1:6" hidden="1">
      <c r="A66" s="4">
        <v>45505</v>
      </c>
      <c r="B66">
        <v>0.1205</v>
      </c>
      <c r="C66">
        <f t="shared" si="0"/>
        <v>4.5159008793693722E-4</v>
      </c>
      <c r="D66">
        <v>0.01</v>
      </c>
      <c r="E66">
        <f t="shared" si="1"/>
        <v>1.0451590087936937E-2</v>
      </c>
      <c r="F66">
        <f t="shared" si="2"/>
        <v>10.451590087936937</v>
      </c>
    </row>
    <row r="67" spans="1:6">
      <c r="A67" s="4">
        <v>45536</v>
      </c>
      <c r="B67">
        <v>0.1205</v>
      </c>
      <c r="C67">
        <f t="shared" ref="C67:C97" si="3">((1+B67)^(1/252))-1</f>
        <v>4.5159008793693722E-4</v>
      </c>
      <c r="D67">
        <v>0.01</v>
      </c>
      <c r="E67">
        <f t="shared" ref="E67:E97" si="4">C67+D67</f>
        <v>1.0451590087936937E-2</v>
      </c>
      <c r="F67">
        <f t="shared" ref="F67:F97" si="5">$B$99*E67</f>
        <v>10.451590087936937</v>
      </c>
    </row>
    <row r="68" spans="1:6" hidden="1">
      <c r="A68" s="4">
        <v>45566</v>
      </c>
      <c r="B68">
        <v>0.11924999999999999</v>
      </c>
      <c r="C68">
        <f t="shared" si="3"/>
        <v>4.4715874781831033E-4</v>
      </c>
      <c r="D68">
        <v>0.01</v>
      </c>
      <c r="E68">
        <f t="shared" si="4"/>
        <v>1.0447158747818311E-2</v>
      </c>
      <c r="F68">
        <f t="shared" si="5"/>
        <v>10.44715874781831</v>
      </c>
    </row>
    <row r="69" spans="1:6" hidden="1">
      <c r="A69" s="4">
        <v>45597</v>
      </c>
      <c r="B69">
        <v>0.11924999999999999</v>
      </c>
      <c r="C69">
        <f t="shared" si="3"/>
        <v>4.4715874781831033E-4</v>
      </c>
      <c r="D69">
        <v>0.01</v>
      </c>
      <c r="E69">
        <f t="shared" si="4"/>
        <v>1.0447158747818311E-2</v>
      </c>
      <c r="F69">
        <f t="shared" si="5"/>
        <v>10.44715874781831</v>
      </c>
    </row>
    <row r="70" spans="1:6" hidden="1">
      <c r="A70" s="4">
        <v>45627</v>
      </c>
      <c r="B70">
        <v>0.11924999999999999</v>
      </c>
      <c r="C70">
        <f t="shared" si="3"/>
        <v>4.4715874781831033E-4</v>
      </c>
      <c r="D70">
        <v>0.01</v>
      </c>
      <c r="E70">
        <f t="shared" si="4"/>
        <v>1.0447158747818311E-2</v>
      </c>
      <c r="F70">
        <f t="shared" si="5"/>
        <v>10.44715874781831</v>
      </c>
    </row>
    <row r="71" spans="1:6" hidden="1">
      <c r="A71" s="4">
        <v>45658</v>
      </c>
      <c r="B71">
        <v>0.1171</v>
      </c>
      <c r="C71">
        <f t="shared" si="3"/>
        <v>4.3952529943758201E-4</v>
      </c>
      <c r="D71">
        <v>0.01</v>
      </c>
      <c r="E71">
        <f t="shared" si="4"/>
        <v>1.0439525299437582E-2</v>
      </c>
      <c r="F71">
        <f t="shared" si="5"/>
        <v>10.439525299437582</v>
      </c>
    </row>
    <row r="72" spans="1:6" hidden="1">
      <c r="A72" s="4">
        <v>45689</v>
      </c>
      <c r="B72">
        <v>0.1171</v>
      </c>
      <c r="C72">
        <f t="shared" si="3"/>
        <v>4.3952529943758201E-4</v>
      </c>
      <c r="D72">
        <v>0.01</v>
      </c>
      <c r="E72">
        <f t="shared" si="4"/>
        <v>1.0439525299437582E-2</v>
      </c>
      <c r="F72">
        <f t="shared" si="5"/>
        <v>10.439525299437582</v>
      </c>
    </row>
    <row r="73" spans="1:6">
      <c r="A73" s="4">
        <v>45717</v>
      </c>
      <c r="B73">
        <v>0.1171</v>
      </c>
      <c r="C73">
        <f t="shared" si="3"/>
        <v>4.3952529943758201E-4</v>
      </c>
      <c r="D73">
        <v>0.01</v>
      </c>
      <c r="E73">
        <f t="shared" si="4"/>
        <v>1.0439525299437582E-2</v>
      </c>
      <c r="F73">
        <f t="shared" si="5"/>
        <v>10.439525299437582</v>
      </c>
    </row>
    <row r="74" spans="1:6" hidden="1">
      <c r="A74" s="4">
        <v>45748</v>
      </c>
      <c r="B74">
        <v>0.11595</v>
      </c>
      <c r="C74">
        <f t="shared" si="3"/>
        <v>4.3543628315290128E-4</v>
      </c>
      <c r="D74">
        <v>0.01</v>
      </c>
      <c r="E74">
        <f t="shared" si="4"/>
        <v>1.0435436283152901E-2</v>
      </c>
      <c r="F74">
        <f t="shared" si="5"/>
        <v>10.435436283152901</v>
      </c>
    </row>
    <row r="75" spans="1:6" hidden="1">
      <c r="A75" s="4">
        <v>45778</v>
      </c>
      <c r="B75">
        <v>0.11595</v>
      </c>
      <c r="C75">
        <f t="shared" si="3"/>
        <v>4.3543628315290128E-4</v>
      </c>
      <c r="D75">
        <v>0.01</v>
      </c>
      <c r="E75">
        <f t="shared" si="4"/>
        <v>1.0435436283152901E-2</v>
      </c>
      <c r="F75">
        <f t="shared" si="5"/>
        <v>10.435436283152901</v>
      </c>
    </row>
    <row r="76" spans="1:6" hidden="1">
      <c r="A76" s="4">
        <v>45809</v>
      </c>
      <c r="B76">
        <v>0.11595</v>
      </c>
      <c r="C76">
        <f t="shared" si="3"/>
        <v>4.3543628315290128E-4</v>
      </c>
      <c r="D76">
        <v>0.01</v>
      </c>
      <c r="E76">
        <f t="shared" si="4"/>
        <v>1.0435436283152901E-2</v>
      </c>
      <c r="F76">
        <f t="shared" si="5"/>
        <v>10.435436283152901</v>
      </c>
    </row>
    <row r="77" spans="1:6" hidden="1">
      <c r="A77" s="4">
        <v>45839</v>
      </c>
      <c r="B77">
        <v>0.11559999999999999</v>
      </c>
      <c r="C77">
        <f t="shared" si="3"/>
        <v>4.3419096684083058E-4</v>
      </c>
      <c r="D77">
        <v>0.01</v>
      </c>
      <c r="E77">
        <f t="shared" si="4"/>
        <v>1.0434190966840831E-2</v>
      </c>
      <c r="F77">
        <f t="shared" si="5"/>
        <v>10.434190966840831</v>
      </c>
    </row>
    <row r="78" spans="1:6" hidden="1">
      <c r="A78" s="4">
        <v>45870</v>
      </c>
      <c r="B78">
        <v>0.11559999999999999</v>
      </c>
      <c r="C78">
        <f t="shared" si="3"/>
        <v>4.3419096684083058E-4</v>
      </c>
      <c r="D78">
        <v>0.01</v>
      </c>
      <c r="E78">
        <f t="shared" si="4"/>
        <v>1.0434190966840831E-2</v>
      </c>
      <c r="F78">
        <f t="shared" si="5"/>
        <v>10.434190966840831</v>
      </c>
    </row>
    <row r="79" spans="1:6">
      <c r="A79" s="4">
        <v>45901</v>
      </c>
      <c r="B79">
        <v>0.11559999999999999</v>
      </c>
      <c r="C79">
        <f t="shared" si="3"/>
        <v>4.3419096684083058E-4</v>
      </c>
      <c r="D79">
        <v>0.01</v>
      </c>
      <c r="E79">
        <f t="shared" si="4"/>
        <v>1.0434190966840831E-2</v>
      </c>
      <c r="F79">
        <f t="shared" si="5"/>
        <v>10.434190966840831</v>
      </c>
    </row>
    <row r="80" spans="1:6" hidden="1">
      <c r="A80" s="4">
        <v>45931</v>
      </c>
      <c r="B80">
        <v>0.11544</v>
      </c>
      <c r="C80">
        <f t="shared" si="3"/>
        <v>4.3362154976911427E-4</v>
      </c>
      <c r="D80">
        <v>0.01</v>
      </c>
      <c r="E80">
        <f t="shared" si="4"/>
        <v>1.0433621549769114E-2</v>
      </c>
      <c r="F80">
        <f t="shared" si="5"/>
        <v>10.433621549769114</v>
      </c>
    </row>
    <row r="81" spans="1:6" hidden="1">
      <c r="A81" s="4">
        <v>45962</v>
      </c>
      <c r="B81">
        <v>0.11544</v>
      </c>
      <c r="C81">
        <f t="shared" si="3"/>
        <v>4.3362154976911427E-4</v>
      </c>
      <c r="D81">
        <v>0.01</v>
      </c>
      <c r="E81">
        <f t="shared" si="4"/>
        <v>1.0433621549769114E-2</v>
      </c>
      <c r="F81">
        <f t="shared" si="5"/>
        <v>10.433621549769114</v>
      </c>
    </row>
    <row r="82" spans="1:6" hidden="1">
      <c r="A82" s="4">
        <v>45992</v>
      </c>
      <c r="B82">
        <v>0.11544</v>
      </c>
      <c r="C82">
        <f t="shared" si="3"/>
        <v>4.3362154976911427E-4</v>
      </c>
      <c r="D82">
        <v>0.01</v>
      </c>
      <c r="E82">
        <f t="shared" si="4"/>
        <v>1.0433621549769114E-2</v>
      </c>
      <c r="F82">
        <f t="shared" si="5"/>
        <v>10.433621549769114</v>
      </c>
    </row>
    <row r="83" spans="1:6" hidden="1">
      <c r="A83" s="4">
        <v>46023</v>
      </c>
      <c r="B83">
        <v>0.1152</v>
      </c>
      <c r="C83">
        <f t="shared" si="3"/>
        <v>4.3276727160468376E-4</v>
      </c>
      <c r="D83">
        <v>0.01</v>
      </c>
      <c r="E83">
        <f t="shared" si="4"/>
        <v>1.0432767271604684E-2</v>
      </c>
      <c r="F83">
        <f t="shared" si="5"/>
        <v>10.432767271604684</v>
      </c>
    </row>
    <row r="84" spans="1:6" hidden="1">
      <c r="A84" s="4">
        <v>46054</v>
      </c>
      <c r="B84">
        <v>0.1152</v>
      </c>
      <c r="C84">
        <f t="shared" si="3"/>
        <v>4.3276727160468376E-4</v>
      </c>
      <c r="D84">
        <v>0.01</v>
      </c>
      <c r="E84">
        <f t="shared" si="4"/>
        <v>1.0432767271604684E-2</v>
      </c>
      <c r="F84">
        <f t="shared" si="5"/>
        <v>10.432767271604684</v>
      </c>
    </row>
    <row r="85" spans="1:6">
      <c r="A85" s="4">
        <v>46082</v>
      </c>
      <c r="B85">
        <v>0.1152</v>
      </c>
      <c r="C85">
        <f t="shared" si="3"/>
        <v>4.3276727160468376E-4</v>
      </c>
      <c r="D85">
        <v>0.01</v>
      </c>
      <c r="E85">
        <f t="shared" si="4"/>
        <v>1.0432767271604684E-2</v>
      </c>
      <c r="F85">
        <f t="shared" si="5"/>
        <v>10.432767271604684</v>
      </c>
    </row>
    <row r="86" spans="1:6" hidden="1">
      <c r="A86" s="4">
        <v>46113</v>
      </c>
      <c r="B86">
        <v>0.11496000000000001</v>
      </c>
      <c r="C86">
        <f t="shared" si="3"/>
        <v>4.3191281030297013E-4</v>
      </c>
      <c r="D86">
        <v>0.01</v>
      </c>
      <c r="E86">
        <f t="shared" si="4"/>
        <v>1.043191281030297E-2</v>
      </c>
      <c r="F86">
        <f t="shared" si="5"/>
        <v>10.43191281030297</v>
      </c>
    </row>
    <row r="87" spans="1:6" hidden="1">
      <c r="A87" s="4">
        <v>46143</v>
      </c>
      <c r="B87">
        <v>0.11496000000000001</v>
      </c>
      <c r="C87">
        <f t="shared" si="3"/>
        <v>4.3191281030297013E-4</v>
      </c>
      <c r="D87">
        <v>0.01</v>
      </c>
      <c r="E87">
        <f t="shared" si="4"/>
        <v>1.043191281030297E-2</v>
      </c>
      <c r="F87">
        <f t="shared" si="5"/>
        <v>10.43191281030297</v>
      </c>
    </row>
    <row r="88" spans="1:6" hidden="1">
      <c r="A88" s="4">
        <v>46174</v>
      </c>
      <c r="B88">
        <v>0.11496000000000001</v>
      </c>
      <c r="C88">
        <f t="shared" si="3"/>
        <v>4.3191281030297013E-4</v>
      </c>
      <c r="D88">
        <v>0.01</v>
      </c>
      <c r="E88">
        <f t="shared" si="4"/>
        <v>1.043191281030297E-2</v>
      </c>
      <c r="F88">
        <f t="shared" si="5"/>
        <v>10.43191281030297</v>
      </c>
    </row>
    <row r="89" spans="1:6" hidden="1">
      <c r="A89" s="4">
        <v>46204</v>
      </c>
      <c r="B89">
        <v>0.115</v>
      </c>
      <c r="C89">
        <f t="shared" si="3"/>
        <v>4.3205523324107986E-4</v>
      </c>
      <c r="D89">
        <v>0.01</v>
      </c>
      <c r="E89">
        <f t="shared" si="4"/>
        <v>1.043205523324108E-2</v>
      </c>
      <c r="F89">
        <f t="shared" si="5"/>
        <v>10.43205523324108</v>
      </c>
    </row>
    <row r="90" spans="1:6" hidden="1">
      <c r="A90" s="4">
        <v>46235</v>
      </c>
      <c r="B90">
        <v>0.115</v>
      </c>
      <c r="C90">
        <f t="shared" si="3"/>
        <v>4.3205523324107986E-4</v>
      </c>
      <c r="D90">
        <v>0.01</v>
      </c>
      <c r="E90">
        <f t="shared" si="4"/>
        <v>1.043205523324108E-2</v>
      </c>
      <c r="F90">
        <f t="shared" si="5"/>
        <v>10.43205523324108</v>
      </c>
    </row>
    <row r="91" spans="1:6">
      <c r="A91" s="4">
        <v>46266</v>
      </c>
      <c r="B91">
        <v>0.115</v>
      </c>
      <c r="C91">
        <f t="shared" si="3"/>
        <v>4.3205523324107986E-4</v>
      </c>
      <c r="D91">
        <v>0.01</v>
      </c>
      <c r="E91">
        <f t="shared" si="4"/>
        <v>1.043205523324108E-2</v>
      </c>
      <c r="F91">
        <f t="shared" si="5"/>
        <v>10.43205523324108</v>
      </c>
    </row>
    <row r="92" spans="1:6" hidden="1">
      <c r="A92" s="4">
        <v>46296</v>
      </c>
      <c r="B92">
        <v>0.11491999999999999</v>
      </c>
      <c r="C92">
        <f t="shared" si="3"/>
        <v>4.3177038227537601E-4</v>
      </c>
      <c r="D92">
        <v>0.01</v>
      </c>
      <c r="E92">
        <f t="shared" si="4"/>
        <v>1.0431770382275376E-2</v>
      </c>
      <c r="F92">
        <f t="shared" si="5"/>
        <v>10.431770382275376</v>
      </c>
    </row>
    <row r="93" spans="1:6" hidden="1">
      <c r="A93" s="4">
        <v>46327</v>
      </c>
      <c r="B93">
        <v>0.11491999999999999</v>
      </c>
      <c r="C93">
        <f t="shared" si="3"/>
        <v>4.3177038227537601E-4</v>
      </c>
      <c r="D93">
        <v>0.01</v>
      </c>
      <c r="E93">
        <f t="shared" si="4"/>
        <v>1.0431770382275376E-2</v>
      </c>
      <c r="F93">
        <f t="shared" si="5"/>
        <v>10.431770382275376</v>
      </c>
    </row>
    <row r="94" spans="1:6" hidden="1">
      <c r="A94" s="4">
        <v>46357</v>
      </c>
      <c r="B94">
        <v>0.11491999999999999</v>
      </c>
      <c r="C94">
        <f t="shared" si="3"/>
        <v>4.3177038227537601E-4</v>
      </c>
      <c r="D94">
        <v>0.01</v>
      </c>
      <c r="E94">
        <f t="shared" si="4"/>
        <v>1.0431770382275376E-2</v>
      </c>
      <c r="F94">
        <f t="shared" si="5"/>
        <v>10.431770382275376</v>
      </c>
    </row>
    <row r="95" spans="1:6" hidden="1">
      <c r="A95" s="4">
        <v>46388</v>
      </c>
      <c r="B95">
        <v>0.11484999999999999</v>
      </c>
      <c r="C95">
        <f t="shared" si="3"/>
        <v>4.3152112097977202E-4</v>
      </c>
      <c r="D95">
        <v>0.01</v>
      </c>
      <c r="E95">
        <f t="shared" si="4"/>
        <v>1.0431521120979772E-2</v>
      </c>
      <c r="F95">
        <f t="shared" si="5"/>
        <v>10.431521120979772</v>
      </c>
    </row>
    <row r="96" spans="1:6" hidden="1">
      <c r="A96" s="4">
        <v>46419</v>
      </c>
      <c r="B96">
        <v>0.11484999999999999</v>
      </c>
      <c r="C96">
        <f t="shared" si="3"/>
        <v>4.3152112097977202E-4</v>
      </c>
      <c r="D96">
        <v>0.01</v>
      </c>
      <c r="E96">
        <f t="shared" si="4"/>
        <v>1.0431521120979772E-2</v>
      </c>
      <c r="F96">
        <f t="shared" si="5"/>
        <v>10.431521120979772</v>
      </c>
    </row>
    <row r="97" spans="1:6">
      <c r="A97" s="4">
        <v>46447</v>
      </c>
      <c r="B97">
        <v>0.11484999999999999</v>
      </c>
      <c r="C97">
        <f t="shared" si="3"/>
        <v>4.3152112097977202E-4</v>
      </c>
      <c r="D97">
        <v>0.01</v>
      </c>
      <c r="E97">
        <f t="shared" si="4"/>
        <v>1.0431521120979772E-2</v>
      </c>
      <c r="F97">
        <f t="shared" si="5"/>
        <v>10.431521120979772</v>
      </c>
    </row>
    <row r="99" spans="1:6">
      <c r="A99" t="s">
        <v>106</v>
      </c>
      <c r="B99">
        <v>1000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5499F-2849-4197-B1CB-E4C8D314AECF}">
  <sheetPr codeName="Planilha31"/>
  <dimension ref="A1:E63"/>
  <sheetViews>
    <sheetView topLeftCell="A49" workbookViewId="0">
      <selection activeCell="B23" sqref="B23:B58"/>
    </sheetView>
  </sheetViews>
  <sheetFormatPr defaultRowHeight="15"/>
  <sheetData>
    <row r="1" spans="1:5">
      <c r="A1" t="s">
        <v>21</v>
      </c>
      <c r="B1" t="s">
        <v>115</v>
      </c>
      <c r="C1" t="s">
        <v>136</v>
      </c>
      <c r="D1" t="s">
        <v>134</v>
      </c>
      <c r="E1" t="s">
        <v>135</v>
      </c>
    </row>
    <row r="2" spans="1:5">
      <c r="A2" s="4">
        <v>43617</v>
      </c>
      <c r="B2">
        <v>6.4000000000000001E-2</v>
      </c>
      <c r="C2">
        <f>((1+B2)^(21/252))-1</f>
        <v>5.1830014303420047E-3</v>
      </c>
      <c r="D2">
        <f>1.07*C2</f>
        <v>5.5458115304659449E-3</v>
      </c>
      <c r="E2">
        <f>$B$63*D2</f>
        <v>5.5458115304659445</v>
      </c>
    </row>
    <row r="3" spans="1:5">
      <c r="A3" s="4">
        <v>43647</v>
      </c>
      <c r="B3">
        <v>6.4000000000000001E-2</v>
      </c>
      <c r="C3">
        <f t="shared" ref="C3:C61" si="0">((1+B3)^(21/252))-1</f>
        <v>5.1830014303420047E-3</v>
      </c>
      <c r="D3">
        <f t="shared" ref="D3:D61" si="1">1.07*C3</f>
        <v>5.5458115304659449E-3</v>
      </c>
      <c r="E3">
        <f t="shared" ref="E3:E61" si="2">$B$63*D3</f>
        <v>5.5458115304659445</v>
      </c>
    </row>
    <row r="4" spans="1:5">
      <c r="A4" s="4">
        <v>43678</v>
      </c>
      <c r="B4">
        <v>5.8999999999999997E-2</v>
      </c>
      <c r="C4">
        <f t="shared" si="0"/>
        <v>4.7885173650881185E-3</v>
      </c>
      <c r="D4">
        <f t="shared" si="1"/>
        <v>5.1237135806442872E-3</v>
      </c>
      <c r="E4">
        <f t="shared" si="2"/>
        <v>5.1237135806442868</v>
      </c>
    </row>
    <row r="5" spans="1:5">
      <c r="A5" s="4">
        <v>43709</v>
      </c>
      <c r="B5">
        <v>5.8999999999999997E-2</v>
      </c>
      <c r="C5">
        <f t="shared" si="0"/>
        <v>4.7885173650881185E-3</v>
      </c>
      <c r="D5">
        <f t="shared" si="1"/>
        <v>5.1237135806442872E-3</v>
      </c>
      <c r="E5">
        <f t="shared" si="2"/>
        <v>5.1237135806442868</v>
      </c>
    </row>
    <row r="6" spans="1:5">
      <c r="A6" s="4">
        <v>43739</v>
      </c>
      <c r="B6">
        <v>5.3999999999999999E-2</v>
      </c>
      <c r="C6">
        <f t="shared" si="0"/>
        <v>4.3923222705009035E-3</v>
      </c>
      <c r="D6">
        <f t="shared" si="1"/>
        <v>4.6997848294359672E-3</v>
      </c>
      <c r="E6">
        <f t="shared" si="2"/>
        <v>4.6997848294359672</v>
      </c>
    </row>
    <row r="7" spans="1:5">
      <c r="A7" s="4">
        <v>43770</v>
      </c>
      <c r="B7">
        <v>4.9000000000000002E-2</v>
      </c>
      <c r="C7">
        <f t="shared" si="0"/>
        <v>3.9944005553169681E-3</v>
      </c>
      <c r="D7">
        <f t="shared" si="1"/>
        <v>4.2740085941891564E-3</v>
      </c>
      <c r="E7">
        <f t="shared" si="2"/>
        <v>4.2740085941891568</v>
      </c>
    </row>
    <row r="8" spans="1:5">
      <c r="A8" s="4">
        <v>43800</v>
      </c>
      <c r="B8">
        <v>4.3999999999999997E-2</v>
      </c>
      <c r="C8">
        <f t="shared" si="0"/>
        <v>3.5947364110451296E-3</v>
      </c>
      <c r="D8">
        <f t="shared" si="1"/>
        <v>3.8463679598182889E-3</v>
      </c>
      <c r="E8">
        <f t="shared" si="2"/>
        <v>3.8463679598182887</v>
      </c>
    </row>
    <row r="9" spans="1:5">
      <c r="A9" s="4">
        <v>43831</v>
      </c>
      <c r="B9">
        <v>4.3999999999999997E-2</v>
      </c>
      <c r="C9">
        <f t="shared" si="0"/>
        <v>3.5947364110451296E-3</v>
      </c>
      <c r="D9">
        <f t="shared" si="1"/>
        <v>3.8463679598182889E-3</v>
      </c>
      <c r="E9">
        <f t="shared" si="2"/>
        <v>3.8463679598182887</v>
      </c>
    </row>
    <row r="10" spans="1:5">
      <c r="A10" s="4">
        <v>43862</v>
      </c>
      <c r="B10">
        <v>4.1500000000000002E-2</v>
      </c>
      <c r="C10">
        <f t="shared" si="0"/>
        <v>3.3942459274463044E-3</v>
      </c>
      <c r="D10">
        <f t="shared" si="1"/>
        <v>3.6318431423675458E-3</v>
      </c>
      <c r="E10">
        <f t="shared" si="2"/>
        <v>3.6318431423675457</v>
      </c>
    </row>
    <row r="11" spans="1:5">
      <c r="A11" s="4">
        <v>43891</v>
      </c>
      <c r="B11">
        <v>4.1500000000000002E-2</v>
      </c>
      <c r="C11">
        <f t="shared" si="0"/>
        <v>3.3942459274463044E-3</v>
      </c>
      <c r="D11">
        <f t="shared" si="1"/>
        <v>3.6318431423675458E-3</v>
      </c>
      <c r="E11">
        <f t="shared" si="2"/>
        <v>3.6318431423675457</v>
      </c>
    </row>
    <row r="12" spans="1:5">
      <c r="A12" s="4">
        <v>43922</v>
      </c>
      <c r="B12">
        <v>3.6499999999999998E-2</v>
      </c>
      <c r="C12">
        <f t="shared" si="0"/>
        <v>2.9919380133611728E-3</v>
      </c>
      <c r="D12">
        <f t="shared" si="1"/>
        <v>3.201373674296455E-3</v>
      </c>
      <c r="E12">
        <f t="shared" si="2"/>
        <v>3.2013736742964549</v>
      </c>
    </row>
    <row r="13" spans="1:5">
      <c r="A13" s="4">
        <v>43952</v>
      </c>
      <c r="B13">
        <v>2.9000000000000001E-2</v>
      </c>
      <c r="C13">
        <f t="shared" si="0"/>
        <v>2.3851279739270925E-3</v>
      </c>
      <c r="D13">
        <f t="shared" si="1"/>
        <v>2.5520869321019892E-3</v>
      </c>
      <c r="E13">
        <f t="shared" si="2"/>
        <v>2.552086932101989</v>
      </c>
    </row>
    <row r="14" spans="1:5">
      <c r="A14" s="4">
        <v>43983</v>
      </c>
      <c r="B14">
        <v>2.9000000000000001E-2</v>
      </c>
      <c r="C14">
        <f t="shared" si="0"/>
        <v>2.3851279739270925E-3</v>
      </c>
      <c r="D14">
        <f t="shared" si="1"/>
        <v>2.5520869321019892E-3</v>
      </c>
      <c r="E14">
        <f t="shared" si="2"/>
        <v>2.552086932101989</v>
      </c>
    </row>
    <row r="15" spans="1:5">
      <c r="A15" s="4">
        <v>44013</v>
      </c>
      <c r="B15">
        <v>2.1499999999999998E-2</v>
      </c>
      <c r="C15">
        <f t="shared" si="0"/>
        <v>1.7742500619855051E-3</v>
      </c>
      <c r="D15">
        <f t="shared" si="1"/>
        <v>1.8984475663244905E-3</v>
      </c>
      <c r="E15">
        <f t="shared" si="2"/>
        <v>1.8984475663244904</v>
      </c>
    </row>
    <row r="16" spans="1:5">
      <c r="A16" s="4">
        <v>44044</v>
      </c>
      <c r="B16">
        <v>1.9E-2</v>
      </c>
      <c r="C16">
        <f t="shared" si="0"/>
        <v>1.5697102274137009E-3</v>
      </c>
      <c r="D16">
        <f t="shared" si="1"/>
        <v>1.67958994333266E-3</v>
      </c>
      <c r="E16">
        <f t="shared" si="2"/>
        <v>1.67958994333266</v>
      </c>
    </row>
    <row r="17" spans="1:5">
      <c r="A17" s="4">
        <v>44075</v>
      </c>
      <c r="B17">
        <v>1.9E-2</v>
      </c>
      <c r="C17">
        <f t="shared" si="0"/>
        <v>1.5697102274137009E-3</v>
      </c>
      <c r="D17">
        <f t="shared" si="1"/>
        <v>1.67958994333266E-3</v>
      </c>
      <c r="E17">
        <f t="shared" si="2"/>
        <v>1.67958994333266</v>
      </c>
    </row>
    <row r="18" spans="1:5">
      <c r="A18" s="4">
        <v>44105</v>
      </c>
      <c r="B18">
        <v>1.9E-2</v>
      </c>
      <c r="C18">
        <f t="shared" si="0"/>
        <v>1.5697102274137009E-3</v>
      </c>
      <c r="D18">
        <f t="shared" si="1"/>
        <v>1.67958994333266E-3</v>
      </c>
      <c r="E18">
        <f t="shared" si="2"/>
        <v>1.67958994333266</v>
      </c>
    </row>
    <row r="19" spans="1:5">
      <c r="A19" s="4">
        <v>44136</v>
      </c>
      <c r="B19">
        <v>1.9E-2</v>
      </c>
      <c r="C19">
        <f t="shared" si="0"/>
        <v>1.5697102274137009E-3</v>
      </c>
      <c r="D19">
        <f t="shared" si="1"/>
        <v>1.67958994333266E-3</v>
      </c>
      <c r="E19">
        <f t="shared" si="2"/>
        <v>1.67958994333266</v>
      </c>
    </row>
    <row r="20" spans="1:5">
      <c r="A20" s="4">
        <v>44166</v>
      </c>
      <c r="B20">
        <v>1.9E-2</v>
      </c>
      <c r="C20">
        <f t="shared" si="0"/>
        <v>1.5697102274137009E-3</v>
      </c>
      <c r="D20">
        <f t="shared" si="1"/>
        <v>1.67958994333266E-3</v>
      </c>
      <c r="E20">
        <f t="shared" si="2"/>
        <v>1.67958994333266</v>
      </c>
    </row>
    <row r="21" spans="1:5">
      <c r="A21" s="4">
        <v>44197</v>
      </c>
      <c r="B21">
        <v>1.9E-2</v>
      </c>
      <c r="C21">
        <f t="shared" si="0"/>
        <v>1.5697102274137009E-3</v>
      </c>
      <c r="D21">
        <f t="shared" si="1"/>
        <v>1.67958994333266E-3</v>
      </c>
      <c r="E21">
        <f t="shared" si="2"/>
        <v>1.67958994333266</v>
      </c>
    </row>
    <row r="22" spans="1:5">
      <c r="A22" s="4">
        <v>44228</v>
      </c>
      <c r="B22">
        <v>1.9E-2</v>
      </c>
      <c r="C22">
        <f t="shared" si="0"/>
        <v>1.5697102274137009E-3</v>
      </c>
      <c r="D22">
        <f t="shared" si="1"/>
        <v>1.67958994333266E-3</v>
      </c>
      <c r="E22">
        <f t="shared" si="2"/>
        <v>1.67958994333266</v>
      </c>
    </row>
    <row r="23" spans="1:5">
      <c r="A23" s="4">
        <v>44256</v>
      </c>
      <c r="B23">
        <v>1.9E-2</v>
      </c>
      <c r="C23">
        <f t="shared" si="0"/>
        <v>1.5697102274137009E-3</v>
      </c>
      <c r="D23">
        <f t="shared" si="1"/>
        <v>1.67958994333266E-3</v>
      </c>
      <c r="E23">
        <f t="shared" si="2"/>
        <v>1.67958994333266</v>
      </c>
    </row>
    <row r="24" spans="1:5">
      <c r="A24" s="4">
        <v>44287</v>
      </c>
      <c r="B24">
        <v>2.6499999999999999E-2</v>
      </c>
      <c r="C24">
        <f t="shared" si="0"/>
        <v>2.18195680041533E-3</v>
      </c>
      <c r="D24">
        <f t="shared" si="1"/>
        <v>2.3346937764444032E-3</v>
      </c>
      <c r="E24">
        <f t="shared" si="2"/>
        <v>2.3346937764444031</v>
      </c>
    </row>
    <row r="25" spans="1:5">
      <c r="A25" s="4">
        <v>44317</v>
      </c>
      <c r="B25">
        <v>3.4000000000000002E-2</v>
      </c>
      <c r="C25">
        <f t="shared" si="0"/>
        <v>2.7901164905321796E-3</v>
      </c>
      <c r="D25">
        <f t="shared" si="1"/>
        <v>2.9854246448694321E-3</v>
      </c>
      <c r="E25">
        <f t="shared" si="2"/>
        <v>2.9854246448694322</v>
      </c>
    </row>
    <row r="26" spans="1:5">
      <c r="A26" s="4">
        <v>44348</v>
      </c>
      <c r="B26">
        <v>3.4000000000000002E-2</v>
      </c>
      <c r="C26">
        <f t="shared" si="0"/>
        <v>2.7901164905321796E-3</v>
      </c>
      <c r="D26">
        <f t="shared" si="1"/>
        <v>2.9854246448694321E-3</v>
      </c>
      <c r="E26">
        <f t="shared" si="2"/>
        <v>2.9854246448694322</v>
      </c>
    </row>
    <row r="27" spans="1:5">
      <c r="A27" s="4">
        <v>44378</v>
      </c>
      <c r="B27">
        <v>4.1500000000000002E-2</v>
      </c>
      <c r="C27">
        <f t="shared" si="0"/>
        <v>3.3942459274463044E-3</v>
      </c>
      <c r="D27">
        <f t="shared" si="1"/>
        <v>3.6318431423675458E-3</v>
      </c>
      <c r="E27">
        <f t="shared" si="2"/>
        <v>3.6318431423675457</v>
      </c>
    </row>
    <row r="28" spans="1:5">
      <c r="A28" s="4">
        <v>44409</v>
      </c>
      <c r="B28">
        <v>5.1499999999999997E-2</v>
      </c>
      <c r="C28">
        <f t="shared" si="0"/>
        <v>4.1935782233755159E-3</v>
      </c>
      <c r="D28">
        <f t="shared" si="1"/>
        <v>4.4871286990118024E-3</v>
      </c>
      <c r="E28">
        <f t="shared" si="2"/>
        <v>4.4871286990118024</v>
      </c>
    </row>
    <row r="29" spans="1:5">
      <c r="A29" s="4">
        <v>44440</v>
      </c>
      <c r="B29">
        <v>5.1499999999999997E-2</v>
      </c>
      <c r="C29">
        <f t="shared" si="0"/>
        <v>4.1935782233755159E-3</v>
      </c>
      <c r="D29">
        <f t="shared" si="1"/>
        <v>4.4871286990118024E-3</v>
      </c>
      <c r="E29">
        <f t="shared" si="2"/>
        <v>4.4871286990118024</v>
      </c>
    </row>
    <row r="30" spans="1:5">
      <c r="A30" s="4">
        <v>44470</v>
      </c>
      <c r="B30">
        <v>6.1499999999999999E-2</v>
      </c>
      <c r="C30">
        <f t="shared" si="0"/>
        <v>4.9859723103033993E-3</v>
      </c>
      <c r="D30">
        <f t="shared" si="1"/>
        <v>5.3349903720246372E-3</v>
      </c>
      <c r="E30">
        <f t="shared" si="2"/>
        <v>5.3349903720246372</v>
      </c>
    </row>
    <row r="31" spans="1:5">
      <c r="A31" s="4">
        <v>44501</v>
      </c>
      <c r="B31">
        <v>7.6499999999999999E-2</v>
      </c>
      <c r="C31">
        <f t="shared" si="0"/>
        <v>6.1618262441982541E-3</v>
      </c>
      <c r="D31">
        <f t="shared" si="1"/>
        <v>6.5931540812921323E-3</v>
      </c>
      <c r="E31">
        <f t="shared" si="2"/>
        <v>6.5931540812921323</v>
      </c>
    </row>
    <row r="32" spans="1:5">
      <c r="A32" s="4">
        <v>44531</v>
      </c>
      <c r="B32">
        <v>9.1499999999999998E-2</v>
      </c>
      <c r="C32">
        <f t="shared" si="0"/>
        <v>7.3227559539175147E-3</v>
      </c>
      <c r="D32">
        <f t="shared" si="1"/>
        <v>7.8353488706917416E-3</v>
      </c>
      <c r="E32">
        <f t="shared" si="2"/>
        <v>7.8353488706917416</v>
      </c>
    </row>
    <row r="33" spans="1:5">
      <c r="A33" s="4">
        <v>44562</v>
      </c>
      <c r="B33">
        <v>9.1499999999999998E-2</v>
      </c>
      <c r="C33">
        <f t="shared" si="0"/>
        <v>7.3227559539175147E-3</v>
      </c>
      <c r="D33">
        <f t="shared" si="1"/>
        <v>7.8353488706917416E-3</v>
      </c>
      <c r="E33">
        <f t="shared" si="2"/>
        <v>7.8353488706917416</v>
      </c>
    </row>
    <row r="34" spans="1:5">
      <c r="A34" s="4">
        <v>44593</v>
      </c>
      <c r="B34">
        <v>0.1065</v>
      </c>
      <c r="C34">
        <f t="shared" si="0"/>
        <v>8.4691521009379045E-3</v>
      </c>
      <c r="D34">
        <f t="shared" si="1"/>
        <v>9.061992748003558E-3</v>
      </c>
      <c r="E34">
        <f t="shared" si="2"/>
        <v>9.0619927480035578</v>
      </c>
    </row>
    <row r="35" spans="1:5">
      <c r="A35" s="4">
        <v>44621</v>
      </c>
      <c r="B35">
        <v>0.1065</v>
      </c>
      <c r="C35">
        <f t="shared" si="0"/>
        <v>8.4691521009379045E-3</v>
      </c>
      <c r="D35">
        <f t="shared" si="1"/>
        <v>9.061992748003558E-3</v>
      </c>
      <c r="E35">
        <f t="shared" si="2"/>
        <v>9.0619927480035578</v>
      </c>
    </row>
    <row r="36" spans="1:5">
      <c r="A36" s="4">
        <v>44652</v>
      </c>
      <c r="B36">
        <v>0.11650000000000001</v>
      </c>
      <c r="C36">
        <f t="shared" si="0"/>
        <v>9.2255279427448933E-3</v>
      </c>
      <c r="D36">
        <f t="shared" si="1"/>
        <v>9.871314898737037E-3</v>
      </c>
      <c r="E36">
        <f t="shared" si="2"/>
        <v>9.8713148987370367</v>
      </c>
    </row>
    <row r="37" spans="1:5">
      <c r="A37" s="4">
        <v>44682</v>
      </c>
      <c r="B37">
        <v>0.1265</v>
      </c>
      <c r="C37">
        <f t="shared" si="0"/>
        <v>9.9757191050890981E-3</v>
      </c>
      <c r="D37">
        <f t="shared" si="1"/>
        <v>1.0674019442445335E-2</v>
      </c>
      <c r="E37">
        <f t="shared" si="2"/>
        <v>10.674019442445335</v>
      </c>
    </row>
    <row r="38" spans="1:5">
      <c r="A38" s="4">
        <v>44713</v>
      </c>
      <c r="B38">
        <v>0.1265</v>
      </c>
      <c r="C38">
        <f t="shared" si="0"/>
        <v>9.9757191050890981E-3</v>
      </c>
      <c r="D38">
        <f t="shared" si="1"/>
        <v>1.0674019442445335E-2</v>
      </c>
      <c r="E38">
        <f t="shared" si="2"/>
        <v>10.674019442445335</v>
      </c>
    </row>
    <row r="39" spans="1:5">
      <c r="A39" s="4">
        <v>44743</v>
      </c>
      <c r="B39">
        <v>0.13150000000000001</v>
      </c>
      <c r="C39">
        <f t="shared" si="0"/>
        <v>1.0348528288471437E-2</v>
      </c>
      <c r="D39">
        <f t="shared" si="1"/>
        <v>1.1072925268664439E-2</v>
      </c>
      <c r="E39">
        <f t="shared" si="2"/>
        <v>11.072925268664438</v>
      </c>
    </row>
    <row r="40" spans="1:5">
      <c r="A40" s="4">
        <v>44774</v>
      </c>
      <c r="B40">
        <v>0.13650000000000001</v>
      </c>
      <c r="C40">
        <f t="shared" si="0"/>
        <v>1.0719830392053042E-2</v>
      </c>
      <c r="D40">
        <f t="shared" si="1"/>
        <v>1.1470218519496755E-2</v>
      </c>
      <c r="E40">
        <f t="shared" si="2"/>
        <v>11.470218519496756</v>
      </c>
    </row>
    <row r="41" spans="1:5">
      <c r="A41" s="4">
        <v>44805</v>
      </c>
      <c r="B41">
        <v>0.13650000000000001</v>
      </c>
      <c r="C41">
        <f t="shared" si="0"/>
        <v>1.0719830392053042E-2</v>
      </c>
      <c r="D41">
        <f t="shared" si="1"/>
        <v>1.1470218519496755E-2</v>
      </c>
      <c r="E41">
        <f t="shared" si="2"/>
        <v>11.470218519496756</v>
      </c>
    </row>
    <row r="42" spans="1:5">
      <c r="A42" s="4">
        <v>44835</v>
      </c>
      <c r="B42">
        <v>0.13650000000000001</v>
      </c>
      <c r="C42">
        <f t="shared" si="0"/>
        <v>1.0719830392053042E-2</v>
      </c>
      <c r="D42">
        <f t="shared" si="1"/>
        <v>1.1470218519496755E-2</v>
      </c>
      <c r="E42">
        <f t="shared" si="2"/>
        <v>11.470218519496756</v>
      </c>
    </row>
    <row r="43" spans="1:5">
      <c r="A43" s="4">
        <v>44866</v>
      </c>
      <c r="B43">
        <v>0.13650000000000001</v>
      </c>
      <c r="C43">
        <f t="shared" si="0"/>
        <v>1.0719830392053042E-2</v>
      </c>
      <c r="D43">
        <f t="shared" si="1"/>
        <v>1.1470218519496755E-2</v>
      </c>
      <c r="E43">
        <f t="shared" si="2"/>
        <v>11.470218519496756</v>
      </c>
    </row>
    <row r="44" spans="1:5">
      <c r="A44" s="4">
        <v>44896</v>
      </c>
      <c r="B44">
        <v>0.13655999999999999</v>
      </c>
      <c r="C44">
        <f t="shared" si="0"/>
        <v>1.0724276918118836E-2</v>
      </c>
      <c r="D44">
        <f t="shared" si="1"/>
        <v>1.1474976302387155E-2</v>
      </c>
      <c r="E44">
        <f t="shared" si="2"/>
        <v>11.474976302387155</v>
      </c>
    </row>
    <row r="45" spans="1:5">
      <c r="A45" s="4">
        <v>44927</v>
      </c>
      <c r="B45">
        <v>0.13672000000000001</v>
      </c>
      <c r="C45">
        <f t="shared" si="0"/>
        <v>1.0736133269080073E-2</v>
      </c>
      <c r="D45">
        <f t="shared" si="1"/>
        <v>1.1487662597915678E-2</v>
      </c>
      <c r="E45">
        <f t="shared" si="2"/>
        <v>11.487662597915678</v>
      </c>
    </row>
    <row r="46" spans="1:5">
      <c r="A46" s="4">
        <v>44958</v>
      </c>
      <c r="B46">
        <v>0.13683999999999999</v>
      </c>
      <c r="C46">
        <f t="shared" si="0"/>
        <v>1.0745024528425295E-2</v>
      </c>
      <c r="D46">
        <f t="shared" si="1"/>
        <v>1.1497176245415066E-2</v>
      </c>
      <c r="E46">
        <f t="shared" si="2"/>
        <v>11.497176245415066</v>
      </c>
    </row>
    <row r="47" spans="1:5">
      <c r="A47" s="4">
        <v>44986</v>
      </c>
      <c r="B47">
        <v>0.13705000000000001</v>
      </c>
      <c r="C47">
        <f t="shared" si="0"/>
        <v>1.0760582162355092E-2</v>
      </c>
      <c r="D47">
        <f t="shared" si="1"/>
        <v>1.151382291371995E-2</v>
      </c>
      <c r="E47">
        <f t="shared" si="2"/>
        <v>11.513822913719951</v>
      </c>
    </row>
    <row r="48" spans="1:5">
      <c r="A48" s="4">
        <v>45017</v>
      </c>
      <c r="B48">
        <v>0.13700000000000001</v>
      </c>
      <c r="C48">
        <f t="shared" si="0"/>
        <v>1.0756878202714981E-2</v>
      </c>
      <c r="D48">
        <f t="shared" si="1"/>
        <v>1.1509859676905031E-2</v>
      </c>
      <c r="E48">
        <f t="shared" si="2"/>
        <v>11.50985967690503</v>
      </c>
    </row>
    <row r="49" spans="1:5">
      <c r="A49" s="4">
        <v>45047</v>
      </c>
      <c r="B49">
        <v>0.13694999999999999</v>
      </c>
      <c r="C49">
        <f t="shared" si="0"/>
        <v>1.075317409376253E-2</v>
      </c>
      <c r="D49">
        <f t="shared" si="1"/>
        <v>1.1505896280325908E-2</v>
      </c>
      <c r="E49">
        <f t="shared" si="2"/>
        <v>11.505896280325908</v>
      </c>
    </row>
    <row r="50" spans="1:5">
      <c r="A50" s="4">
        <v>45078</v>
      </c>
      <c r="B50">
        <v>0.13658000000000001</v>
      </c>
      <c r="C50">
        <f t="shared" si="0"/>
        <v>1.0725759045657535E-2</v>
      </c>
      <c r="D50">
        <f t="shared" si="1"/>
        <v>1.1476562178853563E-2</v>
      </c>
      <c r="E50">
        <f t="shared" si="2"/>
        <v>11.476562178853563</v>
      </c>
    </row>
    <row r="51" spans="1:5">
      <c r="A51" s="4">
        <v>45108</v>
      </c>
      <c r="B51">
        <v>0.1361</v>
      </c>
      <c r="C51">
        <f t="shared" si="0"/>
        <v>1.0690181384565234E-2</v>
      </c>
      <c r="D51">
        <f t="shared" si="1"/>
        <v>1.14384940814848E-2</v>
      </c>
      <c r="E51">
        <f t="shared" si="2"/>
        <v>11.4384940814848</v>
      </c>
    </row>
    <row r="52" spans="1:5">
      <c r="A52" s="4">
        <v>45139</v>
      </c>
      <c r="B52">
        <v>0.13525000000000001</v>
      </c>
      <c r="C52">
        <f t="shared" si="0"/>
        <v>1.0627145458520282E-2</v>
      </c>
      <c r="D52">
        <f t="shared" si="1"/>
        <v>1.1371045640616702E-2</v>
      </c>
      <c r="E52">
        <f t="shared" si="2"/>
        <v>11.371045640616702</v>
      </c>
    </row>
    <row r="53" spans="1:5">
      <c r="A53" s="4">
        <v>45170</v>
      </c>
      <c r="B53">
        <v>0.13413</v>
      </c>
      <c r="C53">
        <f t="shared" si="0"/>
        <v>1.0544020262500675E-2</v>
      </c>
      <c r="D53">
        <f t="shared" si="1"/>
        <v>1.1282101680875723E-2</v>
      </c>
      <c r="E53">
        <f t="shared" si="2"/>
        <v>11.282101680875723</v>
      </c>
    </row>
    <row r="54" spans="1:5">
      <c r="A54" s="4">
        <v>45200</v>
      </c>
      <c r="B54">
        <v>0.13305</v>
      </c>
      <c r="C54">
        <f t="shared" si="0"/>
        <v>1.0463792527246163E-2</v>
      </c>
      <c r="D54">
        <f t="shared" si="1"/>
        <v>1.1196258004153395E-2</v>
      </c>
      <c r="E54">
        <f t="shared" si="2"/>
        <v>11.196258004153396</v>
      </c>
    </row>
    <row r="55" spans="1:5">
      <c r="A55" s="4">
        <v>45231</v>
      </c>
      <c r="B55">
        <v>0.13150999999999999</v>
      </c>
      <c r="C55">
        <f t="shared" si="0"/>
        <v>1.0349272392489395E-2</v>
      </c>
      <c r="D55">
        <f t="shared" si="1"/>
        <v>1.1073721459963654E-2</v>
      </c>
      <c r="E55">
        <f t="shared" si="2"/>
        <v>11.073721459963654</v>
      </c>
    </row>
    <row r="56" spans="1:5">
      <c r="A56" s="4">
        <v>45261</v>
      </c>
      <c r="B56">
        <v>0.13150999999999999</v>
      </c>
      <c r="C56">
        <f t="shared" si="0"/>
        <v>1.0349272392489395E-2</v>
      </c>
      <c r="D56">
        <f t="shared" si="1"/>
        <v>1.1073721459963654E-2</v>
      </c>
      <c r="E56">
        <f t="shared" si="2"/>
        <v>11.073721459963654</v>
      </c>
    </row>
    <row r="57" spans="1:5">
      <c r="A57" s="4">
        <v>45292</v>
      </c>
      <c r="B57">
        <v>0.12934999999999999</v>
      </c>
      <c r="C57">
        <f t="shared" si="0"/>
        <v>1.0188405778917886E-2</v>
      </c>
      <c r="D57">
        <f t="shared" si="1"/>
        <v>1.0901594183442139E-2</v>
      </c>
      <c r="E57">
        <f t="shared" si="2"/>
        <v>10.901594183442139</v>
      </c>
    </row>
    <row r="58" spans="1:5">
      <c r="A58" s="4">
        <v>45323</v>
      </c>
      <c r="B58">
        <v>0.12934999999999999</v>
      </c>
      <c r="C58">
        <f t="shared" si="0"/>
        <v>1.0188405778917886E-2</v>
      </c>
      <c r="D58">
        <f t="shared" si="1"/>
        <v>1.0901594183442139E-2</v>
      </c>
      <c r="E58">
        <f t="shared" si="2"/>
        <v>10.901594183442139</v>
      </c>
    </row>
    <row r="59" spans="1:5">
      <c r="A59" s="4">
        <v>45352</v>
      </c>
      <c r="B59">
        <v>0.12934999999999999</v>
      </c>
      <c r="C59">
        <f t="shared" si="0"/>
        <v>1.0188405778917886E-2</v>
      </c>
      <c r="D59">
        <f t="shared" si="1"/>
        <v>1.0901594183442139E-2</v>
      </c>
      <c r="E59">
        <f t="shared" si="2"/>
        <v>10.901594183442139</v>
      </c>
    </row>
    <row r="60" spans="1:5">
      <c r="A60" s="4">
        <v>45383</v>
      </c>
      <c r="B60">
        <v>0.12570000000000001</v>
      </c>
      <c r="C60">
        <f t="shared" si="0"/>
        <v>9.9159289226782299E-3</v>
      </c>
      <c r="D60">
        <f t="shared" si="1"/>
        <v>1.0610043947265706E-2</v>
      </c>
      <c r="E60">
        <f t="shared" si="2"/>
        <v>10.610043947265707</v>
      </c>
    </row>
    <row r="61" spans="1:5">
      <c r="A61" s="4">
        <v>45413</v>
      </c>
      <c r="B61">
        <v>0.12570000000000001</v>
      </c>
      <c r="C61">
        <f t="shared" si="0"/>
        <v>9.9159289226782299E-3</v>
      </c>
      <c r="D61">
        <f t="shared" si="1"/>
        <v>1.0610043947265706E-2</v>
      </c>
      <c r="E61">
        <f t="shared" si="2"/>
        <v>10.610043947265707</v>
      </c>
    </row>
    <row r="63" spans="1:5">
      <c r="A63" t="s">
        <v>137</v>
      </c>
      <c r="B63">
        <v>1000</v>
      </c>
    </row>
  </sheetData>
  <pageMargins left="0.511811024" right="0.511811024" top="0.78740157499999996" bottom="0.78740157499999996" header="0.31496062000000002" footer="0.31496062000000002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FB32E-C4C4-4A51-B7A5-B3392214B1A6}">
  <sheetPr codeName="Planilha32"/>
  <dimension ref="A1:F63"/>
  <sheetViews>
    <sheetView topLeftCell="A61" workbookViewId="0">
      <selection activeCell="B2" sqref="B2:B61"/>
    </sheetView>
  </sheetViews>
  <sheetFormatPr defaultRowHeight="15"/>
  <sheetData>
    <row r="1" spans="1:6">
      <c r="A1" t="s">
        <v>21</v>
      </c>
      <c r="B1" t="s">
        <v>121</v>
      </c>
      <c r="C1" t="s">
        <v>127</v>
      </c>
      <c r="D1" t="s">
        <v>128</v>
      </c>
      <c r="E1" t="s">
        <v>129</v>
      </c>
      <c r="F1" t="s">
        <v>130</v>
      </c>
    </row>
    <row r="2" spans="1:6">
      <c r="A2" s="4">
        <v>43586</v>
      </c>
      <c r="B2">
        <v>6.4000000000000001E-2</v>
      </c>
      <c r="C2">
        <f>((1+B2)^(1/252))-1</f>
        <v>2.4620248904749786E-4</v>
      </c>
      <c r="D2">
        <v>0.01</v>
      </c>
      <c r="E2">
        <f>C2+D2</f>
        <v>1.0246202489047498E-2</v>
      </c>
      <c r="F2">
        <f>$B$63*E2</f>
        <v>10.246202489047498</v>
      </c>
    </row>
    <row r="3" spans="1:6">
      <c r="A3" s="4">
        <v>43617</v>
      </c>
      <c r="B3">
        <v>6.4000000000000001E-2</v>
      </c>
      <c r="C3">
        <f t="shared" ref="C3:C61" si="0">((1+B3)^(1/252))-1</f>
        <v>2.4620248904749786E-4</v>
      </c>
      <c r="D3">
        <v>0.01</v>
      </c>
      <c r="E3">
        <f t="shared" ref="E3:E61" si="1">C3+D3</f>
        <v>1.0246202489047498E-2</v>
      </c>
      <c r="F3">
        <f t="shared" ref="F3:F61" si="2">$B$63*E3</f>
        <v>10.246202489047498</v>
      </c>
    </row>
    <row r="4" spans="1:6">
      <c r="A4" s="4">
        <v>43647</v>
      </c>
      <c r="B4">
        <v>6.4000000000000001E-2</v>
      </c>
      <c r="C4">
        <f t="shared" si="0"/>
        <v>2.4620248904749786E-4</v>
      </c>
      <c r="D4">
        <v>0.01</v>
      </c>
      <c r="E4">
        <f t="shared" si="1"/>
        <v>1.0246202489047498E-2</v>
      </c>
      <c r="F4">
        <f t="shared" si="2"/>
        <v>10.246202489047498</v>
      </c>
    </row>
    <row r="5" spans="1:6">
      <c r="A5" s="4">
        <v>43678</v>
      </c>
      <c r="B5">
        <v>5.8999999999999997E-2</v>
      </c>
      <c r="C5">
        <f t="shared" si="0"/>
        <v>2.275062987258103E-4</v>
      </c>
      <c r="D5">
        <v>0.01</v>
      </c>
      <c r="E5">
        <f t="shared" si="1"/>
        <v>1.0227506298725811E-2</v>
      </c>
      <c r="F5">
        <f t="shared" si="2"/>
        <v>10.22750629872581</v>
      </c>
    </row>
    <row r="6" spans="1:6">
      <c r="A6" s="4">
        <v>43709</v>
      </c>
      <c r="B6">
        <v>5.8999999999999997E-2</v>
      </c>
      <c r="C6">
        <f t="shared" si="0"/>
        <v>2.275062987258103E-4</v>
      </c>
      <c r="D6">
        <v>0.01</v>
      </c>
      <c r="E6">
        <f t="shared" si="1"/>
        <v>1.0227506298725811E-2</v>
      </c>
      <c r="F6">
        <f t="shared" si="2"/>
        <v>10.22750629872581</v>
      </c>
    </row>
    <row r="7" spans="1:6">
      <c r="A7" s="4">
        <v>43739</v>
      </c>
      <c r="B7">
        <v>5.3999999999999999E-2</v>
      </c>
      <c r="C7">
        <f t="shared" si="0"/>
        <v>2.0872197828714079E-4</v>
      </c>
      <c r="D7">
        <v>0.01</v>
      </c>
      <c r="E7">
        <f t="shared" si="1"/>
        <v>1.0208721978287141E-2</v>
      </c>
      <c r="F7">
        <f t="shared" si="2"/>
        <v>10.208721978287141</v>
      </c>
    </row>
    <row r="8" spans="1:6">
      <c r="A8" s="4">
        <v>43770</v>
      </c>
      <c r="B8">
        <v>4.9000000000000002E-2</v>
      </c>
      <c r="C8">
        <f t="shared" si="0"/>
        <v>1.8984869126059678E-4</v>
      </c>
      <c r="D8">
        <v>0.01</v>
      </c>
      <c r="E8">
        <f t="shared" si="1"/>
        <v>1.0189848691260597E-2</v>
      </c>
      <c r="F8">
        <f t="shared" si="2"/>
        <v>10.189848691260597</v>
      </c>
    </row>
    <row r="9" spans="1:6">
      <c r="A9" s="4">
        <v>43800</v>
      </c>
      <c r="B9">
        <v>4.3999999999999997E-2</v>
      </c>
      <c r="C9">
        <f t="shared" si="0"/>
        <v>1.7088558920153041E-4</v>
      </c>
      <c r="D9">
        <v>0.01</v>
      </c>
      <c r="E9">
        <f t="shared" si="1"/>
        <v>1.0170885589201531E-2</v>
      </c>
      <c r="F9">
        <f t="shared" si="2"/>
        <v>10.17088558920153</v>
      </c>
    </row>
    <row r="10" spans="1:6">
      <c r="A10" s="4">
        <v>43831</v>
      </c>
      <c r="B10">
        <v>4.3999999999999997E-2</v>
      </c>
      <c r="C10">
        <f t="shared" si="0"/>
        <v>1.7088558920153041E-4</v>
      </c>
      <c r="D10">
        <v>0.01</v>
      </c>
      <c r="E10">
        <f t="shared" si="1"/>
        <v>1.0170885589201531E-2</v>
      </c>
      <c r="F10">
        <f t="shared" si="2"/>
        <v>10.17088558920153</v>
      </c>
    </row>
    <row r="11" spans="1:6">
      <c r="A11" s="4">
        <v>43862</v>
      </c>
      <c r="B11">
        <v>4.1500000000000002E-2</v>
      </c>
      <c r="C11">
        <f t="shared" si="0"/>
        <v>1.6137008906524919E-4</v>
      </c>
      <c r="D11">
        <v>0.01</v>
      </c>
      <c r="E11">
        <f t="shared" si="1"/>
        <v>1.0161370089065249E-2</v>
      </c>
      <c r="F11">
        <f t="shared" si="2"/>
        <v>10.161370089065249</v>
      </c>
    </row>
    <row r="12" spans="1:6">
      <c r="A12" s="4">
        <v>43891</v>
      </c>
      <c r="B12">
        <v>4.1500000000000002E-2</v>
      </c>
      <c r="C12">
        <f t="shared" si="0"/>
        <v>1.6137008906524919E-4</v>
      </c>
      <c r="D12">
        <v>0.01</v>
      </c>
      <c r="E12">
        <f t="shared" si="1"/>
        <v>1.0161370089065249E-2</v>
      </c>
      <c r="F12">
        <f t="shared" si="2"/>
        <v>10.161370089065249</v>
      </c>
    </row>
    <row r="13" spans="1:6">
      <c r="A13" s="4">
        <v>43922</v>
      </c>
      <c r="B13">
        <v>3.6499999999999998E-2</v>
      </c>
      <c r="C13">
        <f t="shared" si="0"/>
        <v>1.4227064686456181E-4</v>
      </c>
      <c r="D13">
        <v>0.01</v>
      </c>
      <c r="E13">
        <f t="shared" si="1"/>
        <v>1.0142270646864562E-2</v>
      </c>
      <c r="F13">
        <f t="shared" si="2"/>
        <v>10.142270646864562</v>
      </c>
    </row>
    <row r="14" spans="1:6">
      <c r="A14" s="4">
        <v>43952</v>
      </c>
      <c r="B14">
        <v>2.9000000000000001E-2</v>
      </c>
      <c r="C14">
        <f t="shared" si="0"/>
        <v>1.1344872391472194E-4</v>
      </c>
      <c r="D14">
        <v>0.01</v>
      </c>
      <c r="E14">
        <f t="shared" si="1"/>
        <v>1.0113448723914722E-2</v>
      </c>
      <c r="F14">
        <f t="shared" si="2"/>
        <v>10.113448723914722</v>
      </c>
    </row>
    <row r="15" spans="1:6">
      <c r="A15" s="4">
        <v>43983</v>
      </c>
      <c r="B15">
        <v>2.9000000000000001E-2</v>
      </c>
      <c r="C15">
        <f t="shared" si="0"/>
        <v>1.1344872391472194E-4</v>
      </c>
      <c r="D15">
        <v>0.01</v>
      </c>
      <c r="E15">
        <f t="shared" si="1"/>
        <v>1.0113448723914722E-2</v>
      </c>
      <c r="F15">
        <f t="shared" si="2"/>
        <v>10.113448723914722</v>
      </c>
    </row>
    <row r="16" spans="1:6">
      <c r="A16" s="4">
        <v>44013</v>
      </c>
      <c r="B16">
        <v>2.1499999999999998E-2</v>
      </c>
      <c r="C16">
        <f t="shared" si="0"/>
        <v>8.4416798117770142E-5</v>
      </c>
      <c r="D16">
        <v>0.01</v>
      </c>
      <c r="E16">
        <f t="shared" si="1"/>
        <v>1.008441679811777E-2</v>
      </c>
      <c r="F16">
        <f t="shared" si="2"/>
        <v>10.08441679811777</v>
      </c>
    </row>
    <row r="17" spans="1:6">
      <c r="A17" s="4">
        <v>44044</v>
      </c>
      <c r="B17">
        <v>1.9E-2</v>
      </c>
      <c r="C17">
        <f t="shared" si="0"/>
        <v>7.4692290285005569E-5</v>
      </c>
      <c r="D17">
        <v>0.01</v>
      </c>
      <c r="E17">
        <f t="shared" si="1"/>
        <v>1.0074692290285006E-2</v>
      </c>
      <c r="F17">
        <f t="shared" si="2"/>
        <v>10.074692290285006</v>
      </c>
    </row>
    <row r="18" spans="1:6">
      <c r="A18" s="4">
        <v>44075</v>
      </c>
      <c r="B18">
        <v>1.9E-2</v>
      </c>
      <c r="C18">
        <f t="shared" si="0"/>
        <v>7.4692290285005569E-5</v>
      </c>
      <c r="D18">
        <v>0.01</v>
      </c>
      <c r="E18">
        <f t="shared" si="1"/>
        <v>1.0074692290285006E-2</v>
      </c>
      <c r="F18">
        <f t="shared" si="2"/>
        <v>10.074692290285006</v>
      </c>
    </row>
    <row r="19" spans="1:6">
      <c r="A19" s="4">
        <v>44105</v>
      </c>
      <c r="B19">
        <v>1.9E-2</v>
      </c>
      <c r="C19">
        <f t="shared" si="0"/>
        <v>7.4692290285005569E-5</v>
      </c>
      <c r="D19">
        <v>0.01</v>
      </c>
      <c r="E19">
        <f t="shared" si="1"/>
        <v>1.0074692290285006E-2</v>
      </c>
      <c r="F19">
        <f t="shared" si="2"/>
        <v>10.074692290285006</v>
      </c>
    </row>
    <row r="20" spans="1:6">
      <c r="A20" s="4">
        <v>44136</v>
      </c>
      <c r="B20">
        <v>1.9E-2</v>
      </c>
      <c r="C20">
        <f t="shared" si="0"/>
        <v>7.4692290285005569E-5</v>
      </c>
      <c r="D20">
        <v>0.01</v>
      </c>
      <c r="E20">
        <f t="shared" si="1"/>
        <v>1.0074692290285006E-2</v>
      </c>
      <c r="F20">
        <f t="shared" si="2"/>
        <v>10.074692290285006</v>
      </c>
    </row>
    <row r="21" spans="1:6">
      <c r="A21" s="4">
        <v>44166</v>
      </c>
      <c r="B21">
        <v>1.9E-2</v>
      </c>
      <c r="C21">
        <f t="shared" si="0"/>
        <v>7.4692290285005569E-5</v>
      </c>
      <c r="D21">
        <v>0.01</v>
      </c>
      <c r="E21">
        <f t="shared" si="1"/>
        <v>1.0074692290285006E-2</v>
      </c>
      <c r="F21">
        <f t="shared" si="2"/>
        <v>10.074692290285006</v>
      </c>
    </row>
    <row r="22" spans="1:6">
      <c r="A22" s="4">
        <v>44197</v>
      </c>
      <c r="B22">
        <v>1.9E-2</v>
      </c>
      <c r="C22">
        <f t="shared" si="0"/>
        <v>7.4692290285005569E-5</v>
      </c>
      <c r="D22">
        <v>0.01</v>
      </c>
      <c r="E22">
        <f t="shared" si="1"/>
        <v>1.0074692290285006E-2</v>
      </c>
      <c r="F22">
        <f t="shared" si="2"/>
        <v>10.074692290285006</v>
      </c>
    </row>
    <row r="23" spans="1:6">
      <c r="A23" s="4">
        <v>44228</v>
      </c>
      <c r="B23">
        <v>1.9E-2</v>
      </c>
      <c r="C23">
        <f t="shared" si="0"/>
        <v>7.4692290285005569E-5</v>
      </c>
      <c r="D23">
        <v>0.01</v>
      </c>
      <c r="E23">
        <f t="shared" si="1"/>
        <v>1.0074692290285006E-2</v>
      </c>
      <c r="F23">
        <f t="shared" si="2"/>
        <v>10.074692290285006</v>
      </c>
    </row>
    <row r="24" spans="1:6">
      <c r="A24" s="4">
        <v>44256</v>
      </c>
      <c r="B24">
        <v>1.9E-2</v>
      </c>
      <c r="C24">
        <f t="shared" si="0"/>
        <v>7.4692290285005569E-5</v>
      </c>
      <c r="D24">
        <v>0.01</v>
      </c>
      <c r="E24">
        <f t="shared" si="1"/>
        <v>1.0074692290285006E-2</v>
      </c>
      <c r="F24">
        <f t="shared" si="2"/>
        <v>10.074692290285006</v>
      </c>
    </row>
    <row r="25" spans="1:6">
      <c r="A25" s="4">
        <v>44287</v>
      </c>
      <c r="B25">
        <v>2.6499999999999999E-2</v>
      </c>
      <c r="C25">
        <f t="shared" si="0"/>
        <v>1.0379490011502845E-4</v>
      </c>
      <c r="D25">
        <v>0.01</v>
      </c>
      <c r="E25">
        <f t="shared" si="1"/>
        <v>1.0103794900115029E-2</v>
      </c>
      <c r="F25">
        <f t="shared" si="2"/>
        <v>10.103794900115028</v>
      </c>
    </row>
    <row r="26" spans="1:6">
      <c r="A26" s="4">
        <v>44317</v>
      </c>
      <c r="B26">
        <v>3.4000000000000002E-2</v>
      </c>
      <c r="C26">
        <f t="shared" si="0"/>
        <v>1.3268648495490254E-4</v>
      </c>
      <c r="D26">
        <v>0.01</v>
      </c>
      <c r="E26">
        <f t="shared" si="1"/>
        <v>1.0132686484954903E-2</v>
      </c>
      <c r="F26">
        <f t="shared" si="2"/>
        <v>10.132686484954903</v>
      </c>
    </row>
    <row r="27" spans="1:6">
      <c r="A27" s="4">
        <v>44348</v>
      </c>
      <c r="B27">
        <v>3.4000000000000002E-2</v>
      </c>
      <c r="C27">
        <f t="shared" si="0"/>
        <v>1.3268648495490254E-4</v>
      </c>
      <c r="D27">
        <v>0.01</v>
      </c>
      <c r="E27">
        <f t="shared" si="1"/>
        <v>1.0132686484954903E-2</v>
      </c>
      <c r="F27">
        <f t="shared" si="2"/>
        <v>10.132686484954903</v>
      </c>
    </row>
    <row r="28" spans="1:6">
      <c r="A28" s="4">
        <v>44378</v>
      </c>
      <c r="B28">
        <v>4.1500000000000002E-2</v>
      </c>
      <c r="C28">
        <f t="shared" si="0"/>
        <v>1.6137008906524919E-4</v>
      </c>
      <c r="D28">
        <v>0.01</v>
      </c>
      <c r="E28">
        <f t="shared" si="1"/>
        <v>1.0161370089065249E-2</v>
      </c>
      <c r="F28">
        <f t="shared" si="2"/>
        <v>10.161370089065249</v>
      </c>
    </row>
    <row r="29" spans="1:6">
      <c r="A29" s="4">
        <v>44409</v>
      </c>
      <c r="B29">
        <v>5.1499999999999997E-2</v>
      </c>
      <c r="C29">
        <f t="shared" si="0"/>
        <v>1.9929650834193957E-4</v>
      </c>
      <c r="D29">
        <v>0.01</v>
      </c>
      <c r="E29">
        <f t="shared" si="1"/>
        <v>1.019929650834194E-2</v>
      </c>
      <c r="F29">
        <f t="shared" si="2"/>
        <v>10.19929650834194</v>
      </c>
    </row>
    <row r="30" spans="1:6">
      <c r="A30" s="4">
        <v>44440</v>
      </c>
      <c r="B30">
        <v>5.1499999999999997E-2</v>
      </c>
      <c r="C30">
        <f t="shared" si="0"/>
        <v>1.9929650834193957E-4</v>
      </c>
      <c r="D30">
        <v>0.01</v>
      </c>
      <c r="E30">
        <f t="shared" si="1"/>
        <v>1.019929650834194E-2</v>
      </c>
      <c r="F30">
        <f t="shared" si="2"/>
        <v>10.19929650834194</v>
      </c>
    </row>
    <row r="31" spans="1:6">
      <c r="A31" s="4">
        <v>44470</v>
      </c>
      <c r="B31">
        <v>6.1499999999999999E-2</v>
      </c>
      <c r="C31">
        <f t="shared" si="0"/>
        <v>2.3686535833333799E-4</v>
      </c>
      <c r="D31">
        <v>0.01</v>
      </c>
      <c r="E31">
        <f t="shared" si="1"/>
        <v>1.0236865358333338E-2</v>
      </c>
      <c r="F31">
        <f t="shared" si="2"/>
        <v>10.236865358333338</v>
      </c>
    </row>
    <row r="32" spans="1:6">
      <c r="A32" s="4">
        <v>44501</v>
      </c>
      <c r="B32">
        <v>7.6499999999999999E-2</v>
      </c>
      <c r="C32">
        <f t="shared" si="0"/>
        <v>2.9256277950295839E-4</v>
      </c>
      <c r="D32">
        <v>0.01</v>
      </c>
      <c r="E32">
        <f t="shared" si="1"/>
        <v>1.0292562779502959E-2</v>
      </c>
      <c r="F32">
        <f t="shared" si="2"/>
        <v>10.292562779502958</v>
      </c>
    </row>
    <row r="33" spans="1:6">
      <c r="A33" s="4">
        <v>44531</v>
      </c>
      <c r="B33">
        <v>9.1499999999999998E-2</v>
      </c>
      <c r="C33">
        <f t="shared" si="0"/>
        <v>3.4749249251664338E-4</v>
      </c>
      <c r="D33">
        <v>0.01</v>
      </c>
      <c r="E33">
        <f t="shared" si="1"/>
        <v>1.0347492492516644E-2</v>
      </c>
      <c r="F33">
        <f t="shared" si="2"/>
        <v>10.347492492516643</v>
      </c>
    </row>
    <row r="34" spans="1:6">
      <c r="A34" s="4">
        <v>44562</v>
      </c>
      <c r="B34">
        <v>9.1499999999999998E-2</v>
      </c>
      <c r="C34">
        <f t="shared" si="0"/>
        <v>3.4749249251664338E-4</v>
      </c>
      <c r="D34">
        <v>0.01</v>
      </c>
      <c r="E34">
        <f t="shared" si="1"/>
        <v>1.0347492492516644E-2</v>
      </c>
      <c r="F34">
        <f t="shared" si="2"/>
        <v>10.347492492516643</v>
      </c>
    </row>
    <row r="35" spans="1:6">
      <c r="A35" s="4">
        <v>44593</v>
      </c>
      <c r="B35">
        <v>0.1065</v>
      </c>
      <c r="C35">
        <f t="shared" si="0"/>
        <v>4.0167541389757311E-4</v>
      </c>
      <c r="D35">
        <v>0.01</v>
      </c>
      <c r="E35">
        <f t="shared" si="1"/>
        <v>1.0401675413897573E-2</v>
      </c>
      <c r="F35">
        <f t="shared" si="2"/>
        <v>10.401675413897573</v>
      </c>
    </row>
    <row r="36" spans="1:6">
      <c r="A36" s="4">
        <v>44621</v>
      </c>
      <c r="B36">
        <v>0.1065</v>
      </c>
      <c r="C36">
        <f t="shared" si="0"/>
        <v>4.0167541389757311E-4</v>
      </c>
      <c r="D36">
        <v>0.01</v>
      </c>
      <c r="E36">
        <f t="shared" si="1"/>
        <v>1.0401675413897573E-2</v>
      </c>
      <c r="F36">
        <f t="shared" si="2"/>
        <v>10.401675413897573</v>
      </c>
    </row>
    <row r="37" spans="1:6">
      <c r="A37" s="4">
        <v>44652</v>
      </c>
      <c r="B37">
        <v>0.11650000000000001</v>
      </c>
      <c r="C37">
        <f t="shared" si="0"/>
        <v>4.3739242301588099E-4</v>
      </c>
      <c r="D37">
        <v>0.01</v>
      </c>
      <c r="E37">
        <f t="shared" si="1"/>
        <v>1.0437392423015881E-2</v>
      </c>
      <c r="F37">
        <f t="shared" si="2"/>
        <v>10.437392423015881</v>
      </c>
    </row>
    <row r="38" spans="1:6">
      <c r="A38" s="4">
        <v>44682</v>
      </c>
      <c r="B38">
        <v>0.1265</v>
      </c>
      <c r="C38">
        <f t="shared" si="0"/>
        <v>4.727922107445881E-4</v>
      </c>
      <c r="D38">
        <v>0.01</v>
      </c>
      <c r="E38">
        <f t="shared" si="1"/>
        <v>1.0472792210744588E-2</v>
      </c>
      <c r="F38">
        <f t="shared" si="2"/>
        <v>10.472792210744588</v>
      </c>
    </row>
    <row r="39" spans="1:6">
      <c r="A39" s="4">
        <v>44713</v>
      </c>
      <c r="B39">
        <v>0.1265</v>
      </c>
      <c r="C39">
        <f t="shared" si="0"/>
        <v>4.727922107445881E-4</v>
      </c>
      <c r="D39">
        <v>0.01</v>
      </c>
      <c r="E39">
        <f t="shared" si="1"/>
        <v>1.0472792210744588E-2</v>
      </c>
      <c r="F39">
        <f t="shared" si="2"/>
        <v>10.472792210744588</v>
      </c>
    </row>
    <row r="40" spans="1:6">
      <c r="A40" s="4">
        <v>44743</v>
      </c>
      <c r="B40">
        <v>0.13150000000000001</v>
      </c>
      <c r="C40">
        <f t="shared" si="0"/>
        <v>4.9037490119197003E-4</v>
      </c>
      <c r="D40">
        <v>0.01</v>
      </c>
      <c r="E40">
        <f t="shared" si="1"/>
        <v>1.049037490119197E-2</v>
      </c>
      <c r="F40">
        <f t="shared" si="2"/>
        <v>10.49037490119197</v>
      </c>
    </row>
    <row r="41" spans="1:6">
      <c r="A41" s="4">
        <v>44774</v>
      </c>
      <c r="B41">
        <v>0.13650000000000001</v>
      </c>
      <c r="C41">
        <f t="shared" si="0"/>
        <v>5.0788037326188196E-4</v>
      </c>
      <c r="D41">
        <v>0.01</v>
      </c>
      <c r="E41">
        <f t="shared" si="1"/>
        <v>1.0507880373261882E-2</v>
      </c>
      <c r="F41">
        <f t="shared" si="2"/>
        <v>10.507880373261882</v>
      </c>
    </row>
    <row r="42" spans="1:6">
      <c r="A42" s="4">
        <v>44805</v>
      </c>
      <c r="B42">
        <v>0.13650000000000001</v>
      </c>
      <c r="C42">
        <f t="shared" si="0"/>
        <v>5.0788037326188196E-4</v>
      </c>
      <c r="D42">
        <v>0.01</v>
      </c>
      <c r="E42">
        <f t="shared" si="1"/>
        <v>1.0507880373261882E-2</v>
      </c>
      <c r="F42">
        <f t="shared" si="2"/>
        <v>10.507880373261882</v>
      </c>
    </row>
    <row r="43" spans="1:6">
      <c r="A43" s="4">
        <v>44835</v>
      </c>
      <c r="B43">
        <v>0.13650000000000001</v>
      </c>
      <c r="C43">
        <f t="shared" si="0"/>
        <v>5.0788037326188196E-4</v>
      </c>
      <c r="D43">
        <v>0.01</v>
      </c>
      <c r="E43">
        <f t="shared" si="1"/>
        <v>1.0507880373261882E-2</v>
      </c>
      <c r="F43">
        <f t="shared" si="2"/>
        <v>10.507880373261882</v>
      </c>
    </row>
    <row r="44" spans="1:6">
      <c r="A44" s="4">
        <v>44866</v>
      </c>
      <c r="B44">
        <v>0.13650000000000001</v>
      </c>
      <c r="C44">
        <f t="shared" si="0"/>
        <v>5.0788037326188196E-4</v>
      </c>
      <c r="D44">
        <v>0.01</v>
      </c>
      <c r="E44">
        <f t="shared" si="1"/>
        <v>1.0507880373261882E-2</v>
      </c>
      <c r="F44">
        <f t="shared" si="2"/>
        <v>10.507880373261882</v>
      </c>
    </row>
    <row r="45" spans="1:6">
      <c r="A45" s="4">
        <v>44896</v>
      </c>
      <c r="B45">
        <v>0.13655999999999999</v>
      </c>
      <c r="C45">
        <f t="shared" si="0"/>
        <v>5.0808997282114632E-4</v>
      </c>
      <c r="D45">
        <v>0.01</v>
      </c>
      <c r="E45">
        <f t="shared" si="1"/>
        <v>1.0508089972821147E-2</v>
      </c>
      <c r="F45">
        <f t="shared" si="2"/>
        <v>10.508089972821146</v>
      </c>
    </row>
    <row r="46" spans="1:6">
      <c r="A46" s="4">
        <v>44927</v>
      </c>
      <c r="B46">
        <v>0.13672000000000001</v>
      </c>
      <c r="C46">
        <f t="shared" si="0"/>
        <v>5.0864885110279978E-4</v>
      </c>
      <c r="D46">
        <v>0.01</v>
      </c>
      <c r="E46">
        <f t="shared" si="1"/>
        <v>1.05086488511028E-2</v>
      </c>
      <c r="F46">
        <f t="shared" si="2"/>
        <v>10.5086488511028</v>
      </c>
    </row>
    <row r="47" spans="1:6">
      <c r="A47" s="4">
        <v>44958</v>
      </c>
      <c r="B47">
        <v>0.13683999999999999</v>
      </c>
      <c r="C47">
        <f t="shared" si="0"/>
        <v>5.0906795839722463E-4</v>
      </c>
      <c r="D47">
        <v>0.01</v>
      </c>
      <c r="E47">
        <f t="shared" si="1"/>
        <v>1.0509067958397225E-2</v>
      </c>
      <c r="F47">
        <f t="shared" si="2"/>
        <v>10.509067958397225</v>
      </c>
    </row>
    <row r="48" spans="1:6">
      <c r="A48" s="4">
        <v>44986</v>
      </c>
      <c r="B48">
        <v>0.13705000000000001</v>
      </c>
      <c r="C48">
        <f t="shared" si="0"/>
        <v>5.0980129014543962E-4</v>
      </c>
      <c r="D48">
        <v>0.01</v>
      </c>
      <c r="E48">
        <f t="shared" si="1"/>
        <v>1.050980129014544E-2</v>
      </c>
      <c r="F48">
        <f t="shared" si="2"/>
        <v>10.50980129014544</v>
      </c>
    </row>
    <row r="49" spans="1:6">
      <c r="A49" s="4">
        <v>45017</v>
      </c>
      <c r="B49">
        <v>0.13700000000000001</v>
      </c>
      <c r="C49">
        <f t="shared" si="0"/>
        <v>5.096266995849863E-4</v>
      </c>
      <c r="D49">
        <v>0.01</v>
      </c>
      <c r="E49">
        <f t="shared" si="1"/>
        <v>1.0509626699584987E-2</v>
      </c>
      <c r="F49">
        <f t="shared" si="2"/>
        <v>10.509626699584986</v>
      </c>
    </row>
    <row r="50" spans="1:6">
      <c r="A50" s="4">
        <v>45047</v>
      </c>
      <c r="B50">
        <v>0.13694999999999999</v>
      </c>
      <c r="C50">
        <f t="shared" si="0"/>
        <v>5.0945210137687269E-4</v>
      </c>
      <c r="D50">
        <v>0.01</v>
      </c>
      <c r="E50">
        <f t="shared" si="1"/>
        <v>1.0509452101376873E-2</v>
      </c>
      <c r="F50">
        <f t="shared" si="2"/>
        <v>10.509452101376873</v>
      </c>
    </row>
    <row r="51" spans="1:6">
      <c r="A51" s="4">
        <v>45078</v>
      </c>
      <c r="B51">
        <v>0.13658000000000001</v>
      </c>
      <c r="C51">
        <f t="shared" si="0"/>
        <v>5.081598368916751E-4</v>
      </c>
      <c r="D51">
        <v>0.01</v>
      </c>
      <c r="E51">
        <f t="shared" si="1"/>
        <v>1.0508159836891675E-2</v>
      </c>
      <c r="F51">
        <f t="shared" si="2"/>
        <v>10.508159836891675</v>
      </c>
    </row>
    <row r="52" spans="1:6">
      <c r="A52" s="4">
        <v>45108</v>
      </c>
      <c r="B52">
        <v>0.1361</v>
      </c>
      <c r="C52">
        <f t="shared" si="0"/>
        <v>5.0648276114029223E-4</v>
      </c>
      <c r="D52">
        <v>0.01</v>
      </c>
      <c r="E52">
        <f t="shared" si="1"/>
        <v>1.0506482761140292E-2</v>
      </c>
      <c r="F52">
        <f t="shared" si="2"/>
        <v>10.506482761140292</v>
      </c>
    </row>
    <row r="53" spans="1:6">
      <c r="A53" s="4">
        <v>45139</v>
      </c>
      <c r="B53">
        <v>0.13525000000000001</v>
      </c>
      <c r="C53">
        <f t="shared" si="0"/>
        <v>5.0351120731240151E-4</v>
      </c>
      <c r="D53">
        <v>0.01</v>
      </c>
      <c r="E53">
        <f t="shared" si="1"/>
        <v>1.0503511207312402E-2</v>
      </c>
      <c r="F53">
        <f t="shared" si="2"/>
        <v>10.503511207312402</v>
      </c>
    </row>
    <row r="54" spans="1:6">
      <c r="A54" s="4">
        <v>45170</v>
      </c>
      <c r="B54">
        <v>0.13413</v>
      </c>
      <c r="C54">
        <f t="shared" si="0"/>
        <v>4.9959236258434458E-4</v>
      </c>
      <c r="D54">
        <v>0.01</v>
      </c>
      <c r="E54">
        <f t="shared" si="1"/>
        <v>1.0499592362584345E-2</v>
      </c>
      <c r="F54">
        <f t="shared" si="2"/>
        <v>10.499592362584345</v>
      </c>
    </row>
    <row r="55" spans="1:6">
      <c r="A55" s="4">
        <v>45200</v>
      </c>
      <c r="B55">
        <v>0.13305</v>
      </c>
      <c r="C55">
        <f t="shared" si="0"/>
        <v>4.9580982426378206E-4</v>
      </c>
      <c r="D55">
        <v>0.01</v>
      </c>
      <c r="E55">
        <f t="shared" si="1"/>
        <v>1.0495809824263782E-2</v>
      </c>
      <c r="F55">
        <f t="shared" si="2"/>
        <v>10.495809824263782</v>
      </c>
    </row>
    <row r="56" spans="1:6">
      <c r="A56" s="4">
        <v>45231</v>
      </c>
      <c r="B56">
        <v>0.13150999999999999</v>
      </c>
      <c r="C56">
        <f t="shared" si="0"/>
        <v>4.9040998897309507E-4</v>
      </c>
      <c r="D56">
        <v>0.01</v>
      </c>
      <c r="E56">
        <f t="shared" si="1"/>
        <v>1.0490409988973095E-2</v>
      </c>
      <c r="F56">
        <f t="shared" si="2"/>
        <v>10.490409988973095</v>
      </c>
    </row>
    <row r="57" spans="1:6">
      <c r="A57" s="4">
        <v>45261</v>
      </c>
      <c r="B57">
        <v>0.13150999999999999</v>
      </c>
      <c r="C57">
        <f t="shared" si="0"/>
        <v>4.9040998897309507E-4</v>
      </c>
      <c r="D57">
        <v>0.01</v>
      </c>
      <c r="E57">
        <f t="shared" si="1"/>
        <v>1.0490409988973095E-2</v>
      </c>
      <c r="F57">
        <f t="shared" si="2"/>
        <v>10.490409988973095</v>
      </c>
    </row>
    <row r="58" spans="1:6">
      <c r="A58" s="4">
        <v>45292</v>
      </c>
      <c r="B58">
        <v>0.12934999999999999</v>
      </c>
      <c r="C58">
        <f t="shared" si="0"/>
        <v>4.8282384725473193E-4</v>
      </c>
      <c r="D58">
        <v>0.01</v>
      </c>
      <c r="E58">
        <f t="shared" si="1"/>
        <v>1.0482823847254732E-2</v>
      </c>
      <c r="F58">
        <f t="shared" si="2"/>
        <v>10.482823847254732</v>
      </c>
    </row>
    <row r="59" spans="1:6">
      <c r="A59" s="4">
        <v>45323</v>
      </c>
      <c r="B59">
        <v>0.12934999999999999</v>
      </c>
      <c r="C59">
        <f t="shared" si="0"/>
        <v>4.8282384725473193E-4</v>
      </c>
      <c r="D59">
        <v>0.01</v>
      </c>
      <c r="E59">
        <f t="shared" si="1"/>
        <v>1.0482823847254732E-2</v>
      </c>
      <c r="F59">
        <f t="shared" si="2"/>
        <v>10.482823847254732</v>
      </c>
    </row>
    <row r="60" spans="1:6">
      <c r="A60" s="4">
        <v>45352</v>
      </c>
      <c r="B60">
        <v>0.12934999999999999</v>
      </c>
      <c r="C60">
        <f t="shared" si="0"/>
        <v>4.8282384725473193E-4</v>
      </c>
      <c r="D60">
        <v>0.01</v>
      </c>
      <c r="E60">
        <f t="shared" si="1"/>
        <v>1.0482823847254732E-2</v>
      </c>
      <c r="F60">
        <f t="shared" si="2"/>
        <v>10.482823847254732</v>
      </c>
    </row>
    <row r="61" spans="1:6">
      <c r="A61" s="4">
        <v>45383</v>
      </c>
      <c r="B61">
        <v>0.12570000000000001</v>
      </c>
      <c r="C61">
        <f t="shared" si="0"/>
        <v>4.6997176872420887E-4</v>
      </c>
      <c r="D61">
        <v>0.01</v>
      </c>
      <c r="E61">
        <f t="shared" si="1"/>
        <v>1.0469971768724209E-2</v>
      </c>
      <c r="F61">
        <f t="shared" si="2"/>
        <v>10.469971768724209</v>
      </c>
    </row>
    <row r="63" spans="1:6">
      <c r="A63" t="s">
        <v>131</v>
      </c>
      <c r="B63">
        <v>1000</v>
      </c>
    </row>
  </sheetData>
  <pageMargins left="0.511811024" right="0.511811024" top="0.78740157499999996" bottom="0.78740157499999996" header="0.31496062000000002" footer="0.31496062000000002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5F1EF-337F-4103-BA57-2BCDE4B0C5C1}">
  <sheetPr codeName="Planilha33"/>
  <dimension ref="A1:D85"/>
  <sheetViews>
    <sheetView workbookViewId="0">
      <selection activeCell="B83" sqref="B83"/>
    </sheetView>
  </sheetViews>
  <sheetFormatPr defaultRowHeight="15"/>
  <sheetData>
    <row r="1" spans="1:4">
      <c r="A1" t="s">
        <v>21</v>
      </c>
      <c r="B1" t="s">
        <v>92</v>
      </c>
      <c r="C1" t="s">
        <v>22</v>
      </c>
      <c r="D1" t="s">
        <v>93</v>
      </c>
    </row>
    <row r="2" spans="1:4">
      <c r="A2" s="4">
        <v>43647</v>
      </c>
      <c r="B2" s="5">
        <v>0.19</v>
      </c>
      <c r="C2">
        <f>1+B2/100</f>
        <v>1.0019</v>
      </c>
      <c r="D2">
        <v>1.0019</v>
      </c>
    </row>
    <row r="3" spans="1:4">
      <c r="A3" s="4">
        <v>43678</v>
      </c>
      <c r="B3" s="5">
        <v>0.11</v>
      </c>
      <c r="C3">
        <f t="shared" ref="C3:C66" si="0">1+B3/100</f>
        <v>1.0011000000000001</v>
      </c>
      <c r="D3">
        <f>C3*D2</f>
        <v>1.0030020900000001</v>
      </c>
    </row>
    <row r="4" spans="1:4">
      <c r="A4" s="4">
        <v>43709</v>
      </c>
      <c r="B4" s="5">
        <v>-0.04</v>
      </c>
      <c r="C4">
        <f t="shared" si="0"/>
        <v>0.99960000000000004</v>
      </c>
      <c r="D4">
        <f t="shared" ref="D4:D67" si="1">C4*D3</f>
        <v>1.0026008891640001</v>
      </c>
    </row>
    <row r="5" spans="1:4">
      <c r="A5" s="4">
        <v>43739</v>
      </c>
      <c r="B5" s="5">
        <v>0.1</v>
      </c>
      <c r="C5">
        <f t="shared" si="0"/>
        <v>1.0009999999999999</v>
      </c>
      <c r="D5">
        <f t="shared" si="1"/>
        <v>1.0036034900531641</v>
      </c>
    </row>
    <row r="6" spans="1:4">
      <c r="A6" s="4">
        <v>43770</v>
      </c>
      <c r="B6" s="5">
        <v>0.51</v>
      </c>
      <c r="C6">
        <f t="shared" si="0"/>
        <v>1.0051000000000001</v>
      </c>
      <c r="D6">
        <f t="shared" si="1"/>
        <v>1.0087218678524352</v>
      </c>
    </row>
    <row r="7" spans="1:4">
      <c r="A7" s="4">
        <v>43800</v>
      </c>
      <c r="B7" s="5">
        <v>1.1499999999999999</v>
      </c>
      <c r="C7">
        <f t="shared" si="0"/>
        <v>1.0115000000000001</v>
      </c>
      <c r="D7">
        <f t="shared" si="1"/>
        <v>1.0203221693327382</v>
      </c>
    </row>
    <row r="8" spans="1:4">
      <c r="A8" s="4">
        <v>43831</v>
      </c>
      <c r="B8" s="5">
        <v>0.21</v>
      </c>
      <c r="C8">
        <f t="shared" si="0"/>
        <v>1.0021</v>
      </c>
      <c r="D8">
        <f t="shared" si="1"/>
        <v>1.022464845888337</v>
      </c>
    </row>
    <row r="9" spans="1:4">
      <c r="A9" s="4">
        <v>43862</v>
      </c>
      <c r="B9" s="5">
        <v>0.25</v>
      </c>
      <c r="C9">
        <f t="shared" si="0"/>
        <v>1.0024999999999999</v>
      </c>
      <c r="D9">
        <f t="shared" si="1"/>
        <v>1.0250210080030577</v>
      </c>
    </row>
    <row r="10" spans="1:4">
      <c r="A10" s="4">
        <v>43891</v>
      </c>
      <c r="B10" s="5">
        <v>7.0000000000000007E-2</v>
      </c>
      <c r="C10">
        <f t="shared" si="0"/>
        <v>1.0006999999999999</v>
      </c>
      <c r="D10">
        <f t="shared" si="1"/>
        <v>1.0257385227086597</v>
      </c>
    </row>
    <row r="11" spans="1:4">
      <c r="A11" s="4">
        <v>43922</v>
      </c>
      <c r="B11" s="5">
        <v>-0.31</v>
      </c>
      <c r="C11">
        <f t="shared" si="0"/>
        <v>0.99690000000000001</v>
      </c>
      <c r="D11">
        <f t="shared" si="1"/>
        <v>1.0225587332882629</v>
      </c>
    </row>
    <row r="12" spans="1:4">
      <c r="A12" s="4">
        <v>43952</v>
      </c>
      <c r="B12" s="5">
        <v>-0.38</v>
      </c>
      <c r="C12">
        <f t="shared" si="0"/>
        <v>0.99619999999999997</v>
      </c>
      <c r="D12">
        <f t="shared" si="1"/>
        <v>1.0186730101017674</v>
      </c>
    </row>
    <row r="13" spans="1:4">
      <c r="A13" s="4">
        <v>43983</v>
      </c>
      <c r="B13" s="5">
        <v>0.26</v>
      </c>
      <c r="C13">
        <f t="shared" si="0"/>
        <v>1.0025999999999999</v>
      </c>
      <c r="D13">
        <f t="shared" si="1"/>
        <v>1.0213215599280319</v>
      </c>
    </row>
    <row r="14" spans="1:4">
      <c r="A14" s="4">
        <v>44013</v>
      </c>
      <c r="B14" s="5">
        <v>0.36</v>
      </c>
      <c r="C14">
        <f t="shared" si="0"/>
        <v>1.0036</v>
      </c>
      <c r="D14">
        <f t="shared" si="1"/>
        <v>1.0249983175437729</v>
      </c>
    </row>
    <row r="15" spans="1:4">
      <c r="A15" s="4">
        <v>44044</v>
      </c>
      <c r="B15" s="5">
        <v>0.24</v>
      </c>
      <c r="C15">
        <f t="shared" si="0"/>
        <v>1.0024</v>
      </c>
      <c r="D15">
        <f t="shared" si="1"/>
        <v>1.0274583135058779</v>
      </c>
    </row>
    <row r="16" spans="1:4">
      <c r="A16" s="4">
        <v>44075</v>
      </c>
      <c r="B16" s="5">
        <v>0.64</v>
      </c>
      <c r="C16">
        <f t="shared" si="0"/>
        <v>1.0064</v>
      </c>
      <c r="D16">
        <f t="shared" si="1"/>
        <v>1.0340340467123155</v>
      </c>
    </row>
    <row r="17" spans="1:4">
      <c r="A17" s="4">
        <v>44105</v>
      </c>
      <c r="B17" s="5">
        <v>0.86</v>
      </c>
      <c r="C17">
        <f t="shared" si="0"/>
        <v>1.0085999999999999</v>
      </c>
      <c r="D17">
        <f t="shared" si="1"/>
        <v>1.0429267395140414</v>
      </c>
    </row>
    <row r="18" spans="1:4">
      <c r="A18" s="4">
        <v>44136</v>
      </c>
      <c r="B18" s="5">
        <v>0.89</v>
      </c>
      <c r="C18">
        <f t="shared" si="0"/>
        <v>1.0088999999999999</v>
      </c>
      <c r="D18">
        <f t="shared" si="1"/>
        <v>1.0522087874957162</v>
      </c>
    </row>
    <row r="19" spans="1:4">
      <c r="A19" s="4">
        <v>44166</v>
      </c>
      <c r="B19" s="5">
        <v>1.35</v>
      </c>
      <c r="C19">
        <f t="shared" si="0"/>
        <v>1.0135000000000001</v>
      </c>
      <c r="D19">
        <f t="shared" si="1"/>
        <v>1.0664136061269085</v>
      </c>
    </row>
    <row r="20" spans="1:4">
      <c r="A20" s="4">
        <v>44197</v>
      </c>
      <c r="B20" s="5">
        <v>0.25</v>
      </c>
      <c r="C20">
        <f t="shared" si="0"/>
        <v>1.0024999999999999</v>
      </c>
      <c r="D20">
        <f t="shared" si="1"/>
        <v>1.0690796401422258</v>
      </c>
    </row>
    <row r="21" spans="1:4">
      <c r="A21" s="4">
        <v>44228</v>
      </c>
      <c r="B21" s="5">
        <v>0.86</v>
      </c>
      <c r="C21">
        <f t="shared" si="0"/>
        <v>1.0085999999999999</v>
      </c>
      <c r="D21">
        <f t="shared" si="1"/>
        <v>1.0782737250474488</v>
      </c>
    </row>
    <row r="22" spans="1:4">
      <c r="A22" s="4">
        <v>44256</v>
      </c>
      <c r="B22" s="5">
        <v>0.93</v>
      </c>
      <c r="C22">
        <f t="shared" si="0"/>
        <v>1.0093000000000001</v>
      </c>
      <c r="D22">
        <f t="shared" si="1"/>
        <v>1.0883016706903901</v>
      </c>
    </row>
    <row r="23" spans="1:4">
      <c r="A23" s="4">
        <v>44287</v>
      </c>
      <c r="B23" s="5">
        <v>0.31</v>
      </c>
      <c r="C23">
        <f t="shared" si="0"/>
        <v>1.0031000000000001</v>
      </c>
      <c r="D23">
        <f t="shared" si="1"/>
        <v>1.0916754058695304</v>
      </c>
    </row>
    <row r="24" spans="1:4">
      <c r="A24" s="4">
        <v>44317</v>
      </c>
      <c r="B24" s="5">
        <v>0.83</v>
      </c>
      <c r="C24">
        <f t="shared" si="0"/>
        <v>1.0083</v>
      </c>
      <c r="D24">
        <f t="shared" si="1"/>
        <v>1.1007363117382474</v>
      </c>
    </row>
    <row r="25" spans="1:4">
      <c r="A25" s="4">
        <v>44348</v>
      </c>
      <c r="B25" s="5">
        <v>0.53</v>
      </c>
      <c r="C25">
        <f t="shared" si="0"/>
        <v>1.0053000000000001</v>
      </c>
      <c r="D25">
        <f t="shared" si="1"/>
        <v>1.1065702141904601</v>
      </c>
    </row>
    <row r="26" spans="1:4">
      <c r="A26" s="4">
        <v>44378</v>
      </c>
      <c r="B26" s="5">
        <v>0.96</v>
      </c>
      <c r="C26">
        <f t="shared" si="0"/>
        <v>1.0096000000000001</v>
      </c>
      <c r="D26">
        <f t="shared" si="1"/>
        <v>1.1171932882466886</v>
      </c>
    </row>
    <row r="27" spans="1:4">
      <c r="A27" s="4">
        <v>44409</v>
      </c>
      <c r="B27" s="5">
        <v>0.87</v>
      </c>
      <c r="C27">
        <f t="shared" si="0"/>
        <v>1.0086999999999999</v>
      </c>
      <c r="D27">
        <f t="shared" si="1"/>
        <v>1.1269128698544348</v>
      </c>
    </row>
    <row r="28" spans="1:4">
      <c r="A28" s="4">
        <v>44440</v>
      </c>
      <c r="B28" s="5">
        <v>1.1599999999999999</v>
      </c>
      <c r="C28">
        <f t="shared" si="0"/>
        <v>1.0116000000000001</v>
      </c>
      <c r="D28">
        <f t="shared" si="1"/>
        <v>1.1399850591447462</v>
      </c>
    </row>
    <row r="29" spans="1:4">
      <c r="A29" s="4">
        <v>44470</v>
      </c>
      <c r="B29" s="5">
        <v>1.25</v>
      </c>
      <c r="C29">
        <f t="shared" si="0"/>
        <v>1.0125</v>
      </c>
      <c r="D29">
        <f t="shared" si="1"/>
        <v>1.1542348723840554</v>
      </c>
    </row>
    <row r="30" spans="1:4">
      <c r="A30" s="4">
        <v>44501</v>
      </c>
      <c r="B30" s="5">
        <v>0.95</v>
      </c>
      <c r="C30">
        <f t="shared" si="0"/>
        <v>1.0095000000000001</v>
      </c>
      <c r="D30">
        <f t="shared" si="1"/>
        <v>1.1652001036717041</v>
      </c>
    </row>
    <row r="31" spans="1:4">
      <c r="A31" s="4">
        <v>44531</v>
      </c>
      <c r="B31" s="5">
        <v>0.73</v>
      </c>
      <c r="C31">
        <f t="shared" si="0"/>
        <v>1.0073000000000001</v>
      </c>
      <c r="D31">
        <f t="shared" si="1"/>
        <v>1.1737060644285076</v>
      </c>
    </row>
    <row r="32" spans="1:4">
      <c r="A32" s="4">
        <v>44562</v>
      </c>
      <c r="B32" s="5">
        <v>0.54</v>
      </c>
      <c r="C32">
        <f t="shared" si="0"/>
        <v>1.0054000000000001</v>
      </c>
      <c r="D32">
        <f t="shared" si="1"/>
        <v>1.1800440771764216</v>
      </c>
    </row>
    <row r="33" spans="1:4">
      <c r="A33" s="4">
        <v>44593</v>
      </c>
      <c r="B33" s="5">
        <v>1.01</v>
      </c>
      <c r="C33">
        <f t="shared" si="0"/>
        <v>1.0101</v>
      </c>
      <c r="D33">
        <f t="shared" si="1"/>
        <v>1.1919625223559034</v>
      </c>
    </row>
    <row r="34" spans="1:4">
      <c r="A34" s="4">
        <v>44621</v>
      </c>
      <c r="B34" s="5">
        <v>1.62</v>
      </c>
      <c r="C34">
        <f t="shared" si="0"/>
        <v>1.0162</v>
      </c>
      <c r="D34">
        <f t="shared" si="1"/>
        <v>1.2112723152180691</v>
      </c>
    </row>
    <row r="35" spans="1:4">
      <c r="A35" s="4">
        <v>44652</v>
      </c>
      <c r="B35" s="5">
        <v>1.06</v>
      </c>
      <c r="C35">
        <f t="shared" si="0"/>
        <v>1.0105999999999999</v>
      </c>
      <c r="D35">
        <f t="shared" si="1"/>
        <v>1.2241118017593806</v>
      </c>
    </row>
    <row r="36" spans="1:4">
      <c r="A36" s="4">
        <v>44682</v>
      </c>
      <c r="B36" s="5">
        <v>0.47</v>
      </c>
      <c r="C36">
        <f t="shared" si="0"/>
        <v>1.0046999999999999</v>
      </c>
      <c r="D36">
        <f t="shared" si="1"/>
        <v>1.2298651272276495</v>
      </c>
    </row>
    <row r="37" spans="1:4">
      <c r="A37" s="4">
        <v>44713</v>
      </c>
      <c r="B37" s="5">
        <v>0.67</v>
      </c>
      <c r="C37">
        <f t="shared" si="0"/>
        <v>1.0066999999999999</v>
      </c>
      <c r="D37">
        <f t="shared" si="1"/>
        <v>1.2381052235800747</v>
      </c>
    </row>
    <row r="38" spans="1:4">
      <c r="A38" s="4">
        <v>44743</v>
      </c>
      <c r="B38" s="5">
        <v>-0.68</v>
      </c>
      <c r="C38">
        <f t="shared" si="0"/>
        <v>0.99319999999999997</v>
      </c>
      <c r="D38">
        <f t="shared" si="1"/>
        <v>1.2296861080597301</v>
      </c>
    </row>
    <row r="39" spans="1:4">
      <c r="A39" s="4">
        <v>44774</v>
      </c>
      <c r="B39" s="5">
        <v>-0.36</v>
      </c>
      <c r="C39">
        <f t="shared" si="0"/>
        <v>0.99639999999999995</v>
      </c>
      <c r="D39">
        <f t="shared" si="1"/>
        <v>1.225259238070715</v>
      </c>
    </row>
    <row r="40" spans="1:4">
      <c r="A40" s="4">
        <v>44805</v>
      </c>
      <c r="B40" s="5">
        <v>-0.28999999999999998</v>
      </c>
      <c r="C40">
        <f t="shared" si="0"/>
        <v>0.99709999999999999</v>
      </c>
      <c r="D40">
        <f t="shared" si="1"/>
        <v>1.2217059862803099</v>
      </c>
    </row>
    <row r="41" spans="1:4">
      <c r="A41" s="4">
        <v>44835</v>
      </c>
      <c r="B41">
        <v>0.33</v>
      </c>
      <c r="C41">
        <f t="shared" si="0"/>
        <v>1.0033000000000001</v>
      </c>
      <c r="D41">
        <f t="shared" si="1"/>
        <v>1.2257376160350351</v>
      </c>
    </row>
    <row r="42" spans="1:4">
      <c r="A42" s="4">
        <v>44866</v>
      </c>
      <c r="B42">
        <v>0.94638500140897963</v>
      </c>
      <c r="C42">
        <f t="shared" si="0"/>
        <v>1.0094638500140898</v>
      </c>
      <c r="D42">
        <f t="shared" si="1"/>
        <v>1.2373378129898187</v>
      </c>
    </row>
    <row r="43" spans="1:4">
      <c r="A43" s="4">
        <v>44896</v>
      </c>
      <c r="B43">
        <v>1.9531775560993834</v>
      </c>
      <c r="C43">
        <f t="shared" si="0"/>
        <v>1.0195317755609938</v>
      </c>
      <c r="D43">
        <f t="shared" si="1"/>
        <v>1.2615052174462669</v>
      </c>
    </row>
    <row r="44" spans="1:4">
      <c r="A44" s="4">
        <v>44927</v>
      </c>
      <c r="B44">
        <v>0.84570574593993919</v>
      </c>
      <c r="C44">
        <f t="shared" si="0"/>
        <v>1.0084570574593994</v>
      </c>
      <c r="D44">
        <f t="shared" si="1"/>
        <v>1.272173839555542</v>
      </c>
    </row>
    <row r="45" spans="1:4">
      <c r="A45" s="4">
        <v>44958</v>
      </c>
      <c r="B45">
        <v>0.66448308609566664</v>
      </c>
      <c r="C45">
        <f t="shared" si="0"/>
        <v>1.0066448308609566</v>
      </c>
      <c r="D45">
        <f t="shared" si="1"/>
        <v>1.2806272195451223</v>
      </c>
    </row>
    <row r="46" spans="1:4">
      <c r="A46" s="4">
        <v>44986</v>
      </c>
      <c r="B46">
        <v>1.006792554690404</v>
      </c>
      <c r="C46">
        <f t="shared" si="0"/>
        <v>1.0100679255469041</v>
      </c>
      <c r="D46">
        <f t="shared" si="1"/>
        <v>1.2935204790448414</v>
      </c>
    </row>
    <row r="47" spans="1:4">
      <c r="A47" s="4">
        <v>45017</v>
      </c>
      <c r="B47">
        <v>1.1276076612532524</v>
      </c>
      <c r="C47">
        <f t="shared" si="0"/>
        <v>1.0112760766125326</v>
      </c>
      <c r="D47">
        <f t="shared" si="1"/>
        <v>1.3081063150664309</v>
      </c>
    </row>
    <row r="48" spans="1:4">
      <c r="A48" s="4">
        <v>45047</v>
      </c>
      <c r="B48">
        <v>0.41494999999999999</v>
      </c>
      <c r="C48">
        <f t="shared" si="0"/>
        <v>1.0041495</v>
      </c>
      <c r="D48">
        <f t="shared" si="1"/>
        <v>1.313534302220799</v>
      </c>
    </row>
    <row r="49" spans="1:4">
      <c r="A49" s="4">
        <v>45078</v>
      </c>
      <c r="B49">
        <v>0.38303300000000001</v>
      </c>
      <c r="C49">
        <f t="shared" si="0"/>
        <v>1.00383033</v>
      </c>
      <c r="D49">
        <f t="shared" si="1"/>
        <v>1.3185655720646243</v>
      </c>
    </row>
    <row r="50" spans="1:4">
      <c r="A50" s="4">
        <v>45108</v>
      </c>
      <c r="B50">
        <v>0.35111999999999999</v>
      </c>
      <c r="C50">
        <f t="shared" si="0"/>
        <v>1.0035111999999999</v>
      </c>
      <c r="D50">
        <f t="shared" si="1"/>
        <v>1.3231953195012576</v>
      </c>
    </row>
    <row r="51" spans="1:4">
      <c r="A51" s="4">
        <v>45139</v>
      </c>
      <c r="B51">
        <v>0.17555687203791467</v>
      </c>
      <c r="C51">
        <f t="shared" si="0"/>
        <v>1.0017555687203792</v>
      </c>
      <c r="D51">
        <f t="shared" si="1"/>
        <v>1.3255182798151262</v>
      </c>
    </row>
    <row r="52" spans="1:4">
      <c r="A52" s="4">
        <v>45170</v>
      </c>
      <c r="B52">
        <v>9.5758293838862543E-2</v>
      </c>
      <c r="C52">
        <f t="shared" si="0"/>
        <v>1.0009575829383885</v>
      </c>
      <c r="D52">
        <f t="shared" si="1"/>
        <v>1.3267875735043992</v>
      </c>
    </row>
    <row r="53" spans="1:4">
      <c r="A53" s="4">
        <v>45200</v>
      </c>
      <c r="B53">
        <v>0.12767772511848341</v>
      </c>
      <c r="C53">
        <f t="shared" si="0"/>
        <v>1.0012767772511848</v>
      </c>
      <c r="D53">
        <f t="shared" si="1"/>
        <v>1.3284815856954044</v>
      </c>
    </row>
    <row r="54" spans="1:4">
      <c r="A54" s="4">
        <v>45231</v>
      </c>
      <c r="B54">
        <v>0.66754478672985762</v>
      </c>
      <c r="C54">
        <f t="shared" si="0"/>
        <v>1.0066754478672986</v>
      </c>
      <c r="D54">
        <f t="shared" si="1"/>
        <v>1.3373497952633802</v>
      </c>
    </row>
    <row r="55" spans="1:4">
      <c r="A55" s="4">
        <v>45261</v>
      </c>
      <c r="B55">
        <v>1.3776988151658764</v>
      </c>
      <c r="C55">
        <f t="shared" si="0"/>
        <v>1.0137769881516587</v>
      </c>
      <c r="D55">
        <f t="shared" si="1"/>
        <v>1.355774447547347</v>
      </c>
    </row>
    <row r="56" spans="1:4">
      <c r="A56" s="4">
        <v>45292</v>
      </c>
      <c r="B56">
        <v>0.59652938388625576</v>
      </c>
      <c r="C56">
        <f t="shared" si="0"/>
        <v>1.0059652938388626</v>
      </c>
      <c r="D56">
        <f t="shared" si="1"/>
        <v>1.3638620405061885</v>
      </c>
    </row>
    <row r="57" spans="1:4">
      <c r="A57" s="4">
        <v>45323</v>
      </c>
      <c r="B57">
        <v>0.46870165876777242</v>
      </c>
      <c r="C57">
        <f t="shared" si="0"/>
        <v>1.0046870165876778</v>
      </c>
      <c r="D57">
        <f t="shared" si="1"/>
        <v>1.3702544845133451</v>
      </c>
    </row>
    <row r="58" spans="1:4">
      <c r="A58" s="4">
        <v>45352</v>
      </c>
      <c r="B58">
        <v>0.71015402843601882</v>
      </c>
      <c r="C58">
        <f t="shared" si="0"/>
        <v>1.0071015402843602</v>
      </c>
      <c r="D58">
        <f t="shared" si="1"/>
        <v>1.3799854019349418</v>
      </c>
    </row>
    <row r="59" spans="1:4">
      <c r="A59" s="4">
        <v>45383</v>
      </c>
      <c r="B59">
        <v>0.79537251184834112</v>
      </c>
      <c r="C59">
        <f t="shared" si="0"/>
        <v>1.0079537251184834</v>
      </c>
      <c r="D59">
        <f t="shared" si="1"/>
        <v>1.3909614264894521</v>
      </c>
    </row>
    <row r="60" spans="1:4">
      <c r="A60" s="4">
        <v>45413</v>
      </c>
      <c r="B60">
        <v>0.3692800947867298</v>
      </c>
      <c r="C60">
        <f t="shared" si="0"/>
        <v>1.0036928009478674</v>
      </c>
      <c r="D60">
        <f t="shared" si="1"/>
        <v>1.3960979701636393</v>
      </c>
    </row>
    <row r="61" spans="1:4">
      <c r="A61" s="4">
        <v>45444</v>
      </c>
      <c r="B61">
        <v>0.34087393364928903</v>
      </c>
      <c r="C61">
        <f t="shared" si="0"/>
        <v>1.003408739336493</v>
      </c>
      <c r="D61">
        <f t="shared" si="1"/>
        <v>1.4008569042321342</v>
      </c>
    </row>
    <row r="62" spans="1:4">
      <c r="A62" s="4">
        <v>45474</v>
      </c>
      <c r="B62">
        <v>0.31246777251184826</v>
      </c>
      <c r="C62">
        <f t="shared" si="0"/>
        <v>1.0031246777251184</v>
      </c>
      <c r="D62">
        <f t="shared" si="1"/>
        <v>1.4052341305968665</v>
      </c>
    </row>
    <row r="63" spans="1:4">
      <c r="A63" s="4">
        <v>45505</v>
      </c>
      <c r="B63">
        <v>0.15623388625592413</v>
      </c>
      <c r="C63">
        <f t="shared" si="0"/>
        <v>1.0015623388625592</v>
      </c>
      <c r="D63">
        <f t="shared" si="1"/>
        <v>1.4074295824900926</v>
      </c>
    </row>
    <row r="64" spans="1:4">
      <c r="A64" s="4">
        <v>45536</v>
      </c>
      <c r="B64">
        <v>8.5218483412322257E-2</v>
      </c>
      <c r="C64">
        <f t="shared" si="0"/>
        <v>1.0008521848341232</v>
      </c>
      <c r="D64">
        <f t="shared" si="1"/>
        <v>1.4086289726353871</v>
      </c>
    </row>
    <row r="65" spans="1:4">
      <c r="A65" s="4">
        <v>45566</v>
      </c>
      <c r="B65">
        <v>0.11362464454976301</v>
      </c>
      <c r="C65">
        <f t="shared" si="0"/>
        <v>1.0011362464454976</v>
      </c>
      <c r="D65">
        <f t="shared" si="1"/>
        <v>1.410229522298569</v>
      </c>
    </row>
    <row r="66" spans="1:4">
      <c r="A66" s="4">
        <v>45597</v>
      </c>
      <c r="B66">
        <v>0.64748625592417042</v>
      </c>
      <c r="C66">
        <f t="shared" si="0"/>
        <v>1.0064748625592417</v>
      </c>
      <c r="D66">
        <f t="shared" si="1"/>
        <v>1.4193605646324372</v>
      </c>
    </row>
    <row r="67" spans="1:4">
      <c r="A67" s="4">
        <v>45627</v>
      </c>
      <c r="B67">
        <v>1.3363014218009477</v>
      </c>
      <c r="C67">
        <f t="shared" ref="C67:C85" si="2">1+B67/100</f>
        <v>1.0133630142180095</v>
      </c>
      <c r="D67">
        <f t="shared" si="1"/>
        <v>1.4383275000381024</v>
      </c>
    </row>
    <row r="68" spans="1:4">
      <c r="A68" s="4">
        <v>45658</v>
      </c>
      <c r="B68">
        <v>0.57860473933649281</v>
      </c>
      <c r="C68">
        <f t="shared" si="2"/>
        <v>1.0057860473933649</v>
      </c>
      <c r="D68">
        <f t="shared" ref="D68:D85" si="3">C68*D67</f>
        <v>1.4466497311205029</v>
      </c>
    </row>
    <row r="69" spans="1:4">
      <c r="A69" s="4">
        <v>45689</v>
      </c>
      <c r="B69">
        <v>0.45461800947867292</v>
      </c>
      <c r="C69">
        <f t="shared" si="2"/>
        <v>1.0045461800947868</v>
      </c>
      <c r="D69">
        <f t="shared" si="3"/>
        <v>1.4532264613322516</v>
      </c>
    </row>
    <row r="70" spans="1:4">
      <c r="A70" s="4">
        <v>45717</v>
      </c>
      <c r="B70">
        <v>0.68881516587677716</v>
      </c>
      <c r="C70">
        <f t="shared" si="2"/>
        <v>1.0068881516587678</v>
      </c>
      <c r="D70">
        <f t="shared" si="3"/>
        <v>1.4632365055924426</v>
      </c>
    </row>
    <row r="71" spans="1:4">
      <c r="A71" s="4">
        <v>45748</v>
      </c>
      <c r="B71">
        <v>0.77147298578199042</v>
      </c>
      <c r="C71">
        <f t="shared" si="2"/>
        <v>1.00771472985782</v>
      </c>
      <c r="D71">
        <f t="shared" si="3"/>
        <v>1.4745249799511888</v>
      </c>
    </row>
    <row r="72" spans="1:4">
      <c r="A72" s="4">
        <v>45778</v>
      </c>
      <c r="B72">
        <v>0.35818388625592412</v>
      </c>
      <c r="C72">
        <f t="shared" si="2"/>
        <v>1.0035818388625593</v>
      </c>
      <c r="D72">
        <f t="shared" si="3"/>
        <v>1.4798064908281923</v>
      </c>
    </row>
    <row r="73" spans="1:4">
      <c r="A73" s="4">
        <v>45809</v>
      </c>
      <c r="B73">
        <v>0.33063127962085304</v>
      </c>
      <c r="C73">
        <f t="shared" si="2"/>
        <v>1.0033063127962085</v>
      </c>
      <c r="D73">
        <f t="shared" si="3"/>
        <v>1.48469919396473</v>
      </c>
    </row>
    <row r="74" spans="1:4">
      <c r="A74" s="4">
        <v>45839</v>
      </c>
      <c r="B74">
        <v>0.30307867298578195</v>
      </c>
      <c r="C74">
        <f t="shared" si="2"/>
        <v>1.0030307867298578</v>
      </c>
      <c r="D74">
        <f t="shared" si="3"/>
        <v>1.489199000579629</v>
      </c>
    </row>
    <row r="75" spans="1:4">
      <c r="A75" s="4">
        <v>45870</v>
      </c>
      <c r="B75">
        <v>0.15153933649289097</v>
      </c>
      <c r="C75">
        <f t="shared" si="2"/>
        <v>1.001515393364929</v>
      </c>
      <c r="D75">
        <f t="shared" si="3"/>
        <v>1.4914557228641663</v>
      </c>
    </row>
    <row r="76" spans="1:4">
      <c r="A76" s="4">
        <v>45901</v>
      </c>
      <c r="B76">
        <v>8.2657819905213259E-2</v>
      </c>
      <c r="C76">
        <f t="shared" si="2"/>
        <v>1.0008265781990522</v>
      </c>
      <c r="D76">
        <f t="shared" si="3"/>
        <v>1.4926885276495374</v>
      </c>
    </row>
    <row r="77" spans="1:4">
      <c r="A77" s="4">
        <v>45931</v>
      </c>
      <c r="B77">
        <v>0.11021042654028435</v>
      </c>
      <c r="C77">
        <f t="shared" si="2"/>
        <v>1.0011021042654029</v>
      </c>
      <c r="D77">
        <f t="shared" si="3"/>
        <v>1.494333626042778</v>
      </c>
    </row>
    <row r="78" spans="1:4">
      <c r="A78" s="4">
        <v>45962</v>
      </c>
      <c r="B78">
        <v>0.64681800947867285</v>
      </c>
      <c r="C78">
        <f t="shared" si="2"/>
        <v>1.0064681800947868</v>
      </c>
      <c r="D78">
        <f t="shared" si="3"/>
        <v>1.5039992450577184</v>
      </c>
    </row>
    <row r="79" spans="1:4">
      <c r="A79" s="4">
        <v>45992</v>
      </c>
      <c r="B79">
        <v>1.3349222748815164</v>
      </c>
      <c r="C79">
        <f t="shared" si="2"/>
        <v>1.0133492227488152</v>
      </c>
      <c r="D79">
        <f t="shared" si="3"/>
        <v>1.5240764659940438</v>
      </c>
    </row>
    <row r="80" spans="1:4">
      <c r="A80" s="4">
        <v>46023</v>
      </c>
      <c r="B80">
        <v>0.5780075829383885</v>
      </c>
      <c r="C80">
        <f t="shared" si="2"/>
        <v>1.0057800758293838</v>
      </c>
      <c r="D80">
        <f t="shared" si="3"/>
        <v>1.5328857435372687</v>
      </c>
    </row>
    <row r="81" spans="1:4">
      <c r="A81" s="4">
        <v>46054</v>
      </c>
      <c r="B81">
        <v>0.45414881516587668</v>
      </c>
      <c r="C81">
        <f t="shared" si="2"/>
        <v>1.0045414881516588</v>
      </c>
      <c r="D81">
        <f t="shared" si="3"/>
        <v>1.5398473259793899</v>
      </c>
    </row>
    <row r="82" spans="1:4">
      <c r="A82" s="4">
        <v>46082</v>
      </c>
      <c r="B82">
        <v>0.68810426540284353</v>
      </c>
      <c r="C82">
        <f t="shared" si="2"/>
        <v>1.0068810426540284</v>
      </c>
      <c r="D82">
        <f t="shared" si="3"/>
        <v>1.5504430811101457</v>
      </c>
    </row>
    <row r="83" spans="1:4">
      <c r="A83" s="4">
        <v>46113</v>
      </c>
      <c r="B83">
        <v>0.77067677725118466</v>
      </c>
      <c r="C83">
        <f t="shared" si="2"/>
        <v>1.0077067677725118</v>
      </c>
      <c r="D83">
        <f t="shared" si="3"/>
        <v>1.5623919858807593</v>
      </c>
    </row>
    <row r="84" spans="1:4">
      <c r="A84" s="4">
        <v>46143</v>
      </c>
      <c r="B84">
        <v>0.3578142180094786</v>
      </c>
      <c r="C84">
        <f t="shared" si="2"/>
        <v>1.0035781421800949</v>
      </c>
      <c r="D84">
        <f t="shared" si="3"/>
        <v>1.5679824465472816</v>
      </c>
    </row>
    <row r="85" spans="1:4">
      <c r="A85" s="4">
        <v>46174</v>
      </c>
      <c r="B85">
        <v>0.33029004739336487</v>
      </c>
      <c r="C85">
        <f t="shared" si="2"/>
        <v>1.0033029004739336</v>
      </c>
      <c r="D85">
        <f t="shared" si="3"/>
        <v>1.5731613365131021</v>
      </c>
    </row>
  </sheetData>
  <pageMargins left="0.511811024" right="0.511811024" top="0.78740157499999996" bottom="0.78740157499999996" header="0.31496062000000002" footer="0.31496062000000002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84A6F-8AA3-4652-8903-2D39E9AC7736}">
  <sheetPr codeName="Planilha34"/>
  <dimension ref="A1:D121"/>
  <sheetViews>
    <sheetView workbookViewId="0">
      <selection activeCell="A6" sqref="A6:B121"/>
    </sheetView>
  </sheetViews>
  <sheetFormatPr defaultRowHeight="15"/>
  <sheetData>
    <row r="1" spans="1:4">
      <c r="A1" t="s">
        <v>21</v>
      </c>
      <c r="B1" t="s">
        <v>92</v>
      </c>
      <c r="C1" t="s">
        <v>22</v>
      </c>
      <c r="D1" t="s">
        <v>8</v>
      </c>
    </row>
    <row r="2" spans="1:4">
      <c r="A2" s="4">
        <v>43556</v>
      </c>
      <c r="B2" s="5">
        <v>0.56999999999999995</v>
      </c>
      <c r="C2">
        <f>1+B2/100</f>
        <v>1.0057</v>
      </c>
      <c r="D2">
        <v>1.0057</v>
      </c>
    </row>
    <row r="3" spans="1:4">
      <c r="A3" s="4">
        <v>43586</v>
      </c>
      <c r="B3" s="5">
        <v>0.13</v>
      </c>
      <c r="C3">
        <f t="shared" ref="C3:C66" si="0">1+B3/100</f>
        <v>1.0013000000000001</v>
      </c>
      <c r="D3">
        <f>C3*D2</f>
        <v>1.0070074100000002</v>
      </c>
    </row>
    <row r="4" spans="1:4">
      <c r="A4" s="4">
        <v>43617</v>
      </c>
      <c r="B4" s="5">
        <v>0.01</v>
      </c>
      <c r="C4">
        <f t="shared" si="0"/>
        <v>1.0001</v>
      </c>
      <c r="D4">
        <f t="shared" ref="D4:D67" si="1">C4*D3</f>
        <v>1.007108110741</v>
      </c>
    </row>
    <row r="5" spans="1:4">
      <c r="A5" s="4">
        <v>43647</v>
      </c>
      <c r="B5" s="5">
        <v>0.19</v>
      </c>
      <c r="C5">
        <f t="shared" si="0"/>
        <v>1.0019</v>
      </c>
      <c r="D5">
        <f t="shared" si="1"/>
        <v>1.0090216161514081</v>
      </c>
    </row>
    <row r="6" spans="1:4">
      <c r="A6" s="4">
        <v>43678</v>
      </c>
      <c r="B6" s="5">
        <v>0.11</v>
      </c>
      <c r="C6">
        <f t="shared" si="0"/>
        <v>1.0011000000000001</v>
      </c>
      <c r="D6">
        <f t="shared" si="1"/>
        <v>1.0101315399291748</v>
      </c>
    </row>
    <row r="7" spans="1:4">
      <c r="A7" s="4">
        <v>43709</v>
      </c>
      <c r="B7" s="5">
        <v>-0.04</v>
      </c>
      <c r="C7">
        <f t="shared" si="0"/>
        <v>0.99960000000000004</v>
      </c>
      <c r="D7">
        <f t="shared" si="1"/>
        <v>1.0097274873132032</v>
      </c>
    </row>
    <row r="8" spans="1:4">
      <c r="A8" s="4">
        <v>43739</v>
      </c>
      <c r="B8" s="5">
        <v>0.1</v>
      </c>
      <c r="C8">
        <f t="shared" si="0"/>
        <v>1.0009999999999999</v>
      </c>
      <c r="D8">
        <f t="shared" si="1"/>
        <v>1.0107372148005163</v>
      </c>
    </row>
    <row r="9" spans="1:4">
      <c r="A9" s="4">
        <v>43770</v>
      </c>
      <c r="B9" s="5">
        <v>0.51</v>
      </c>
      <c r="C9">
        <f t="shared" si="0"/>
        <v>1.0051000000000001</v>
      </c>
      <c r="D9">
        <f t="shared" si="1"/>
        <v>1.0158919745959989</v>
      </c>
    </row>
    <row r="10" spans="1:4">
      <c r="A10" s="4">
        <v>43800</v>
      </c>
      <c r="B10" s="5">
        <v>1.1499999999999999</v>
      </c>
      <c r="C10">
        <f t="shared" si="0"/>
        <v>1.0115000000000001</v>
      </c>
      <c r="D10">
        <f t="shared" si="1"/>
        <v>1.0275747323038529</v>
      </c>
    </row>
    <row r="11" spans="1:4">
      <c r="A11" s="4">
        <v>43831</v>
      </c>
      <c r="B11" s="5">
        <v>0.21</v>
      </c>
      <c r="C11">
        <f t="shared" si="0"/>
        <v>1.0021</v>
      </c>
      <c r="D11">
        <f t="shared" si="1"/>
        <v>1.029732639241691</v>
      </c>
    </row>
    <row r="12" spans="1:4">
      <c r="A12" s="4">
        <v>43862</v>
      </c>
      <c r="B12" s="5">
        <v>0.25</v>
      </c>
      <c r="C12">
        <f t="shared" si="0"/>
        <v>1.0024999999999999</v>
      </c>
      <c r="D12">
        <f t="shared" si="1"/>
        <v>1.0323069708397952</v>
      </c>
    </row>
    <row r="13" spans="1:4">
      <c r="A13" s="4">
        <v>43891</v>
      </c>
      <c r="B13" s="5">
        <v>7.0000000000000007E-2</v>
      </c>
      <c r="C13">
        <f t="shared" si="0"/>
        <v>1.0006999999999999</v>
      </c>
      <c r="D13">
        <f t="shared" si="1"/>
        <v>1.033029585719383</v>
      </c>
    </row>
    <row r="14" spans="1:4">
      <c r="A14" s="4">
        <v>43922</v>
      </c>
      <c r="B14" s="5">
        <v>-0.31</v>
      </c>
      <c r="C14">
        <f t="shared" si="0"/>
        <v>0.99690000000000001</v>
      </c>
      <c r="D14">
        <f t="shared" si="1"/>
        <v>1.029827194003653</v>
      </c>
    </row>
    <row r="15" spans="1:4">
      <c r="A15" s="4">
        <v>43952</v>
      </c>
      <c r="B15" s="5">
        <v>-0.38</v>
      </c>
      <c r="C15">
        <f t="shared" si="0"/>
        <v>0.99619999999999997</v>
      </c>
      <c r="D15">
        <f t="shared" si="1"/>
        <v>1.0259138506664391</v>
      </c>
    </row>
    <row r="16" spans="1:4">
      <c r="A16" s="4">
        <v>43983</v>
      </c>
      <c r="B16" s="5">
        <v>0.26</v>
      </c>
      <c r="C16">
        <f t="shared" si="0"/>
        <v>1.0025999999999999</v>
      </c>
      <c r="D16">
        <f t="shared" si="1"/>
        <v>1.0285812266781718</v>
      </c>
    </row>
    <row r="17" spans="1:4">
      <c r="A17" s="4">
        <v>44013</v>
      </c>
      <c r="B17" s="5">
        <v>0.36</v>
      </c>
      <c r="C17">
        <f t="shared" si="0"/>
        <v>1.0036</v>
      </c>
      <c r="D17">
        <f t="shared" si="1"/>
        <v>1.0322841190942131</v>
      </c>
    </row>
    <row r="18" spans="1:4">
      <c r="A18" s="4">
        <v>44044</v>
      </c>
      <c r="B18" s="5">
        <v>0.24</v>
      </c>
      <c r="C18">
        <f t="shared" si="0"/>
        <v>1.0024</v>
      </c>
      <c r="D18">
        <f t="shared" si="1"/>
        <v>1.0347616009800391</v>
      </c>
    </row>
    <row r="19" spans="1:4">
      <c r="A19" s="4">
        <v>44075</v>
      </c>
      <c r="B19" s="5">
        <v>0.64</v>
      </c>
      <c r="C19">
        <f t="shared" si="0"/>
        <v>1.0064</v>
      </c>
      <c r="D19">
        <f t="shared" si="1"/>
        <v>1.0413840752263113</v>
      </c>
    </row>
    <row r="20" spans="1:4">
      <c r="A20" s="4">
        <v>44105</v>
      </c>
      <c r="B20" s="5">
        <v>0.86</v>
      </c>
      <c r="C20">
        <f t="shared" si="0"/>
        <v>1.0085999999999999</v>
      </c>
      <c r="D20">
        <f t="shared" si="1"/>
        <v>1.0503399782732574</v>
      </c>
    </row>
    <row r="21" spans="1:4">
      <c r="A21" s="4">
        <v>44136</v>
      </c>
      <c r="B21" s="5">
        <v>0.89</v>
      </c>
      <c r="C21">
        <f t="shared" si="0"/>
        <v>1.0088999999999999</v>
      </c>
      <c r="D21">
        <f t="shared" si="1"/>
        <v>1.0596880040798893</v>
      </c>
    </row>
    <row r="22" spans="1:4">
      <c r="A22" s="4">
        <v>44166</v>
      </c>
      <c r="B22" s="5">
        <v>1.35</v>
      </c>
      <c r="C22">
        <f t="shared" si="0"/>
        <v>1.0135000000000001</v>
      </c>
      <c r="D22">
        <f t="shared" si="1"/>
        <v>1.0739937921349678</v>
      </c>
    </row>
    <row r="23" spans="1:4">
      <c r="A23" s="4">
        <v>44197</v>
      </c>
      <c r="B23" s="5">
        <v>0.25</v>
      </c>
      <c r="C23">
        <f t="shared" si="0"/>
        <v>1.0024999999999999</v>
      </c>
      <c r="D23">
        <f t="shared" si="1"/>
        <v>1.0766787766153052</v>
      </c>
    </row>
    <row r="24" spans="1:4">
      <c r="A24" s="4">
        <v>44228</v>
      </c>
      <c r="B24" s="5">
        <v>0.86</v>
      </c>
      <c r="C24">
        <f t="shared" si="0"/>
        <v>1.0085999999999999</v>
      </c>
      <c r="D24">
        <f t="shared" si="1"/>
        <v>1.0859382140941967</v>
      </c>
    </row>
    <row r="25" spans="1:4">
      <c r="A25" s="4">
        <v>44256</v>
      </c>
      <c r="B25" s="5">
        <v>0.93</v>
      </c>
      <c r="C25">
        <f t="shared" si="0"/>
        <v>1.0093000000000001</v>
      </c>
      <c r="D25">
        <f t="shared" si="1"/>
        <v>1.0960374394852728</v>
      </c>
    </row>
    <row r="26" spans="1:4">
      <c r="A26" s="4">
        <v>44287</v>
      </c>
      <c r="B26" s="5">
        <v>0.31</v>
      </c>
      <c r="C26">
        <f t="shared" si="0"/>
        <v>1.0031000000000001</v>
      </c>
      <c r="D26">
        <f t="shared" si="1"/>
        <v>1.0994351555476771</v>
      </c>
    </row>
    <row r="27" spans="1:4">
      <c r="A27" s="4">
        <v>44317</v>
      </c>
      <c r="B27" s="5">
        <v>0.83</v>
      </c>
      <c r="C27">
        <f t="shared" si="0"/>
        <v>1.0083</v>
      </c>
      <c r="D27">
        <f t="shared" si="1"/>
        <v>1.1085604673387228</v>
      </c>
    </row>
    <row r="28" spans="1:4">
      <c r="A28" s="4">
        <v>44348</v>
      </c>
      <c r="B28" s="5">
        <v>0.53</v>
      </c>
      <c r="C28">
        <f t="shared" si="0"/>
        <v>1.0053000000000001</v>
      </c>
      <c r="D28">
        <f t="shared" si="1"/>
        <v>1.1144358378156181</v>
      </c>
    </row>
    <row r="29" spans="1:4">
      <c r="A29" s="4">
        <v>44378</v>
      </c>
      <c r="B29" s="5">
        <v>0.96</v>
      </c>
      <c r="C29">
        <f t="shared" si="0"/>
        <v>1.0096000000000001</v>
      </c>
      <c r="D29">
        <f t="shared" si="1"/>
        <v>1.1251344218586481</v>
      </c>
    </row>
    <row r="30" spans="1:4">
      <c r="A30" s="4">
        <v>44409</v>
      </c>
      <c r="B30" s="5">
        <v>0.87</v>
      </c>
      <c r="C30">
        <f t="shared" si="0"/>
        <v>1.0086999999999999</v>
      </c>
      <c r="D30">
        <f t="shared" si="1"/>
        <v>1.1349230913288182</v>
      </c>
    </row>
    <row r="31" spans="1:4">
      <c r="A31" s="4">
        <v>44440</v>
      </c>
      <c r="B31" s="5">
        <v>1.1599999999999999</v>
      </c>
      <c r="C31">
        <f t="shared" si="0"/>
        <v>1.0116000000000001</v>
      </c>
      <c r="D31">
        <f t="shared" si="1"/>
        <v>1.1480881991882326</v>
      </c>
    </row>
    <row r="32" spans="1:4">
      <c r="A32" s="4">
        <v>44470</v>
      </c>
      <c r="B32" s="5">
        <v>1.25</v>
      </c>
      <c r="C32">
        <f t="shared" si="0"/>
        <v>1.0125</v>
      </c>
      <c r="D32">
        <f t="shared" si="1"/>
        <v>1.1624393016780854</v>
      </c>
    </row>
    <row r="33" spans="1:4">
      <c r="A33" s="4">
        <v>44501</v>
      </c>
      <c r="B33" s="5">
        <v>0.95</v>
      </c>
      <c r="C33">
        <f t="shared" si="0"/>
        <v>1.0095000000000001</v>
      </c>
      <c r="D33">
        <f t="shared" si="1"/>
        <v>1.1734824750440274</v>
      </c>
    </row>
    <row r="34" spans="1:4">
      <c r="A34" s="4">
        <v>44531</v>
      </c>
      <c r="B34" s="5">
        <v>0.73</v>
      </c>
      <c r="C34">
        <f t="shared" si="0"/>
        <v>1.0073000000000001</v>
      </c>
      <c r="D34">
        <f t="shared" si="1"/>
        <v>1.1820488971118488</v>
      </c>
    </row>
    <row r="35" spans="1:4">
      <c r="A35" s="4">
        <v>44562</v>
      </c>
      <c r="B35" s="5">
        <v>0.54</v>
      </c>
      <c r="C35">
        <f t="shared" si="0"/>
        <v>1.0054000000000001</v>
      </c>
      <c r="D35">
        <f t="shared" si="1"/>
        <v>1.1884319611562528</v>
      </c>
    </row>
    <row r="36" spans="1:4">
      <c r="A36" s="4">
        <v>44593</v>
      </c>
      <c r="B36" s="5">
        <v>1.01</v>
      </c>
      <c r="C36">
        <f t="shared" si="0"/>
        <v>1.0101</v>
      </c>
      <c r="D36">
        <f t="shared" si="1"/>
        <v>1.200435123963931</v>
      </c>
    </row>
    <row r="37" spans="1:4">
      <c r="A37" s="4">
        <v>44621</v>
      </c>
      <c r="B37" s="5">
        <v>1.62</v>
      </c>
      <c r="C37">
        <f t="shared" si="0"/>
        <v>1.0162</v>
      </c>
      <c r="D37">
        <f t="shared" si="1"/>
        <v>1.2198821729721467</v>
      </c>
    </row>
    <row r="38" spans="1:4">
      <c r="A38" s="4">
        <v>44652</v>
      </c>
      <c r="B38" s="5">
        <v>1.06</v>
      </c>
      <c r="C38">
        <f t="shared" si="0"/>
        <v>1.0105999999999999</v>
      </c>
      <c r="D38">
        <f t="shared" si="1"/>
        <v>1.2328129240056513</v>
      </c>
    </row>
    <row r="39" spans="1:4">
      <c r="A39" s="4">
        <v>44682</v>
      </c>
      <c r="B39" s="5">
        <v>0.47</v>
      </c>
      <c r="C39">
        <f t="shared" si="0"/>
        <v>1.0046999999999999</v>
      </c>
      <c r="D39">
        <f t="shared" si="1"/>
        <v>1.2386071447484779</v>
      </c>
    </row>
    <row r="40" spans="1:4">
      <c r="A40" s="4">
        <v>44713</v>
      </c>
      <c r="B40" s="5">
        <v>0.67</v>
      </c>
      <c r="C40">
        <f t="shared" si="0"/>
        <v>1.0066999999999999</v>
      </c>
      <c r="D40">
        <f t="shared" si="1"/>
        <v>1.2469058126182926</v>
      </c>
    </row>
    <row r="41" spans="1:4">
      <c r="A41" s="4">
        <v>44743</v>
      </c>
      <c r="B41" s="5">
        <v>-0.68</v>
      </c>
      <c r="C41">
        <f t="shared" si="0"/>
        <v>0.99319999999999997</v>
      </c>
      <c r="D41">
        <f t="shared" si="1"/>
        <v>1.2384268530924882</v>
      </c>
    </row>
    <row r="42" spans="1:4">
      <c r="A42" s="4">
        <v>44774</v>
      </c>
      <c r="B42" s="5">
        <v>-0.36</v>
      </c>
      <c r="C42">
        <f t="shared" si="0"/>
        <v>0.99639999999999995</v>
      </c>
      <c r="D42">
        <f t="shared" si="1"/>
        <v>1.2339685164213552</v>
      </c>
    </row>
    <row r="43" spans="1:4">
      <c r="A43" s="4">
        <v>44805</v>
      </c>
      <c r="B43" s="5">
        <v>-0.28999999999999998</v>
      </c>
      <c r="C43">
        <f t="shared" si="0"/>
        <v>0.99709999999999999</v>
      </c>
      <c r="D43">
        <f t="shared" si="1"/>
        <v>1.2303900077237333</v>
      </c>
    </row>
    <row r="44" spans="1:4">
      <c r="A44" s="4">
        <v>44835</v>
      </c>
      <c r="B44">
        <v>0.33</v>
      </c>
      <c r="C44">
        <f t="shared" si="0"/>
        <v>1.0033000000000001</v>
      </c>
      <c r="D44">
        <f t="shared" si="1"/>
        <v>1.2344502947492217</v>
      </c>
    </row>
    <row r="45" spans="1:4">
      <c r="A45" s="4">
        <v>44866</v>
      </c>
      <c r="B45">
        <v>0.94638500140897963</v>
      </c>
      <c r="C45">
        <f t="shared" si="0"/>
        <v>1.0094638500140898</v>
      </c>
      <c r="D45">
        <f t="shared" si="1"/>
        <v>1.2461329471885774</v>
      </c>
    </row>
    <row r="46" spans="1:4">
      <c r="A46" s="4">
        <v>44896</v>
      </c>
      <c r="B46">
        <v>1.9531775560993834</v>
      </c>
      <c r="C46">
        <f t="shared" si="0"/>
        <v>1.0195317755609938</v>
      </c>
      <c r="D46">
        <f t="shared" si="1"/>
        <v>1.2704721362322244</v>
      </c>
    </row>
    <row r="47" spans="1:4">
      <c r="A47" s="4">
        <v>44927</v>
      </c>
      <c r="B47">
        <v>0.84570574593993919</v>
      </c>
      <c r="C47">
        <f t="shared" si="0"/>
        <v>1.0084570574593994</v>
      </c>
      <c r="D47">
        <f t="shared" si="1"/>
        <v>1.2812165920889063</v>
      </c>
    </row>
    <row r="48" spans="1:4">
      <c r="A48" s="4">
        <v>44958</v>
      </c>
      <c r="B48">
        <v>0.66448308609566664</v>
      </c>
      <c r="C48">
        <f t="shared" si="0"/>
        <v>1.0066448308609566</v>
      </c>
      <c r="D48">
        <f t="shared" si="1"/>
        <v>1.2897300596395882</v>
      </c>
    </row>
    <row r="49" spans="1:4">
      <c r="A49" s="4">
        <v>44986</v>
      </c>
      <c r="B49">
        <v>1.006792554690404</v>
      </c>
      <c r="C49">
        <f t="shared" si="0"/>
        <v>1.0100679255469041</v>
      </c>
      <c r="D49">
        <f t="shared" si="1"/>
        <v>1.3027149658556436</v>
      </c>
    </row>
    <row r="50" spans="1:4">
      <c r="A50" s="4">
        <v>45017</v>
      </c>
      <c r="B50">
        <v>1.1276076612532524</v>
      </c>
      <c r="C50">
        <f t="shared" si="0"/>
        <v>1.0112760766125326</v>
      </c>
      <c r="D50">
        <f t="shared" si="1"/>
        <v>1.3174044796149247</v>
      </c>
    </row>
    <row r="51" spans="1:4">
      <c r="A51" s="4">
        <v>45047</v>
      </c>
      <c r="B51">
        <v>0.41494999999999999</v>
      </c>
      <c r="C51">
        <f t="shared" si="0"/>
        <v>1.0041495</v>
      </c>
      <c r="D51">
        <f t="shared" si="1"/>
        <v>1.3228710495030869</v>
      </c>
    </row>
    <row r="52" spans="1:4">
      <c r="A52" s="4">
        <v>45078</v>
      </c>
      <c r="B52">
        <v>0.38303300000000001</v>
      </c>
      <c r="C52">
        <f t="shared" si="0"/>
        <v>1.00383033</v>
      </c>
      <c r="D52">
        <f t="shared" si="1"/>
        <v>1.3279380821701301</v>
      </c>
    </row>
    <row r="53" spans="1:4">
      <c r="A53" s="4">
        <v>45108</v>
      </c>
      <c r="B53">
        <v>0.35111999999999999</v>
      </c>
      <c r="C53">
        <f t="shared" si="0"/>
        <v>1.0035111999999999</v>
      </c>
      <c r="D53">
        <f t="shared" si="1"/>
        <v>1.3326007383642458</v>
      </c>
    </row>
    <row r="54" spans="1:4">
      <c r="A54" s="4">
        <v>45139</v>
      </c>
      <c r="B54">
        <v>0.17555687203791467</v>
      </c>
      <c r="C54">
        <f t="shared" si="0"/>
        <v>1.0017555687203792</v>
      </c>
      <c r="D54">
        <f t="shared" si="1"/>
        <v>1.3349402105372723</v>
      </c>
    </row>
    <row r="55" spans="1:4">
      <c r="A55" s="4">
        <v>45170</v>
      </c>
      <c r="B55">
        <v>9.5758293838862543E-2</v>
      </c>
      <c r="C55">
        <f t="shared" si="0"/>
        <v>1.0009575829383885</v>
      </c>
      <c r="D55">
        <f t="shared" si="1"/>
        <v>1.3362185265066515</v>
      </c>
    </row>
    <row r="56" spans="1:4">
      <c r="A56" s="4">
        <v>45200</v>
      </c>
      <c r="B56">
        <v>0.12767772511848341</v>
      </c>
      <c r="C56">
        <f t="shared" si="0"/>
        <v>1.0012767772511848</v>
      </c>
      <c r="D56">
        <f t="shared" si="1"/>
        <v>1.3379245799239068</v>
      </c>
    </row>
    <row r="57" spans="1:4">
      <c r="A57" s="4">
        <v>45231</v>
      </c>
      <c r="B57">
        <v>0.66754478672985762</v>
      </c>
      <c r="C57">
        <f t="shared" si="0"/>
        <v>1.0066754478672986</v>
      </c>
      <c r="D57">
        <f t="shared" si="1"/>
        <v>1.3468558257075662</v>
      </c>
    </row>
    <row r="58" spans="1:4">
      <c r="A58" s="4">
        <v>45261</v>
      </c>
      <c r="B58">
        <v>1.3776988151658764</v>
      </c>
      <c r="C58">
        <f t="shared" si="0"/>
        <v>1.0137769881516587</v>
      </c>
      <c r="D58">
        <f t="shared" si="1"/>
        <v>1.3654114424603319</v>
      </c>
    </row>
    <row r="59" spans="1:4">
      <c r="A59" s="4">
        <v>45292</v>
      </c>
      <c r="B59">
        <v>0.59652938388625576</v>
      </c>
      <c r="C59">
        <f t="shared" si="0"/>
        <v>1.0059652938388626</v>
      </c>
      <c r="D59">
        <f t="shared" si="1"/>
        <v>1.3735565229255529</v>
      </c>
    </row>
    <row r="60" spans="1:4">
      <c r="A60" s="4">
        <v>45323</v>
      </c>
      <c r="B60">
        <v>0.46870165876777242</v>
      </c>
      <c r="C60">
        <f t="shared" si="0"/>
        <v>1.0046870165876778</v>
      </c>
      <c r="D60">
        <f t="shared" si="1"/>
        <v>1.3799944051326178</v>
      </c>
    </row>
    <row r="61" spans="1:4">
      <c r="A61" s="4">
        <v>45352</v>
      </c>
      <c r="B61">
        <v>0.71015402843601882</v>
      </c>
      <c r="C61">
        <f t="shared" si="0"/>
        <v>1.0071015402843602</v>
      </c>
      <c r="D61">
        <f t="shared" si="1"/>
        <v>1.3897944909928588</v>
      </c>
    </row>
    <row r="62" spans="1:4">
      <c r="A62" s="4">
        <v>45383</v>
      </c>
      <c r="B62">
        <v>0.79537251184834112</v>
      </c>
      <c r="C62">
        <f t="shared" si="0"/>
        <v>1.0079537251184834</v>
      </c>
      <c r="D62">
        <f t="shared" si="1"/>
        <v>1.4008485343453985</v>
      </c>
    </row>
    <row r="63" spans="1:4">
      <c r="A63" s="4">
        <v>45413</v>
      </c>
      <c r="B63">
        <v>0.3692800947867298</v>
      </c>
      <c r="C63">
        <f t="shared" si="0"/>
        <v>1.0036928009478674</v>
      </c>
      <c r="D63">
        <f t="shared" si="1"/>
        <v>1.4060215891408478</v>
      </c>
    </row>
    <row r="64" spans="1:4">
      <c r="A64" s="4">
        <v>45444</v>
      </c>
      <c r="B64">
        <v>0.34087393364928903</v>
      </c>
      <c r="C64">
        <f t="shared" si="0"/>
        <v>1.003408739336493</v>
      </c>
      <c r="D64">
        <f t="shared" si="1"/>
        <v>1.4108143502397106</v>
      </c>
    </row>
    <row r="65" spans="1:4">
      <c r="A65" s="4">
        <v>45474</v>
      </c>
      <c r="B65">
        <v>0.31246777251184826</v>
      </c>
      <c r="C65">
        <f t="shared" si="0"/>
        <v>1.0031246777251184</v>
      </c>
      <c r="D65">
        <f t="shared" si="1"/>
        <v>1.415222690414182</v>
      </c>
    </row>
    <row r="66" spans="1:4">
      <c r="A66" s="4">
        <v>45505</v>
      </c>
      <c r="B66">
        <v>0.15623388625592413</v>
      </c>
      <c r="C66">
        <f t="shared" si="0"/>
        <v>1.0015623388625592</v>
      </c>
      <c r="D66">
        <f t="shared" si="1"/>
        <v>1.4174337478225916</v>
      </c>
    </row>
    <row r="67" spans="1:4">
      <c r="A67" s="4">
        <v>45536</v>
      </c>
      <c r="B67">
        <v>8.5218483412322257E-2</v>
      </c>
      <c r="C67">
        <f t="shared" ref="C67:C121" si="2">1+B67/100</f>
        <v>1.0008521848341232</v>
      </c>
      <c r="D67">
        <f t="shared" si="1"/>
        <v>1.4186416633658603</v>
      </c>
    </row>
    <row r="68" spans="1:4">
      <c r="A68" s="4">
        <v>45566</v>
      </c>
      <c r="B68">
        <v>0.11362464454976301</v>
      </c>
      <c r="C68">
        <f t="shared" si="2"/>
        <v>1.0011362464454976</v>
      </c>
      <c r="D68">
        <f t="shared" ref="D68:D121" si="3">C68*D67</f>
        <v>1.4202535899132944</v>
      </c>
    </row>
    <row r="69" spans="1:4">
      <c r="A69" s="4">
        <v>45597</v>
      </c>
      <c r="B69">
        <v>0.64748625592417042</v>
      </c>
      <c r="C69">
        <f t="shared" si="2"/>
        <v>1.0064748625592417</v>
      </c>
      <c r="D69">
        <f t="shared" si="3"/>
        <v>1.4294495367072526</v>
      </c>
    </row>
    <row r="70" spans="1:4">
      <c r="A70" s="4">
        <v>45627</v>
      </c>
      <c r="B70">
        <v>1.3363014218009477</v>
      </c>
      <c r="C70">
        <f t="shared" si="2"/>
        <v>1.0133630142180095</v>
      </c>
      <c r="D70">
        <f t="shared" si="3"/>
        <v>1.4485512911901985</v>
      </c>
    </row>
    <row r="71" spans="1:4">
      <c r="A71" s="4">
        <v>45658</v>
      </c>
      <c r="B71">
        <v>0.57860473933649281</v>
      </c>
      <c r="C71">
        <f t="shared" si="2"/>
        <v>1.0057860473933649</v>
      </c>
      <c r="D71">
        <f t="shared" si="3"/>
        <v>1.4569326776127449</v>
      </c>
    </row>
    <row r="72" spans="1:4">
      <c r="A72" s="4">
        <v>45689</v>
      </c>
      <c r="B72">
        <v>0.45461800947867292</v>
      </c>
      <c r="C72">
        <f t="shared" si="2"/>
        <v>1.0045461800947868</v>
      </c>
      <c r="D72">
        <f t="shared" si="3"/>
        <v>1.4635561559511525</v>
      </c>
    </row>
    <row r="73" spans="1:4">
      <c r="A73" s="4">
        <v>45717</v>
      </c>
      <c r="B73">
        <v>0.68881516587677716</v>
      </c>
      <c r="C73">
        <f t="shared" si="2"/>
        <v>1.0068881516587678</v>
      </c>
      <c r="D73">
        <f t="shared" si="3"/>
        <v>1.4736373527144673</v>
      </c>
    </row>
    <row r="74" spans="1:4">
      <c r="A74" s="4">
        <v>45748</v>
      </c>
      <c r="B74">
        <v>0.77147298578199042</v>
      </c>
      <c r="C74">
        <f t="shared" si="2"/>
        <v>1.00771472985782</v>
      </c>
      <c r="D74">
        <f t="shared" si="3"/>
        <v>1.4850060667990523</v>
      </c>
    </row>
    <row r="75" spans="1:4">
      <c r="A75" s="4">
        <v>45778</v>
      </c>
      <c r="B75">
        <v>0.35818388625592412</v>
      </c>
      <c r="C75">
        <f t="shared" si="2"/>
        <v>1.0035818388625593</v>
      </c>
      <c r="D75">
        <f t="shared" si="3"/>
        <v>1.4903251192402494</v>
      </c>
    </row>
    <row r="76" spans="1:4">
      <c r="A76" s="4">
        <v>45809</v>
      </c>
      <c r="B76">
        <v>0.33063127962085304</v>
      </c>
      <c r="C76">
        <f t="shared" si="2"/>
        <v>1.0033063127962085</v>
      </c>
      <c r="D76">
        <f t="shared" si="3"/>
        <v>1.4952526002525044</v>
      </c>
    </row>
    <row r="77" spans="1:4">
      <c r="A77" s="4">
        <v>45839</v>
      </c>
      <c r="B77">
        <v>0.30307867298578195</v>
      </c>
      <c r="C77">
        <f t="shared" si="2"/>
        <v>1.0030307867298578</v>
      </c>
      <c r="D77">
        <f t="shared" si="3"/>
        <v>1.4997843919911351</v>
      </c>
    </row>
    <row r="78" spans="1:4">
      <c r="A78" s="4">
        <v>45870</v>
      </c>
      <c r="B78">
        <v>0.15153933649289097</v>
      </c>
      <c r="C78">
        <f t="shared" si="2"/>
        <v>1.001515393364929</v>
      </c>
      <c r="D78">
        <f t="shared" si="3"/>
        <v>1.5020571553075825</v>
      </c>
    </row>
    <row r="79" spans="1:4">
      <c r="A79" s="4">
        <v>45901</v>
      </c>
      <c r="B79">
        <v>8.2657819905213259E-2</v>
      </c>
      <c r="C79">
        <f t="shared" si="2"/>
        <v>1.0008265781990522</v>
      </c>
      <c r="D79">
        <f t="shared" si="3"/>
        <v>1.5032987230058901</v>
      </c>
    </row>
    <row r="80" spans="1:4">
      <c r="A80" s="4">
        <v>45931</v>
      </c>
      <c r="B80">
        <v>0.11021042654028435</v>
      </c>
      <c r="C80">
        <f t="shared" si="2"/>
        <v>1.0011021042654029</v>
      </c>
      <c r="D80">
        <f t="shared" si="3"/>
        <v>1.5049555149406897</v>
      </c>
    </row>
    <row r="81" spans="1:4">
      <c r="A81" s="4">
        <v>45962</v>
      </c>
      <c r="B81">
        <v>0.64681800947867285</v>
      </c>
      <c r="C81">
        <f t="shared" si="2"/>
        <v>1.0064681800947868</v>
      </c>
      <c r="D81">
        <f t="shared" si="3"/>
        <v>1.5146898382459686</v>
      </c>
    </row>
    <row r="82" spans="1:4">
      <c r="A82" s="4">
        <v>45992</v>
      </c>
      <c r="B82">
        <v>1.3349222748815164</v>
      </c>
      <c r="C82">
        <f t="shared" si="2"/>
        <v>1.0133492227488152</v>
      </c>
      <c r="D82">
        <f t="shared" si="3"/>
        <v>1.5349097702920809</v>
      </c>
    </row>
    <row r="83" spans="1:4">
      <c r="A83" s="4">
        <v>46023</v>
      </c>
      <c r="B83">
        <v>0.5780075829383885</v>
      </c>
      <c r="C83">
        <f t="shared" si="2"/>
        <v>1.0057800758293838</v>
      </c>
      <c r="D83">
        <f t="shared" si="3"/>
        <v>1.5437816651556311</v>
      </c>
    </row>
    <row r="84" spans="1:4">
      <c r="A84" s="4">
        <v>46054</v>
      </c>
      <c r="B84">
        <v>0.45414881516587668</v>
      </c>
      <c r="C84">
        <f t="shared" si="2"/>
        <v>1.0045414881516588</v>
      </c>
      <c r="D84">
        <f t="shared" si="3"/>
        <v>1.5507927312966834</v>
      </c>
    </row>
    <row r="85" spans="1:4">
      <c r="A85" s="4">
        <v>46082</v>
      </c>
      <c r="B85">
        <v>0.68810426540284353</v>
      </c>
      <c r="C85">
        <f t="shared" si="2"/>
        <v>1.0068810426540284</v>
      </c>
      <c r="D85">
        <f t="shared" si="3"/>
        <v>1.5614638022282932</v>
      </c>
    </row>
    <row r="86" spans="1:4">
      <c r="A86" s="4">
        <v>46113</v>
      </c>
      <c r="B86">
        <v>0.77067677725118466</v>
      </c>
      <c r="C86">
        <f t="shared" si="2"/>
        <v>1.0077067677725118</v>
      </c>
      <c r="D86">
        <f t="shared" si="3"/>
        <v>1.5734976411372499</v>
      </c>
    </row>
    <row r="87" spans="1:4">
      <c r="A87" s="4">
        <v>46143</v>
      </c>
      <c r="B87">
        <v>0.3578142180094786</v>
      </c>
      <c r="C87">
        <f t="shared" si="2"/>
        <v>1.0035781421800949</v>
      </c>
      <c r="D87">
        <f t="shared" si="3"/>
        <v>1.579127839417283</v>
      </c>
    </row>
    <row r="88" spans="1:4">
      <c r="A88" s="4">
        <v>46174</v>
      </c>
      <c r="B88">
        <v>0.33029004739336487</v>
      </c>
      <c r="C88">
        <f t="shared" si="2"/>
        <v>1.0033029004739336</v>
      </c>
      <c r="D88">
        <f t="shared" si="3"/>
        <v>1.5843435415064959</v>
      </c>
    </row>
    <row r="89" spans="1:4">
      <c r="A89" s="4">
        <v>46204</v>
      </c>
      <c r="B89">
        <v>0.30276587677725114</v>
      </c>
      <c r="C89">
        <f t="shared" si="2"/>
        <v>1.0030276587677724</v>
      </c>
      <c r="D89">
        <f t="shared" si="3"/>
        <v>1.5891403931211017</v>
      </c>
    </row>
    <row r="90" spans="1:4">
      <c r="A90" s="4">
        <v>46235</v>
      </c>
      <c r="B90">
        <v>0.15138293838862557</v>
      </c>
      <c r="C90">
        <f t="shared" si="2"/>
        <v>1.0015138293838863</v>
      </c>
      <c r="D90">
        <f t="shared" si="3"/>
        <v>1.591546080543329</v>
      </c>
    </row>
    <row r="91" spans="1:4">
      <c r="A91" s="4">
        <v>46266</v>
      </c>
      <c r="B91">
        <v>8.2572511848341218E-2</v>
      </c>
      <c r="C91">
        <f t="shared" si="2"/>
        <v>1.0008257251184833</v>
      </c>
      <c r="D91">
        <f t="shared" si="3"/>
        <v>1.5928602601192574</v>
      </c>
    </row>
    <row r="92" spans="1:4">
      <c r="A92" s="4">
        <v>46296</v>
      </c>
      <c r="B92">
        <v>0.11009668246445496</v>
      </c>
      <c r="C92">
        <f t="shared" si="2"/>
        <v>1.0011009668246444</v>
      </c>
      <c r="D92">
        <f t="shared" si="3"/>
        <v>1.5946139464219433</v>
      </c>
    </row>
    <row r="93" spans="1:4">
      <c r="A93" s="4">
        <v>46327</v>
      </c>
      <c r="B93">
        <v>0.65048222748815143</v>
      </c>
      <c r="C93">
        <f t="shared" si="2"/>
        <v>1.0065048222748816</v>
      </c>
      <c r="D93">
        <f t="shared" si="3"/>
        <v>1.6049866267404655</v>
      </c>
    </row>
    <row r="94" spans="1:4">
      <c r="A94" s="4">
        <v>46357</v>
      </c>
      <c r="B94">
        <v>1.3424845971563977</v>
      </c>
      <c r="C94">
        <f t="shared" si="2"/>
        <v>1.013424845971564</v>
      </c>
      <c r="D94">
        <f t="shared" si="3"/>
        <v>1.6265333249908764</v>
      </c>
    </row>
    <row r="95" spans="1:4">
      <c r="A95" s="4">
        <v>46388</v>
      </c>
      <c r="B95">
        <v>0.5812819905213269</v>
      </c>
      <c r="C95">
        <f t="shared" si="2"/>
        <v>1.0058128199052132</v>
      </c>
      <c r="D95">
        <f t="shared" si="3"/>
        <v>1.635988070278876</v>
      </c>
    </row>
    <row r="96" spans="1:4">
      <c r="A96" s="4">
        <v>46419</v>
      </c>
      <c r="B96">
        <v>0.45672156398104258</v>
      </c>
      <c r="C96">
        <f t="shared" si="2"/>
        <v>1.0045672156398104</v>
      </c>
      <c r="D96">
        <f t="shared" si="3"/>
        <v>1.643459980579997</v>
      </c>
    </row>
    <row r="97" spans="1:4">
      <c r="A97" s="4">
        <v>46447</v>
      </c>
      <c r="B97">
        <v>0.69200236966824635</v>
      </c>
      <c r="C97">
        <f t="shared" si="2"/>
        <v>1.0069200236966824</v>
      </c>
      <c r="D97">
        <f t="shared" si="3"/>
        <v>1.6548327625901598</v>
      </c>
    </row>
    <row r="98" spans="1:4">
      <c r="A98" s="4">
        <v>46478</v>
      </c>
      <c r="B98">
        <v>0.77504265402843586</v>
      </c>
      <c r="C98">
        <f t="shared" si="2"/>
        <v>1.0077504265402843</v>
      </c>
      <c r="D98">
        <f t="shared" si="3"/>
        <v>1.6676584223530706</v>
      </c>
    </row>
    <row r="99" spans="1:4">
      <c r="A99" s="4">
        <v>46508</v>
      </c>
      <c r="B99">
        <v>0.35984123222748809</v>
      </c>
      <c r="C99">
        <f t="shared" si="2"/>
        <v>1.003598412322275</v>
      </c>
      <c r="D99">
        <f t="shared" si="3"/>
        <v>1.6736593449694115</v>
      </c>
    </row>
    <row r="100" spans="1:4">
      <c r="A100" s="4">
        <v>46539</v>
      </c>
      <c r="B100">
        <v>0.3321611374407582</v>
      </c>
      <c r="C100">
        <f t="shared" si="2"/>
        <v>1.0033216113744077</v>
      </c>
      <c r="D100">
        <f t="shared" si="3"/>
        <v>1.6792185908865456</v>
      </c>
    </row>
    <row r="101" spans="1:4">
      <c r="A101" s="4">
        <v>46569</v>
      </c>
      <c r="B101">
        <v>0.30448104265402837</v>
      </c>
      <c r="C101">
        <f t="shared" si="2"/>
        <v>1.0030448104265404</v>
      </c>
      <c r="D101">
        <f t="shared" si="3"/>
        <v>1.6843314931605173</v>
      </c>
    </row>
    <row r="102" spans="1:4">
      <c r="A102" s="4">
        <v>46600</v>
      </c>
      <c r="B102">
        <v>0.15224052132701418</v>
      </c>
      <c r="C102">
        <f t="shared" si="2"/>
        <v>1.0015224052132701</v>
      </c>
      <c r="D102">
        <f t="shared" si="3"/>
        <v>1.68689572820658</v>
      </c>
    </row>
    <row r="103" spans="1:4">
      <c r="A103" s="4">
        <v>46631</v>
      </c>
      <c r="B103">
        <v>8.3040284360189551E-2</v>
      </c>
      <c r="C103">
        <f t="shared" si="2"/>
        <v>1.0008304028436019</v>
      </c>
      <c r="D103">
        <f t="shared" si="3"/>
        <v>1.6882965312161426</v>
      </c>
    </row>
    <row r="104" spans="1:4">
      <c r="A104" s="4">
        <v>46661</v>
      </c>
      <c r="B104">
        <v>0.11072037914691941</v>
      </c>
      <c r="C104">
        <f t="shared" si="2"/>
        <v>1.0011072037914692</v>
      </c>
      <c r="D104">
        <f t="shared" si="3"/>
        <v>1.6901658195366296</v>
      </c>
    </row>
    <row r="105" spans="1:4">
      <c r="A105" s="4">
        <v>46692</v>
      </c>
      <c r="B105">
        <v>0.65446943127962065</v>
      </c>
      <c r="C105">
        <f t="shared" si="2"/>
        <v>1.0065446943127963</v>
      </c>
      <c r="D105">
        <f t="shared" si="3"/>
        <v>1.7012274381634336</v>
      </c>
    </row>
    <row r="106" spans="1:4">
      <c r="A106" s="4">
        <v>46722</v>
      </c>
      <c r="B106">
        <v>1.3507135071090044</v>
      </c>
      <c r="C106">
        <f t="shared" si="2"/>
        <v>1.01350713507109</v>
      </c>
      <c r="D106">
        <f t="shared" si="3"/>
        <v>1.7242061469573515</v>
      </c>
    </row>
    <row r="107" spans="1:4">
      <c r="A107" s="4">
        <v>46753</v>
      </c>
      <c r="B107">
        <v>0.58484502369668234</v>
      </c>
      <c r="C107">
        <f t="shared" si="2"/>
        <v>1.0058484502369669</v>
      </c>
      <c r="D107">
        <f t="shared" si="3"/>
        <v>1.7342900808061039</v>
      </c>
    </row>
    <row r="108" spans="1:4">
      <c r="A108" s="4">
        <v>46784</v>
      </c>
      <c r="B108">
        <v>0.45952109004739328</v>
      </c>
      <c r="C108">
        <f t="shared" si="2"/>
        <v>1.0045952109004739</v>
      </c>
      <c r="D108">
        <f t="shared" si="3"/>
        <v>1.7422595094900077</v>
      </c>
    </row>
    <row r="109" spans="1:4">
      <c r="A109" s="4">
        <v>46813</v>
      </c>
      <c r="B109">
        <v>0.69624407582938375</v>
      </c>
      <c r="C109">
        <f t="shared" si="2"/>
        <v>1.0069624407582938</v>
      </c>
      <c r="D109">
        <f t="shared" si="3"/>
        <v>1.7543898881104059</v>
      </c>
    </row>
    <row r="110" spans="1:4">
      <c r="A110" s="4">
        <v>46844</v>
      </c>
      <c r="B110">
        <v>0.77979336492890983</v>
      </c>
      <c r="C110">
        <f t="shared" si="2"/>
        <v>1.007797933649289</v>
      </c>
      <c r="D110">
        <f t="shared" si="3"/>
        <v>1.7680705040528744</v>
      </c>
    </row>
    <row r="111" spans="1:4">
      <c r="A111" s="4">
        <v>46874</v>
      </c>
      <c r="B111">
        <v>0.36204691943127953</v>
      </c>
      <c r="C111">
        <f t="shared" si="2"/>
        <v>1.0036204691943127</v>
      </c>
      <c r="D111">
        <f t="shared" si="3"/>
        <v>1.7744717488461708</v>
      </c>
    </row>
    <row r="112" spans="1:4">
      <c r="A112" s="4">
        <v>46905</v>
      </c>
      <c r="B112">
        <v>0.33419715639810421</v>
      </c>
      <c r="C112">
        <f t="shared" si="2"/>
        <v>1.0033419715639811</v>
      </c>
      <c r="D112">
        <f t="shared" si="3"/>
        <v>1.7804019829719024</v>
      </c>
    </row>
    <row r="113" spans="1:4">
      <c r="A113" s="4">
        <v>46935</v>
      </c>
      <c r="B113">
        <v>0.30634739336492883</v>
      </c>
      <c r="C113">
        <f t="shared" si="2"/>
        <v>1.0030634739336493</v>
      </c>
      <c r="D113">
        <f t="shared" si="3"/>
        <v>1.7858561980381542</v>
      </c>
    </row>
    <row r="114" spans="1:4">
      <c r="A114" s="4">
        <v>46966</v>
      </c>
      <c r="B114">
        <v>0.15317369668246442</v>
      </c>
      <c r="C114">
        <f t="shared" si="2"/>
        <v>1.0015317369668246</v>
      </c>
      <c r="D114">
        <f t="shared" si="3"/>
        <v>1.7885916599941221</v>
      </c>
    </row>
    <row r="115" spans="1:4">
      <c r="A115" s="4">
        <v>46997</v>
      </c>
      <c r="B115">
        <v>8.3549289099526053E-2</v>
      </c>
      <c r="C115">
        <f t="shared" si="2"/>
        <v>1.0008354928909953</v>
      </c>
      <c r="D115">
        <f t="shared" si="3"/>
        <v>1.7900860156109406</v>
      </c>
    </row>
    <row r="116" spans="1:4">
      <c r="A116" s="4">
        <v>47027</v>
      </c>
      <c r="B116">
        <v>0.1113990521327014</v>
      </c>
      <c r="C116">
        <f t="shared" si="2"/>
        <v>1.0011139905213271</v>
      </c>
      <c r="D116">
        <f t="shared" si="3"/>
        <v>1.7920801544646914</v>
      </c>
    </row>
    <row r="117" spans="1:4">
      <c r="A117" s="4">
        <v>47058</v>
      </c>
      <c r="B117">
        <v>0.65791090047393341</v>
      </c>
      <c r="C117">
        <f t="shared" si="2"/>
        <v>1.0065791090047393</v>
      </c>
      <c r="D117">
        <f t="shared" si="3"/>
        <v>1.8038704451461447</v>
      </c>
    </row>
    <row r="118" spans="1:4">
      <c r="A118" s="4">
        <v>47088</v>
      </c>
      <c r="B118">
        <v>1.3578161137440754</v>
      </c>
      <c r="C118">
        <f t="shared" si="2"/>
        <v>1.0135781611374408</v>
      </c>
      <c r="D118">
        <f t="shared" si="3"/>
        <v>1.8283636887214061</v>
      </c>
    </row>
    <row r="119" spans="1:4">
      <c r="A119" s="4">
        <v>47119</v>
      </c>
      <c r="B119">
        <v>0.5879203791469193</v>
      </c>
      <c r="C119">
        <f t="shared" si="2"/>
        <v>1.0058792037914692</v>
      </c>
      <c r="D119">
        <f t="shared" si="3"/>
        <v>1.8391130114523215</v>
      </c>
    </row>
    <row r="120" spans="1:4">
      <c r="A120" s="4">
        <v>47150</v>
      </c>
      <c r="B120">
        <v>0.46193744075829374</v>
      </c>
      <c r="C120">
        <f t="shared" si="2"/>
        <v>1.0046193744075829</v>
      </c>
      <c r="D120">
        <f t="shared" si="3"/>
        <v>1.8476085630300771</v>
      </c>
    </row>
    <row r="121" spans="1:4">
      <c r="A121" s="4">
        <v>47178</v>
      </c>
      <c r="B121">
        <v>0.6999052132701421</v>
      </c>
      <c r="C121">
        <f t="shared" si="2"/>
        <v>1.0069990521327015</v>
      </c>
      <c r="D121">
        <f t="shared" si="3"/>
        <v>1.8605400716835503</v>
      </c>
    </row>
  </sheetData>
  <pageMargins left="0.511811024" right="0.511811024" top="0.78740157499999996" bottom="0.78740157499999996" header="0.31496062000000002" footer="0.31496062000000002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CC4F5-3324-4836-A202-FF45DEBFCC82}">
  <sheetPr codeName="Planilha35"/>
  <dimension ref="A1:I20"/>
  <sheetViews>
    <sheetView topLeftCell="A4" workbookViewId="0">
      <selection activeCell="C16" sqref="C16"/>
    </sheetView>
  </sheetViews>
  <sheetFormatPr defaultRowHeight="15"/>
  <cols>
    <col min="2" max="2" width="10.7109375" bestFit="1" customWidth="1"/>
    <col min="9" max="9" width="10.7109375" bestFit="1" customWidth="1"/>
  </cols>
  <sheetData>
    <row r="1" spans="1:9">
      <c r="A1">
        <f>126</f>
        <v>126</v>
      </c>
      <c r="B1" s="2">
        <v>45048</v>
      </c>
      <c r="C1" s="3">
        <v>7.391</v>
      </c>
      <c r="E1">
        <v>7.1909999999999998</v>
      </c>
      <c r="I1" s="2">
        <v>45048</v>
      </c>
    </row>
    <row r="2" spans="1:9">
      <c r="A2">
        <f>A1+126</f>
        <v>252</v>
      </c>
      <c r="B2" s="2">
        <v>45226</v>
      </c>
      <c r="C2" s="3">
        <v>6.7350000000000003</v>
      </c>
    </row>
    <row r="3" spans="1:9">
      <c r="A3">
        <f t="shared" ref="A3:A20" si="0">A2+126</f>
        <v>378</v>
      </c>
      <c r="B3" s="2">
        <v>45412</v>
      </c>
      <c r="C3" s="3">
        <v>6.2594000000000003</v>
      </c>
    </row>
    <row r="4" spans="1:9">
      <c r="A4">
        <f t="shared" si="0"/>
        <v>504</v>
      </c>
      <c r="B4" s="2">
        <v>45589</v>
      </c>
      <c r="C4" s="3">
        <v>5.9936999999999996</v>
      </c>
    </row>
    <row r="5" spans="1:9">
      <c r="A5">
        <f t="shared" si="0"/>
        <v>630</v>
      </c>
      <c r="B5" s="2">
        <v>45775</v>
      </c>
      <c r="C5" s="3">
        <v>5.8654000000000002</v>
      </c>
    </row>
    <row r="6" spans="1:9">
      <c r="A6">
        <f t="shared" si="0"/>
        <v>756</v>
      </c>
      <c r="B6" s="2">
        <v>45952</v>
      </c>
      <c r="C6" s="3">
        <v>5.8136000000000001</v>
      </c>
    </row>
    <row r="7" spans="1:9">
      <c r="A7">
        <f t="shared" si="0"/>
        <v>882</v>
      </c>
      <c r="B7" s="2">
        <v>46135</v>
      </c>
      <c r="C7" s="3">
        <v>5.8010999999999999</v>
      </c>
    </row>
    <row r="8" spans="1:9">
      <c r="A8">
        <f t="shared" si="0"/>
        <v>1008</v>
      </c>
      <c r="B8" s="2">
        <v>46316</v>
      </c>
      <c r="C8" s="3">
        <v>5.8075999999999999</v>
      </c>
    </row>
    <row r="9" spans="1:9">
      <c r="A9">
        <f t="shared" si="0"/>
        <v>1134</v>
      </c>
      <c r="B9" s="2">
        <v>46683</v>
      </c>
      <c r="C9" s="3">
        <v>5.8224</v>
      </c>
    </row>
    <row r="10" spans="1:9">
      <c r="A10">
        <f t="shared" si="0"/>
        <v>1260</v>
      </c>
      <c r="B10" s="2">
        <v>46680</v>
      </c>
      <c r="C10" s="3">
        <v>5.8404999999999996</v>
      </c>
    </row>
    <row r="11" spans="1:9">
      <c r="A11">
        <f t="shared" si="0"/>
        <v>1386</v>
      </c>
      <c r="B11" s="2">
        <v>46862</v>
      </c>
      <c r="C11" s="3">
        <v>5.8586999999999998</v>
      </c>
    </row>
    <row r="12" spans="1:9">
      <c r="A12">
        <f t="shared" si="0"/>
        <v>1512</v>
      </c>
      <c r="B12" s="2">
        <v>47044</v>
      </c>
      <c r="C12" s="3">
        <v>5.8762999999999996</v>
      </c>
    </row>
    <row r="13" spans="1:9">
      <c r="A13">
        <f t="shared" si="0"/>
        <v>1638</v>
      </c>
      <c r="B13" s="2">
        <v>47228</v>
      </c>
      <c r="C13" s="3">
        <v>5.8924000000000003</v>
      </c>
    </row>
    <row r="14" spans="1:9">
      <c r="A14">
        <f t="shared" si="0"/>
        <v>1764</v>
      </c>
      <c r="B14" s="2">
        <v>47409</v>
      </c>
      <c r="C14" s="3">
        <v>5.9071999999999996</v>
      </c>
    </row>
    <row r="15" spans="1:9">
      <c r="A15">
        <f t="shared" si="0"/>
        <v>1890</v>
      </c>
      <c r="B15" s="2">
        <v>47595</v>
      </c>
      <c r="C15" s="3">
        <v>5.9203000000000001</v>
      </c>
    </row>
    <row r="16" spans="1:9">
      <c r="A16">
        <f t="shared" si="0"/>
        <v>2016</v>
      </c>
      <c r="B16" s="2">
        <v>47772</v>
      </c>
      <c r="C16" s="3">
        <v>5.9321000000000002</v>
      </c>
    </row>
    <row r="17" spans="1:3">
      <c r="A17">
        <f t="shared" si="0"/>
        <v>2142</v>
      </c>
      <c r="B17" s="2">
        <v>47955</v>
      </c>
      <c r="C17" s="3">
        <v>5.9428000000000001</v>
      </c>
    </row>
    <row r="18" spans="1:3">
      <c r="A18">
        <f t="shared" si="0"/>
        <v>2268</v>
      </c>
      <c r="B18" s="2">
        <v>48135</v>
      </c>
      <c r="C18" s="3">
        <v>5.9524999999999997</v>
      </c>
    </row>
    <row r="19" spans="1:3">
      <c r="A19">
        <f t="shared" si="0"/>
        <v>2394</v>
      </c>
      <c r="B19" s="2">
        <v>48317</v>
      </c>
      <c r="C19" s="3">
        <v>5.9611000000000001</v>
      </c>
    </row>
    <row r="20" spans="1:3">
      <c r="A20">
        <f t="shared" si="0"/>
        <v>2520</v>
      </c>
      <c r="B20" s="2">
        <v>48495</v>
      </c>
      <c r="C20" s="3">
        <v>5.9690000000000003</v>
      </c>
    </row>
  </sheetData>
  <pageMargins left="0.511811024" right="0.511811024" top="0.78740157499999996" bottom="0.78740157499999996" header="0.31496062000000002" footer="0.31496062000000002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EC6A3-6D37-4D6F-B488-9949A9EE283A}">
  <sheetPr codeName="Planilha36"/>
  <dimension ref="A1:D86"/>
  <sheetViews>
    <sheetView workbookViewId="0">
      <selection activeCell="B19" sqref="B19"/>
    </sheetView>
  </sheetViews>
  <sheetFormatPr defaultRowHeight="15"/>
  <sheetData>
    <row r="1" spans="1:4">
      <c r="A1" t="s">
        <v>104</v>
      </c>
      <c r="B1" t="s">
        <v>105</v>
      </c>
      <c r="C1" t="s">
        <v>22</v>
      </c>
      <c r="D1" t="s">
        <v>8</v>
      </c>
    </row>
    <row r="2" spans="1:4">
      <c r="A2" s="4">
        <v>43009</v>
      </c>
      <c r="B2" t="s">
        <v>94</v>
      </c>
      <c r="C2">
        <f>1+B2/100</f>
        <v>1.0042</v>
      </c>
      <c r="D2">
        <f>1.0042</f>
        <v>1.0042</v>
      </c>
    </row>
    <row r="3" spans="1:4">
      <c r="A3" s="4">
        <v>43040</v>
      </c>
      <c r="B3" t="s">
        <v>95</v>
      </c>
      <c r="C3">
        <f t="shared" ref="C3:C66" si="0">1+B3/100</f>
        <v>1.0027999999999999</v>
      </c>
      <c r="D3">
        <f>C3*D2</f>
        <v>1.0070117599999999</v>
      </c>
    </row>
    <row r="4" spans="1:4">
      <c r="A4" s="4">
        <v>43070</v>
      </c>
      <c r="B4" t="s">
        <v>23</v>
      </c>
      <c r="C4">
        <f t="shared" si="0"/>
        <v>1.0044</v>
      </c>
      <c r="D4">
        <f t="shared" ref="D4:D67" si="1">C4*D3</f>
        <v>1.0114426117439999</v>
      </c>
    </row>
    <row r="5" spans="1:4">
      <c r="A5" s="4">
        <v>43101</v>
      </c>
      <c r="B5" t="s">
        <v>24</v>
      </c>
      <c r="C5">
        <f t="shared" si="0"/>
        <v>1.0028999999999999</v>
      </c>
      <c r="D5">
        <f t="shared" si="1"/>
        <v>1.0143757953180574</v>
      </c>
    </row>
    <row r="6" spans="1:4">
      <c r="A6" s="4">
        <v>43132</v>
      </c>
      <c r="B6" t="s">
        <v>25</v>
      </c>
      <c r="C6">
        <f t="shared" si="0"/>
        <v>1.0032000000000001</v>
      </c>
      <c r="D6">
        <f t="shared" si="1"/>
        <v>1.0176217978630753</v>
      </c>
    </row>
    <row r="7" spans="1:4">
      <c r="A7" s="4">
        <v>43160</v>
      </c>
      <c r="B7" t="s">
        <v>26</v>
      </c>
      <c r="C7">
        <f t="shared" si="0"/>
        <v>1.0008999999999999</v>
      </c>
      <c r="D7">
        <f t="shared" si="1"/>
        <v>1.018537657481152</v>
      </c>
    </row>
    <row r="8" spans="1:4">
      <c r="A8" s="4">
        <v>43191</v>
      </c>
      <c r="B8" t="s">
        <v>27</v>
      </c>
      <c r="C8">
        <f t="shared" si="0"/>
        <v>1.0022</v>
      </c>
      <c r="D8">
        <f t="shared" si="1"/>
        <v>1.0207784403276106</v>
      </c>
    </row>
    <row r="9" spans="1:4">
      <c r="A9" s="4">
        <v>43221</v>
      </c>
      <c r="B9" t="s">
        <v>28</v>
      </c>
      <c r="C9">
        <f t="shared" si="0"/>
        <v>1.004</v>
      </c>
      <c r="D9">
        <f t="shared" si="1"/>
        <v>1.024861554088921</v>
      </c>
    </row>
    <row r="10" spans="1:4">
      <c r="A10" s="4">
        <v>43252</v>
      </c>
      <c r="B10" t="s">
        <v>29</v>
      </c>
      <c r="C10">
        <f t="shared" si="0"/>
        <v>1.0125999999999999</v>
      </c>
      <c r="D10">
        <f t="shared" si="1"/>
        <v>1.0377748096704413</v>
      </c>
    </row>
    <row r="11" spans="1:4">
      <c r="A11" s="4">
        <v>43282</v>
      </c>
      <c r="B11" t="s">
        <v>30</v>
      </c>
      <c r="C11">
        <f t="shared" si="0"/>
        <v>1.0033000000000001</v>
      </c>
      <c r="D11">
        <f t="shared" si="1"/>
        <v>1.0411994665423538</v>
      </c>
    </row>
    <row r="12" spans="1:4">
      <c r="A12" s="4">
        <v>43313</v>
      </c>
      <c r="B12" t="s">
        <v>31</v>
      </c>
      <c r="C12">
        <f t="shared" si="0"/>
        <v>0.99909999999999999</v>
      </c>
      <c r="D12">
        <f t="shared" si="1"/>
        <v>1.0402623870224657</v>
      </c>
    </row>
    <row r="13" spans="1:4">
      <c r="A13" s="4">
        <v>43344</v>
      </c>
      <c r="B13" t="s">
        <v>32</v>
      </c>
      <c r="C13">
        <f t="shared" si="0"/>
        <v>1.0047999999999999</v>
      </c>
      <c r="D13">
        <f t="shared" si="1"/>
        <v>1.0452556464801734</v>
      </c>
    </row>
    <row r="14" spans="1:4">
      <c r="A14" s="4">
        <v>43374</v>
      </c>
      <c r="B14" t="s">
        <v>33</v>
      </c>
      <c r="C14">
        <f t="shared" si="0"/>
        <v>1.0044999999999999</v>
      </c>
      <c r="D14">
        <f t="shared" si="1"/>
        <v>1.0499592968893341</v>
      </c>
    </row>
    <row r="15" spans="1:4">
      <c r="A15" s="4">
        <v>43405</v>
      </c>
      <c r="B15" t="s">
        <v>34</v>
      </c>
      <c r="C15">
        <f t="shared" si="0"/>
        <v>0.99790000000000001</v>
      </c>
      <c r="D15">
        <f t="shared" si="1"/>
        <v>1.0477543823658666</v>
      </c>
    </row>
    <row r="16" spans="1:4">
      <c r="A16" s="4">
        <v>43435</v>
      </c>
      <c r="B16" t="s">
        <v>35</v>
      </c>
      <c r="C16">
        <f t="shared" si="0"/>
        <v>1.0015000000000001</v>
      </c>
      <c r="D16">
        <f t="shared" si="1"/>
        <v>1.0493260139394154</v>
      </c>
    </row>
    <row r="17" spans="1:4">
      <c r="A17" s="4">
        <v>43466</v>
      </c>
      <c r="B17" t="s">
        <v>25</v>
      </c>
      <c r="C17">
        <f t="shared" si="0"/>
        <v>1.0032000000000001</v>
      </c>
      <c r="D17">
        <f t="shared" si="1"/>
        <v>1.0526838571840216</v>
      </c>
    </row>
    <row r="18" spans="1:4">
      <c r="A18" s="4">
        <v>43497</v>
      </c>
      <c r="B18" t="s">
        <v>36</v>
      </c>
      <c r="C18">
        <f t="shared" si="0"/>
        <v>1.0043</v>
      </c>
      <c r="D18">
        <f t="shared" si="1"/>
        <v>1.0572103977699128</v>
      </c>
    </row>
    <row r="19" spans="1:4">
      <c r="A19" s="4">
        <v>43525</v>
      </c>
      <c r="B19" t="s">
        <v>37</v>
      </c>
      <c r="C19">
        <f t="shared" si="0"/>
        <v>1.0075000000000001</v>
      </c>
      <c r="D19">
        <f t="shared" si="1"/>
        <v>1.0651394757531871</v>
      </c>
    </row>
    <row r="20" spans="1:4">
      <c r="A20" s="4">
        <v>43556</v>
      </c>
      <c r="B20" t="s">
        <v>38</v>
      </c>
      <c r="C20">
        <f t="shared" si="0"/>
        <v>1.0057</v>
      </c>
      <c r="D20">
        <f t="shared" si="1"/>
        <v>1.0712107707649803</v>
      </c>
    </row>
    <row r="21" spans="1:4">
      <c r="A21" s="4">
        <v>43586</v>
      </c>
      <c r="B21" t="s">
        <v>39</v>
      </c>
      <c r="C21">
        <f t="shared" si="0"/>
        <v>1.0013000000000001</v>
      </c>
      <c r="D21">
        <f t="shared" si="1"/>
        <v>1.0726033447669749</v>
      </c>
    </row>
    <row r="22" spans="1:4">
      <c r="A22" s="4">
        <v>43617</v>
      </c>
      <c r="B22" t="s">
        <v>40</v>
      </c>
      <c r="C22">
        <f t="shared" si="0"/>
        <v>1.0001</v>
      </c>
      <c r="D22">
        <f t="shared" si="1"/>
        <v>1.0727106051014517</v>
      </c>
    </row>
    <row r="23" spans="1:4">
      <c r="A23" s="4">
        <v>43647</v>
      </c>
      <c r="B23" t="s">
        <v>41</v>
      </c>
      <c r="C23">
        <f t="shared" si="0"/>
        <v>1.0019</v>
      </c>
      <c r="D23">
        <f t="shared" si="1"/>
        <v>1.0747487552511443</v>
      </c>
    </row>
    <row r="24" spans="1:4">
      <c r="A24" s="4">
        <v>43678</v>
      </c>
      <c r="B24" t="s">
        <v>42</v>
      </c>
      <c r="C24">
        <f t="shared" si="0"/>
        <v>1.0011000000000001</v>
      </c>
      <c r="D24">
        <f t="shared" si="1"/>
        <v>1.0759309788819207</v>
      </c>
    </row>
    <row r="25" spans="1:4">
      <c r="A25" s="4">
        <v>43709</v>
      </c>
      <c r="B25" t="s">
        <v>43</v>
      </c>
      <c r="C25">
        <f t="shared" si="0"/>
        <v>0.99960000000000004</v>
      </c>
      <c r="D25">
        <f t="shared" si="1"/>
        <v>1.075500606490368</v>
      </c>
    </row>
    <row r="26" spans="1:4">
      <c r="A26" s="4">
        <v>43739</v>
      </c>
      <c r="B26" t="s">
        <v>44</v>
      </c>
      <c r="C26">
        <f t="shared" si="0"/>
        <v>1.0009999999999999</v>
      </c>
      <c r="D26">
        <f t="shared" si="1"/>
        <v>1.0765761070968582</v>
      </c>
    </row>
    <row r="27" spans="1:4">
      <c r="A27" s="4">
        <v>43770</v>
      </c>
      <c r="B27" t="s">
        <v>45</v>
      </c>
      <c r="C27">
        <f t="shared" si="0"/>
        <v>1.0051000000000001</v>
      </c>
      <c r="D27">
        <f t="shared" si="1"/>
        <v>1.0820666452430523</v>
      </c>
    </row>
    <row r="28" spans="1:4">
      <c r="A28" s="4">
        <v>43800</v>
      </c>
      <c r="B28" t="s">
        <v>46</v>
      </c>
      <c r="C28">
        <f t="shared" si="0"/>
        <v>1.0115000000000001</v>
      </c>
      <c r="D28">
        <f t="shared" si="1"/>
        <v>1.0945104116633475</v>
      </c>
    </row>
    <row r="29" spans="1:4">
      <c r="A29" s="4">
        <v>43831</v>
      </c>
      <c r="B29" t="s">
        <v>47</v>
      </c>
      <c r="C29">
        <f t="shared" si="0"/>
        <v>1.0021</v>
      </c>
      <c r="D29">
        <f t="shared" si="1"/>
        <v>1.0968088835278405</v>
      </c>
    </row>
    <row r="30" spans="1:4">
      <c r="A30" s="4">
        <v>43862</v>
      </c>
      <c r="B30" t="s">
        <v>48</v>
      </c>
      <c r="C30">
        <f t="shared" si="0"/>
        <v>1.0024999999999999</v>
      </c>
      <c r="D30">
        <f t="shared" si="1"/>
        <v>1.0995509057366599</v>
      </c>
    </row>
    <row r="31" spans="1:4">
      <c r="A31" s="4">
        <v>43891</v>
      </c>
      <c r="B31" t="s">
        <v>49</v>
      </c>
      <c r="C31">
        <f t="shared" si="0"/>
        <v>1.0006999999999999</v>
      </c>
      <c r="D31">
        <f t="shared" si="1"/>
        <v>1.1003205913706755</v>
      </c>
    </row>
    <row r="32" spans="1:4">
      <c r="A32" s="4">
        <v>43922</v>
      </c>
      <c r="B32" t="s">
        <v>50</v>
      </c>
      <c r="C32">
        <f t="shared" si="0"/>
        <v>0.99690000000000001</v>
      </c>
      <c r="D32">
        <f t="shared" si="1"/>
        <v>1.0969095975374263</v>
      </c>
    </row>
    <row r="33" spans="1:4">
      <c r="A33" s="4">
        <v>43952</v>
      </c>
      <c r="B33" t="s">
        <v>51</v>
      </c>
      <c r="C33">
        <f t="shared" si="0"/>
        <v>0.99619999999999997</v>
      </c>
      <c r="D33">
        <f t="shared" si="1"/>
        <v>1.0927413410667841</v>
      </c>
    </row>
    <row r="34" spans="1:4">
      <c r="A34" s="4">
        <v>43983</v>
      </c>
      <c r="B34" t="s">
        <v>52</v>
      </c>
      <c r="C34">
        <f t="shared" si="0"/>
        <v>1.0025999999999999</v>
      </c>
      <c r="D34">
        <f t="shared" si="1"/>
        <v>1.0955824685535578</v>
      </c>
    </row>
    <row r="35" spans="1:4">
      <c r="A35" s="4">
        <v>44013</v>
      </c>
      <c r="B35" t="s">
        <v>53</v>
      </c>
      <c r="C35">
        <f t="shared" si="0"/>
        <v>1.0036</v>
      </c>
      <c r="D35">
        <f t="shared" si="1"/>
        <v>1.0995265654403505</v>
      </c>
    </row>
    <row r="36" spans="1:4">
      <c r="A36" s="4">
        <v>44044</v>
      </c>
      <c r="B36" t="s">
        <v>54</v>
      </c>
      <c r="C36">
        <f t="shared" si="0"/>
        <v>1.0024</v>
      </c>
      <c r="D36">
        <f t="shared" si="1"/>
        <v>1.1021654291974072</v>
      </c>
    </row>
    <row r="37" spans="1:4">
      <c r="A37" s="4">
        <v>44075</v>
      </c>
      <c r="B37" t="s">
        <v>55</v>
      </c>
      <c r="C37">
        <f t="shared" si="0"/>
        <v>1.0064</v>
      </c>
      <c r="D37">
        <f t="shared" si="1"/>
        <v>1.1092192879442706</v>
      </c>
    </row>
    <row r="38" spans="1:4">
      <c r="A38" s="4">
        <v>44105</v>
      </c>
      <c r="B38" t="s">
        <v>56</v>
      </c>
      <c r="C38">
        <f t="shared" si="0"/>
        <v>1.0085999999999999</v>
      </c>
      <c r="D38">
        <f t="shared" si="1"/>
        <v>1.1187585738205912</v>
      </c>
    </row>
    <row r="39" spans="1:4">
      <c r="A39" s="4">
        <v>44136</v>
      </c>
      <c r="B39" t="s">
        <v>57</v>
      </c>
      <c r="C39">
        <f t="shared" si="0"/>
        <v>1.0088999999999999</v>
      </c>
      <c r="D39">
        <f t="shared" si="1"/>
        <v>1.1287155251275944</v>
      </c>
    </row>
    <row r="40" spans="1:4">
      <c r="A40" s="4">
        <v>44166</v>
      </c>
      <c r="B40" t="s">
        <v>58</v>
      </c>
      <c r="C40">
        <f t="shared" si="0"/>
        <v>1.0135000000000001</v>
      </c>
      <c r="D40">
        <f t="shared" si="1"/>
        <v>1.143953184716817</v>
      </c>
    </row>
    <row r="41" spans="1:4">
      <c r="A41" s="4">
        <v>44197</v>
      </c>
      <c r="B41" t="s">
        <v>48</v>
      </c>
      <c r="C41">
        <f t="shared" si="0"/>
        <v>1.0024999999999999</v>
      </c>
      <c r="D41">
        <f t="shared" si="1"/>
        <v>1.146813067678609</v>
      </c>
    </row>
    <row r="42" spans="1:4">
      <c r="A42" s="4">
        <v>44228</v>
      </c>
      <c r="B42" t="s">
        <v>56</v>
      </c>
      <c r="C42">
        <f t="shared" si="0"/>
        <v>1.0085999999999999</v>
      </c>
      <c r="D42">
        <f t="shared" si="1"/>
        <v>1.1566756600606449</v>
      </c>
    </row>
    <row r="43" spans="1:4">
      <c r="A43" s="4">
        <v>44256</v>
      </c>
      <c r="B43" t="s">
        <v>59</v>
      </c>
      <c r="C43">
        <f t="shared" si="0"/>
        <v>1.0093000000000001</v>
      </c>
      <c r="D43">
        <f t="shared" si="1"/>
        <v>1.1674327436992091</v>
      </c>
    </row>
    <row r="44" spans="1:4">
      <c r="A44" s="4">
        <v>44287</v>
      </c>
      <c r="B44" t="s">
        <v>60</v>
      </c>
      <c r="C44">
        <f t="shared" si="0"/>
        <v>1.0031000000000001</v>
      </c>
      <c r="D44">
        <f t="shared" si="1"/>
        <v>1.1710517852046769</v>
      </c>
    </row>
    <row r="45" spans="1:4">
      <c r="A45" s="4">
        <v>44317</v>
      </c>
      <c r="B45" t="s">
        <v>61</v>
      </c>
      <c r="C45">
        <f t="shared" si="0"/>
        <v>1.0083</v>
      </c>
      <c r="D45">
        <f t="shared" si="1"/>
        <v>1.1807715150218756</v>
      </c>
    </row>
    <row r="46" spans="1:4">
      <c r="A46" s="4">
        <v>44348</v>
      </c>
      <c r="B46" t="s">
        <v>62</v>
      </c>
      <c r="C46">
        <f t="shared" si="0"/>
        <v>1.0053000000000001</v>
      </c>
      <c r="D46">
        <f t="shared" si="1"/>
        <v>1.1870296040514916</v>
      </c>
    </row>
    <row r="47" spans="1:4">
      <c r="A47" s="4">
        <v>44378</v>
      </c>
      <c r="B47" t="s">
        <v>63</v>
      </c>
      <c r="C47">
        <f t="shared" si="0"/>
        <v>1.0096000000000001</v>
      </c>
      <c r="D47">
        <f t="shared" si="1"/>
        <v>1.198425088250386</v>
      </c>
    </row>
    <row r="48" spans="1:4">
      <c r="A48" s="4">
        <v>44409</v>
      </c>
      <c r="B48" t="s">
        <v>64</v>
      </c>
      <c r="C48">
        <f t="shared" si="0"/>
        <v>1.0086999999999999</v>
      </c>
      <c r="D48">
        <f t="shared" si="1"/>
        <v>1.2088513865181643</v>
      </c>
    </row>
    <row r="49" spans="1:4">
      <c r="A49" s="4">
        <v>44440</v>
      </c>
      <c r="B49" t="s">
        <v>65</v>
      </c>
      <c r="C49">
        <f t="shared" si="0"/>
        <v>1.0116000000000001</v>
      </c>
      <c r="D49">
        <f t="shared" si="1"/>
        <v>1.2228740626017751</v>
      </c>
    </row>
    <row r="50" spans="1:4">
      <c r="A50" s="4">
        <v>44470</v>
      </c>
      <c r="B50" t="s">
        <v>66</v>
      </c>
      <c r="C50">
        <f t="shared" si="0"/>
        <v>1.0125</v>
      </c>
      <c r="D50">
        <f t="shared" si="1"/>
        <v>1.2381599883842973</v>
      </c>
    </row>
    <row r="51" spans="1:4">
      <c r="A51" s="4">
        <v>44501</v>
      </c>
      <c r="B51" t="s">
        <v>67</v>
      </c>
      <c r="C51">
        <f t="shared" si="0"/>
        <v>1.0095000000000001</v>
      </c>
      <c r="D51">
        <f t="shared" si="1"/>
        <v>1.2499225082739482</v>
      </c>
    </row>
    <row r="52" spans="1:4">
      <c r="A52" s="4">
        <v>44531</v>
      </c>
      <c r="B52" t="s">
        <v>68</v>
      </c>
      <c r="C52">
        <f t="shared" si="0"/>
        <v>1.0073000000000001</v>
      </c>
      <c r="D52">
        <f t="shared" si="1"/>
        <v>1.2590469425843482</v>
      </c>
    </row>
    <row r="53" spans="1:4">
      <c r="A53" s="4">
        <v>44562</v>
      </c>
      <c r="B53" t="s">
        <v>69</v>
      </c>
      <c r="C53">
        <f t="shared" si="0"/>
        <v>1.0054000000000001</v>
      </c>
      <c r="D53">
        <f t="shared" si="1"/>
        <v>1.2658457960743039</v>
      </c>
    </row>
    <row r="54" spans="1:4">
      <c r="A54" s="4">
        <v>44593</v>
      </c>
      <c r="B54" t="s">
        <v>70</v>
      </c>
      <c r="C54">
        <f t="shared" si="0"/>
        <v>1.0101</v>
      </c>
      <c r="D54">
        <f t="shared" si="1"/>
        <v>1.2786308386146543</v>
      </c>
    </row>
    <row r="55" spans="1:4">
      <c r="A55" s="4">
        <v>44621</v>
      </c>
      <c r="B55" t="s">
        <v>71</v>
      </c>
      <c r="C55">
        <f t="shared" si="0"/>
        <v>1.0162</v>
      </c>
      <c r="D55">
        <f t="shared" si="1"/>
        <v>1.2993446582002117</v>
      </c>
    </row>
    <row r="56" spans="1:4">
      <c r="A56" s="4">
        <v>44652</v>
      </c>
      <c r="B56" t="s">
        <v>72</v>
      </c>
      <c r="C56">
        <f t="shared" si="0"/>
        <v>1.0105999999999999</v>
      </c>
      <c r="D56">
        <f t="shared" si="1"/>
        <v>1.313117711577134</v>
      </c>
    </row>
    <row r="57" spans="1:4">
      <c r="A57" s="4">
        <v>44682</v>
      </c>
      <c r="B57" t="s">
        <v>73</v>
      </c>
      <c r="C57">
        <f t="shared" si="0"/>
        <v>1.0046999999999999</v>
      </c>
      <c r="D57">
        <f t="shared" si="1"/>
        <v>1.3192893648215465</v>
      </c>
    </row>
    <row r="58" spans="1:4">
      <c r="A58" s="4">
        <v>44713</v>
      </c>
      <c r="B58" t="s">
        <v>74</v>
      </c>
      <c r="C58">
        <f t="shared" si="0"/>
        <v>1.0066999999999999</v>
      </c>
      <c r="D58">
        <f t="shared" si="1"/>
        <v>1.3281286035658508</v>
      </c>
    </row>
    <row r="59" spans="1:4">
      <c r="A59" s="4">
        <v>44743</v>
      </c>
      <c r="B59" t="s">
        <v>75</v>
      </c>
      <c r="C59">
        <f t="shared" si="0"/>
        <v>0.99319999999999997</v>
      </c>
      <c r="D59">
        <f t="shared" si="1"/>
        <v>1.319097329061603</v>
      </c>
    </row>
    <row r="60" spans="1:4">
      <c r="A60" s="4">
        <v>44774</v>
      </c>
      <c r="B60" t="s">
        <v>76</v>
      </c>
      <c r="C60">
        <f t="shared" si="0"/>
        <v>0.99639999999999995</v>
      </c>
      <c r="D60">
        <f t="shared" si="1"/>
        <v>1.3143485786769813</v>
      </c>
    </row>
    <row r="61" spans="1:4">
      <c r="A61" s="4">
        <v>44805</v>
      </c>
      <c r="B61" t="s">
        <v>77</v>
      </c>
      <c r="C61">
        <f t="shared" si="0"/>
        <v>0.99709999999999999</v>
      </c>
      <c r="D61">
        <f t="shared" si="1"/>
        <v>1.3105369677988181</v>
      </c>
    </row>
    <row r="62" spans="1:4">
      <c r="A62" s="4">
        <v>44835</v>
      </c>
      <c r="B62">
        <v>0.33</v>
      </c>
      <c r="C62">
        <f t="shared" si="0"/>
        <v>1.0033000000000001</v>
      </c>
      <c r="D62">
        <f t="shared" si="1"/>
        <v>1.3148617397925544</v>
      </c>
    </row>
    <row r="63" spans="1:4">
      <c r="A63" s="4">
        <v>44866</v>
      </c>
      <c r="B63">
        <v>0.94638500140897963</v>
      </c>
      <c r="C63">
        <f t="shared" si="0"/>
        <v>1.0094638500140898</v>
      </c>
      <c r="D63">
        <f t="shared" si="1"/>
        <v>1.3273053940872164</v>
      </c>
    </row>
    <row r="64" spans="1:4">
      <c r="A64" s="4">
        <v>44896</v>
      </c>
      <c r="B64">
        <v>1.9531775560993834</v>
      </c>
      <c r="C64">
        <f t="shared" si="0"/>
        <v>1.0195317755609938</v>
      </c>
      <c r="D64">
        <f t="shared" si="1"/>
        <v>1.3532300251454243</v>
      </c>
    </row>
    <row r="65" spans="1:4">
      <c r="A65" s="4">
        <v>44927</v>
      </c>
      <c r="B65">
        <v>0.84570574593993919</v>
      </c>
      <c r="C65">
        <f t="shared" si="0"/>
        <v>1.0084570574593994</v>
      </c>
      <c r="D65">
        <f t="shared" si="1"/>
        <v>1.3646743692238636</v>
      </c>
    </row>
    <row r="66" spans="1:4">
      <c r="A66" s="4">
        <v>44958</v>
      </c>
      <c r="B66">
        <v>0.66448308609566664</v>
      </c>
      <c r="C66">
        <f t="shared" si="0"/>
        <v>1.0066448308609566</v>
      </c>
      <c r="D66">
        <f t="shared" si="1"/>
        <v>1.3737423995876388</v>
      </c>
    </row>
    <row r="67" spans="1:4">
      <c r="A67" s="4">
        <v>44986</v>
      </c>
      <c r="B67">
        <v>1.006792554690404</v>
      </c>
      <c r="C67">
        <f t="shared" ref="C67:C86" si="2">1+B67/100</f>
        <v>1.0100679255469041</v>
      </c>
      <c r="D67">
        <f t="shared" si="1"/>
        <v>1.3875731357873125</v>
      </c>
    </row>
    <row r="68" spans="1:4">
      <c r="A68" s="4">
        <v>45017</v>
      </c>
      <c r="B68">
        <v>1.1276076612532524</v>
      </c>
      <c r="C68">
        <f t="shared" si="2"/>
        <v>1.0112760766125326</v>
      </c>
      <c r="D68">
        <f t="shared" ref="D68:D86" si="3">C68*D67</f>
        <v>1.4032195167719423</v>
      </c>
    </row>
    <row r="69" spans="1:4">
      <c r="A69" s="4">
        <v>45047</v>
      </c>
      <c r="B69">
        <v>0.41494999999999999</v>
      </c>
      <c r="C69">
        <f t="shared" si="2"/>
        <v>1.0041495</v>
      </c>
      <c r="D69">
        <f t="shared" si="3"/>
        <v>1.4090421761567875</v>
      </c>
    </row>
    <row r="70" spans="1:4">
      <c r="A70" s="4">
        <v>45078</v>
      </c>
      <c r="B70">
        <v>0.38303300000000001</v>
      </c>
      <c r="C70">
        <f t="shared" si="2"/>
        <v>1.00383033</v>
      </c>
      <c r="D70">
        <f t="shared" si="3"/>
        <v>1.4144392726753861</v>
      </c>
    </row>
    <row r="71" spans="1:4">
      <c r="A71" s="4">
        <v>45108</v>
      </c>
      <c r="B71">
        <v>0.35111999999999999</v>
      </c>
      <c r="C71">
        <f t="shared" si="2"/>
        <v>1.0035111999999999</v>
      </c>
      <c r="D71">
        <f t="shared" si="3"/>
        <v>1.4194056518496039</v>
      </c>
    </row>
    <row r="72" spans="1:4">
      <c r="A72" s="4">
        <v>45139</v>
      </c>
      <c r="B72">
        <v>0.17555687203791467</v>
      </c>
      <c r="C72">
        <f t="shared" si="2"/>
        <v>1.0017555687203792</v>
      </c>
      <c r="D72">
        <f t="shared" si="3"/>
        <v>1.4218975160135205</v>
      </c>
    </row>
    <row r="73" spans="1:4">
      <c r="A73" s="4">
        <v>45170</v>
      </c>
      <c r="B73">
        <v>9.5758293838862543E-2</v>
      </c>
      <c r="C73">
        <f t="shared" si="2"/>
        <v>1.0009575829383885</v>
      </c>
      <c r="D73">
        <f t="shared" si="3"/>
        <v>1.4232591008149922</v>
      </c>
    </row>
    <row r="74" spans="1:4">
      <c r="A74" s="4">
        <v>45200</v>
      </c>
      <c r="B74">
        <v>0.12767772511848341</v>
      </c>
      <c r="C74">
        <f t="shared" si="2"/>
        <v>1.0012767772511848</v>
      </c>
      <c r="D74">
        <f t="shared" si="3"/>
        <v>1.4250762856574546</v>
      </c>
    </row>
    <row r="75" spans="1:4">
      <c r="A75" s="4">
        <v>45231</v>
      </c>
      <c r="B75">
        <v>0.66754478672985762</v>
      </c>
      <c r="C75">
        <f t="shared" si="2"/>
        <v>1.0066754478672986</v>
      </c>
      <c r="D75">
        <f t="shared" si="3"/>
        <v>1.4345893081092844</v>
      </c>
    </row>
    <row r="76" spans="1:4">
      <c r="A76" s="4">
        <v>45261</v>
      </c>
      <c r="B76">
        <v>1.3776988151658764</v>
      </c>
      <c r="C76">
        <f t="shared" si="2"/>
        <v>1.0137769881516587</v>
      </c>
      <c r="D76">
        <f t="shared" si="3"/>
        <v>1.4543536280096023</v>
      </c>
    </row>
    <row r="77" spans="1:4">
      <c r="A77" s="4">
        <v>45292</v>
      </c>
      <c r="B77">
        <v>0.59652938388625576</v>
      </c>
      <c r="C77">
        <f t="shared" si="2"/>
        <v>1.0059652938388626</v>
      </c>
      <c r="D77">
        <f t="shared" si="3"/>
        <v>1.4630292747462954</v>
      </c>
    </row>
    <row r="78" spans="1:4">
      <c r="A78" s="4">
        <v>45323</v>
      </c>
      <c r="B78">
        <v>0.46870165876777242</v>
      </c>
      <c r="C78">
        <f t="shared" si="2"/>
        <v>1.0046870165876778</v>
      </c>
      <c r="D78">
        <f t="shared" si="3"/>
        <v>1.4698865172252895</v>
      </c>
    </row>
    <row r="79" spans="1:4">
      <c r="A79" s="4">
        <v>45352</v>
      </c>
      <c r="B79">
        <v>0.71015402843601882</v>
      </c>
      <c r="C79">
        <f t="shared" si="2"/>
        <v>1.0071015402843602</v>
      </c>
      <c r="D79">
        <f t="shared" si="3"/>
        <v>1.4803249755408028</v>
      </c>
    </row>
    <row r="80" spans="1:4">
      <c r="A80" s="4">
        <v>45383</v>
      </c>
      <c r="B80">
        <v>0.79537251184834112</v>
      </c>
      <c r="C80">
        <f t="shared" si="2"/>
        <v>1.0079537251184834</v>
      </c>
      <c r="D80">
        <f t="shared" si="3"/>
        <v>1.4920990734822799</v>
      </c>
    </row>
    <row r="81" spans="1:4">
      <c r="A81" s="4">
        <v>45413</v>
      </c>
      <c r="B81">
        <v>0.3692800947867298</v>
      </c>
      <c r="C81">
        <f t="shared" si="2"/>
        <v>1.0036928009478674</v>
      </c>
      <c r="D81">
        <f t="shared" si="3"/>
        <v>1.4976090983551473</v>
      </c>
    </row>
    <row r="82" spans="1:4">
      <c r="A82" s="4">
        <v>45444</v>
      </c>
      <c r="B82">
        <v>0.34087393364928903</v>
      </c>
      <c r="C82">
        <f t="shared" si="2"/>
        <v>1.003408739336493</v>
      </c>
      <c r="D82">
        <f t="shared" si="3"/>
        <v>1.5027140573994002</v>
      </c>
    </row>
    <row r="83" spans="1:4">
      <c r="A83" s="4">
        <v>45474</v>
      </c>
      <c r="B83">
        <v>0.31246777251184826</v>
      </c>
      <c r="C83">
        <f t="shared" si="2"/>
        <v>1.0031246777251184</v>
      </c>
      <c r="D83">
        <f t="shared" si="3"/>
        <v>1.5074095545417785</v>
      </c>
    </row>
    <row r="84" spans="1:4">
      <c r="A84" s="4">
        <v>45505</v>
      </c>
      <c r="B84">
        <v>0.15623388625592413</v>
      </c>
      <c r="C84">
        <f t="shared" si="2"/>
        <v>1.0015623388625592</v>
      </c>
      <c r="D84">
        <f t="shared" si="3"/>
        <v>1.5097646390706321</v>
      </c>
    </row>
    <row r="85" spans="1:4">
      <c r="A85" s="4">
        <v>45536</v>
      </c>
      <c r="B85">
        <v>8.5218483412322257E-2</v>
      </c>
      <c r="C85">
        <f t="shared" si="2"/>
        <v>1.0008521848341232</v>
      </c>
      <c r="D85">
        <f t="shared" si="3"/>
        <v>1.5110512375991436</v>
      </c>
    </row>
    <row r="86" spans="1:4">
      <c r="A86" s="4">
        <v>45566</v>
      </c>
      <c r="B86">
        <v>0.11362464454976301</v>
      </c>
      <c r="C86">
        <f t="shared" si="2"/>
        <v>1.0011362464454976</v>
      </c>
      <c r="D86">
        <f t="shared" si="3"/>
        <v>1.5127681641968305</v>
      </c>
    </row>
  </sheetData>
  <pageMargins left="0.511811024" right="0.511811024" top="0.78740157499999996" bottom="0.78740157499999996" header="0.31496062000000002" footer="0.31496062000000002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CC50D-68FB-4724-905E-5F84E512184F}">
  <sheetPr codeName="Planilha37"/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FF210-9E37-4782-A534-7348C02038F4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72096-AC18-4747-92B4-8D93F0C5106A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163</vt:i4>
      </vt:variant>
    </vt:vector>
  </HeadingPairs>
  <TitlesOfParts>
    <vt:vector size="163" baseType="lpstr">
      <vt:lpstr>OMNG12</vt:lpstr>
      <vt:lpstr>CEAR25</vt:lpstr>
      <vt:lpstr>PALF38</vt:lpstr>
      <vt:lpstr>TAES14</vt:lpstr>
      <vt:lpstr>TIET39</vt:lpstr>
      <vt:lpstr>CMGD17</vt:lpstr>
      <vt:lpstr>CMGD27</vt:lpstr>
      <vt:lpstr>ELET22</vt:lpstr>
      <vt:lpstr>PALF10</vt:lpstr>
      <vt:lpstr>TIET19</vt:lpstr>
      <vt:lpstr>TAEE26</vt:lpstr>
      <vt:lpstr>CEEBA2</vt:lpstr>
      <vt:lpstr>CEMTA1</vt:lpstr>
      <vt:lpstr>CEPE10</vt:lpstr>
      <vt:lpstr>CEPE20</vt:lpstr>
      <vt:lpstr>COCE27</vt:lpstr>
      <vt:lpstr>CPGT26</vt:lpstr>
      <vt:lpstr>CSRN19</vt:lpstr>
      <vt:lpstr>CSRN39</vt:lpstr>
      <vt:lpstr>CTNS15</vt:lpstr>
      <vt:lpstr>CTNS25</vt:lpstr>
      <vt:lpstr>EBENA0</vt:lpstr>
      <vt:lpstr>EGIE49</vt:lpstr>
      <vt:lpstr>ESCE18</vt:lpstr>
      <vt:lpstr>ESULA2</vt:lpstr>
      <vt:lpstr>MSGT12</vt:lpstr>
      <vt:lpstr>OMGE11</vt:lpstr>
      <vt:lpstr>OMGE21</vt:lpstr>
      <vt:lpstr>OMGE31</vt:lpstr>
      <vt:lpstr>OMGE41</vt:lpstr>
      <vt:lpstr>PPTE11</vt:lpstr>
      <vt:lpstr>ETSP12</vt:lpstr>
      <vt:lpstr>TBGE11</vt:lpstr>
      <vt:lpstr>VDBF12</vt:lpstr>
      <vt:lpstr>NEOE16</vt:lpstr>
      <vt:lpstr>CPGT16</vt:lpstr>
      <vt:lpstr>CPRE29</vt:lpstr>
      <vt:lpstr>EGIE19</vt:lpstr>
      <vt:lpstr>EGIE29</vt:lpstr>
      <vt:lpstr>ELET32</vt:lpstr>
      <vt:lpstr>ELET42</vt:lpstr>
      <vt:lpstr>ELPLB4</vt:lpstr>
      <vt:lpstr>ENGIA1</vt:lpstr>
      <vt:lpstr>LIGHB6</vt:lpstr>
      <vt:lpstr>MGSP12</vt:lpstr>
      <vt:lpstr>TAEE16</vt:lpstr>
      <vt:lpstr>TAEE17</vt:lpstr>
      <vt:lpstr>TIET29</vt:lpstr>
      <vt:lpstr>NEOE26</vt:lpstr>
      <vt:lpstr>CEEBB2</vt:lpstr>
      <vt:lpstr>COCE17</vt:lpstr>
      <vt:lpstr>CRSN39</vt:lpstr>
      <vt:lpstr>CUTI11</vt:lpstr>
      <vt:lpstr>EGIE39</vt:lpstr>
      <vt:lpstr>TAEE18</vt:lpstr>
      <vt:lpstr>CPLD25</vt:lpstr>
      <vt:lpstr>CTEE18</vt:lpstr>
      <vt:lpstr>EGVG21</vt:lpstr>
      <vt:lpstr>ENEV16</vt:lpstr>
      <vt:lpstr>ENGIB4</vt:lpstr>
      <vt:lpstr>ENMTA2</vt:lpstr>
      <vt:lpstr>LIGHA9</vt:lpstr>
      <vt:lpstr>LTTE15</vt:lpstr>
      <vt:lpstr>UTPS21</vt:lpstr>
      <vt:lpstr>UTPS22</vt:lpstr>
      <vt:lpstr>OMGE13</vt:lpstr>
      <vt:lpstr>CLCD14</vt:lpstr>
      <vt:lpstr>ELET13</vt:lpstr>
      <vt:lpstr>ELET23</vt:lpstr>
      <vt:lpstr>ELPLA5</vt:lpstr>
      <vt:lpstr>EQUA11</vt:lpstr>
      <vt:lpstr>LIGHD2</vt:lpstr>
      <vt:lpstr>MANT12</vt:lpstr>
      <vt:lpstr>RIPR22</vt:lpstr>
      <vt:lpstr>TAEEA1</vt:lpstr>
      <vt:lpstr>XNGU17</vt:lpstr>
      <vt:lpstr>RSAN34</vt:lpstr>
      <vt:lpstr>RSAN24</vt:lpstr>
      <vt:lpstr>SAPRA1</vt:lpstr>
      <vt:lpstr>SAPRA3</vt:lpstr>
      <vt:lpstr>RSAN44</vt:lpstr>
      <vt:lpstr>AEGP17</vt:lpstr>
      <vt:lpstr>CAEC11</vt:lpstr>
      <vt:lpstr>CSMGA5</vt:lpstr>
      <vt:lpstr>GSTS13</vt:lpstr>
      <vt:lpstr>SAPRA2</vt:lpstr>
      <vt:lpstr>SBSPA7</vt:lpstr>
      <vt:lpstr>SBSPB7</vt:lpstr>
      <vt:lpstr>SBSPC7</vt:lpstr>
      <vt:lpstr>SNGO18</vt:lpstr>
      <vt:lpstr>ESBG11</vt:lpstr>
      <vt:lpstr>EATE19</vt:lpstr>
      <vt:lpstr>PTAZ11</vt:lpstr>
      <vt:lpstr>TAEEA2</vt:lpstr>
      <vt:lpstr>TPNO13</vt:lpstr>
      <vt:lpstr>GASC12</vt:lpstr>
      <vt:lpstr>CCROA5</vt:lpstr>
      <vt:lpstr>CRMG15</vt:lpstr>
      <vt:lpstr>GASC22</vt:lpstr>
      <vt:lpstr>IVIA18</vt:lpstr>
      <vt:lpstr>RUMOA6</vt:lpstr>
      <vt:lpstr>VIAL19</vt:lpstr>
      <vt:lpstr>Planilha157</vt:lpstr>
      <vt:lpstr>Planilha149</vt:lpstr>
      <vt:lpstr>Planilha133</vt:lpstr>
      <vt:lpstr>Planilha129</vt:lpstr>
      <vt:lpstr>Planilha127</vt:lpstr>
      <vt:lpstr>Planilha123</vt:lpstr>
      <vt:lpstr>Planilha122</vt:lpstr>
      <vt:lpstr>Planilha120</vt:lpstr>
      <vt:lpstr>Planilha117</vt:lpstr>
      <vt:lpstr>Planilha115</vt:lpstr>
      <vt:lpstr>Planilha111</vt:lpstr>
      <vt:lpstr>Planilha105</vt:lpstr>
      <vt:lpstr>Planilha103</vt:lpstr>
      <vt:lpstr>Planilha162</vt:lpstr>
      <vt:lpstr>Planilha163</vt:lpstr>
      <vt:lpstr>Planilha164</vt:lpstr>
      <vt:lpstr>Planilha165</vt:lpstr>
      <vt:lpstr>Planilha102</vt:lpstr>
      <vt:lpstr>Planilha96</vt:lpstr>
      <vt:lpstr>Planilha100</vt:lpstr>
      <vt:lpstr>Planilha88</vt:lpstr>
      <vt:lpstr>Planilha92</vt:lpstr>
      <vt:lpstr>Planilha85</vt:lpstr>
      <vt:lpstr>Planilha80</vt:lpstr>
      <vt:lpstr>Planilha78</vt:lpstr>
      <vt:lpstr>Planilha73</vt:lpstr>
      <vt:lpstr>Planilha166</vt:lpstr>
      <vt:lpstr>Planilha167</vt:lpstr>
      <vt:lpstr>Planilha168</vt:lpstr>
      <vt:lpstr>Planilha169</vt:lpstr>
      <vt:lpstr>Planilha69</vt:lpstr>
      <vt:lpstr>Planilha137</vt:lpstr>
      <vt:lpstr>Planilha138</vt:lpstr>
      <vt:lpstr>Planilha139</vt:lpstr>
      <vt:lpstr>Planilha140</vt:lpstr>
      <vt:lpstr>Planilha90</vt:lpstr>
      <vt:lpstr>Planilha65</vt:lpstr>
      <vt:lpstr>Planilha64</vt:lpstr>
      <vt:lpstr>Planilha60</vt:lpstr>
      <vt:lpstr>Planilha57</vt:lpstr>
      <vt:lpstr>Planilha56</vt:lpstr>
      <vt:lpstr>Planilha53</vt:lpstr>
      <vt:lpstr>Planilha49</vt:lpstr>
      <vt:lpstr>Planilha50</vt:lpstr>
      <vt:lpstr>Planilha48</vt:lpstr>
      <vt:lpstr>Planilha46</vt:lpstr>
      <vt:lpstr>Planilha44</vt:lpstr>
      <vt:lpstr>Planilha41</vt:lpstr>
      <vt:lpstr>Planilha37</vt:lpstr>
      <vt:lpstr>Planilha19</vt:lpstr>
      <vt:lpstr>Planilha20</vt:lpstr>
      <vt:lpstr>Planilha18</vt:lpstr>
      <vt:lpstr>Planilha16</vt:lpstr>
      <vt:lpstr>Planilha14</vt:lpstr>
      <vt:lpstr>Planilha12</vt:lpstr>
      <vt:lpstr>Planilha9</vt:lpstr>
      <vt:lpstr>Planilha3</vt:lpstr>
      <vt:lpstr>Planilha7</vt:lpstr>
      <vt:lpstr>Planilha5</vt:lpstr>
      <vt:lpstr>Planilha109</vt:lpstr>
      <vt:lpstr>Planilha110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Bracarense</dc:creator>
  <cp:lastModifiedBy>Henrique Bracarense</cp:lastModifiedBy>
  <dcterms:created xsi:type="dcterms:W3CDTF">2022-10-29T16:49:27Z</dcterms:created>
  <dcterms:modified xsi:type="dcterms:W3CDTF">2022-11-06T17:33:22Z</dcterms:modified>
</cp:coreProperties>
</file>