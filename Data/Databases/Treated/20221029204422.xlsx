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hbrac\Downloads\"/>
    </mc:Choice>
  </mc:AlternateContent>
  <xr:revisionPtr revIDLastSave="0" documentId="13_ncr:1_{A0DDEA68-5D34-46A1-AAFD-9480FDE7527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20221029204422" sheetId="1" r:id="rId1"/>
    <sheet name="Planilha3" sheetId="4" r:id="rId2"/>
    <sheet name="Planilha2" sheetId="3" r:id="rId3"/>
    <sheet name="Planilha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2" i="3" l="1"/>
  <c r="B343" i="3"/>
  <c r="B344" i="3"/>
  <c r="B345" i="3"/>
  <c r="B346" i="3"/>
  <c r="B347" i="3"/>
  <c r="B348" i="3"/>
  <c r="B349" i="3"/>
  <c r="B341" i="3"/>
  <c r="B339" i="3"/>
  <c r="B340" i="3"/>
  <c r="B337" i="3"/>
  <c r="B338" i="3"/>
  <c r="B330" i="3"/>
  <c r="B331" i="3"/>
  <c r="B332" i="3"/>
  <c r="B333" i="3"/>
  <c r="B334" i="3"/>
  <c r="B335" i="3"/>
  <c r="B336" i="3"/>
  <c r="B329" i="3"/>
  <c r="B327" i="3"/>
  <c r="B328" i="3"/>
  <c r="B326" i="3"/>
  <c r="B318" i="3"/>
  <c r="B319" i="3"/>
  <c r="B320" i="3"/>
  <c r="B321" i="3"/>
  <c r="B322" i="3"/>
  <c r="B323" i="3"/>
  <c r="B324" i="3"/>
  <c r="B325" i="3"/>
  <c r="B317" i="3"/>
  <c r="B315" i="3"/>
  <c r="B316" i="3"/>
  <c r="B314" i="3"/>
  <c r="B306" i="3"/>
  <c r="B307" i="3"/>
  <c r="B308" i="3"/>
  <c r="B309" i="3"/>
  <c r="B310" i="3"/>
  <c r="B311" i="3"/>
  <c r="B312" i="3"/>
  <c r="B313" i="3"/>
  <c r="B305" i="3"/>
  <c r="B303" i="3"/>
  <c r="B304" i="3"/>
  <c r="B302" i="3"/>
  <c r="B294" i="3"/>
  <c r="B295" i="3"/>
  <c r="B296" i="3"/>
  <c r="B297" i="3"/>
  <c r="B298" i="3"/>
  <c r="B299" i="3"/>
  <c r="B300" i="3"/>
  <c r="B301" i="3"/>
  <c r="B293" i="3"/>
  <c r="B291" i="3"/>
  <c r="B292" i="3"/>
  <c r="B290" i="3"/>
  <c r="B282" i="3"/>
  <c r="B283" i="3"/>
  <c r="B284" i="3"/>
  <c r="B285" i="3"/>
  <c r="B286" i="3"/>
  <c r="B287" i="3"/>
  <c r="B288" i="3"/>
  <c r="B289" i="3"/>
  <c r="B281" i="3"/>
  <c r="B279" i="3"/>
  <c r="B280" i="3"/>
  <c r="B278" i="3"/>
  <c r="B270" i="3"/>
  <c r="B271" i="3"/>
  <c r="B272" i="3"/>
  <c r="B273" i="3"/>
  <c r="B274" i="3"/>
  <c r="B275" i="3"/>
  <c r="B276" i="3"/>
  <c r="B277" i="3"/>
  <c r="B269" i="3"/>
  <c r="B268" i="3"/>
  <c r="B267" i="3"/>
  <c r="B266" i="3"/>
  <c r="B258" i="3"/>
  <c r="B259" i="3"/>
  <c r="B260" i="3"/>
  <c r="B261" i="3"/>
  <c r="B262" i="3"/>
  <c r="B263" i="3"/>
  <c r="B264" i="3"/>
  <c r="B265" i="3"/>
  <c r="B257" i="3"/>
  <c r="B255" i="3"/>
  <c r="B256" i="3"/>
  <c r="B254" i="3"/>
  <c r="B246" i="3"/>
  <c r="B247" i="3"/>
  <c r="B248" i="3"/>
  <c r="B249" i="3"/>
  <c r="B250" i="3"/>
  <c r="B251" i="3"/>
  <c r="B252" i="3"/>
  <c r="B253" i="3"/>
  <c r="B245" i="3"/>
  <c r="B243" i="3"/>
  <c r="B244" i="3"/>
  <c r="B242" i="3"/>
  <c r="B234" i="3"/>
  <c r="B235" i="3"/>
  <c r="B236" i="3"/>
  <c r="B237" i="3"/>
  <c r="B238" i="3"/>
  <c r="B239" i="3"/>
  <c r="B240" i="3"/>
  <c r="B241" i="3"/>
  <c r="B233" i="3"/>
  <c r="B231" i="3"/>
  <c r="B232" i="3"/>
  <c r="B230" i="3"/>
  <c r="B222" i="3"/>
  <c r="B223" i="3"/>
  <c r="B224" i="3"/>
  <c r="B225" i="3"/>
  <c r="B226" i="3"/>
  <c r="B227" i="3"/>
  <c r="B228" i="3"/>
  <c r="B229" i="3"/>
  <c r="B221" i="3"/>
  <c r="B218" i="3"/>
  <c r="B219" i="3"/>
  <c r="B220" i="3"/>
  <c r="B210" i="3"/>
  <c r="B211" i="3"/>
  <c r="B212" i="3"/>
  <c r="B213" i="3"/>
  <c r="B214" i="3"/>
  <c r="B215" i="3"/>
  <c r="B216" i="3"/>
  <c r="B217" i="3"/>
  <c r="B209" i="3"/>
  <c r="B207" i="3"/>
  <c r="B208" i="3"/>
  <c r="B206" i="3"/>
  <c r="B198" i="3"/>
  <c r="B199" i="3"/>
  <c r="B200" i="3"/>
  <c r="B201" i="3"/>
  <c r="B202" i="3"/>
  <c r="B203" i="3"/>
  <c r="B204" i="3"/>
  <c r="B205" i="3"/>
  <c r="B197" i="3"/>
  <c r="B196" i="3"/>
  <c r="B195" i="3"/>
  <c r="B194" i="3"/>
  <c r="B186" i="3"/>
  <c r="B187" i="3"/>
  <c r="B188" i="3"/>
  <c r="B189" i="3"/>
  <c r="B190" i="3"/>
  <c r="B191" i="3"/>
  <c r="B192" i="3"/>
  <c r="B193" i="3"/>
  <c r="B185" i="3"/>
  <c r="B183" i="3"/>
  <c r="B184" i="3"/>
  <c r="B182" i="3"/>
  <c r="B174" i="3"/>
  <c r="B175" i="3"/>
  <c r="B176" i="3"/>
  <c r="B177" i="3"/>
  <c r="B178" i="3"/>
  <c r="B179" i="3"/>
  <c r="B180" i="3"/>
  <c r="B181" i="3"/>
  <c r="B173" i="3"/>
  <c r="B171" i="3"/>
  <c r="B172" i="3"/>
  <c r="B170" i="3"/>
  <c r="B168" i="3"/>
  <c r="B163" i="3"/>
  <c r="B164" i="3"/>
  <c r="B165" i="3"/>
  <c r="B166" i="3"/>
  <c r="B167" i="3"/>
  <c r="B169" i="3"/>
  <c r="B162" i="3"/>
  <c r="B161" i="3"/>
  <c r="D150" i="3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C150" i="3"/>
  <c r="C151" i="3"/>
  <c r="C152" i="3"/>
  <c r="C153" i="3"/>
  <c r="C154" i="3"/>
  <c r="C155" i="3"/>
  <c r="C156" i="3"/>
  <c r="C157" i="3"/>
  <c r="C158" i="3"/>
  <c r="C159" i="3"/>
  <c r="C160" i="3"/>
  <c r="B160" i="3"/>
  <c r="B159" i="3"/>
  <c r="B151" i="3"/>
  <c r="B152" i="3"/>
  <c r="B153" i="3"/>
  <c r="B154" i="3"/>
  <c r="B155" i="3"/>
  <c r="B156" i="3"/>
  <c r="B157" i="3"/>
  <c r="B158" i="3"/>
  <c r="B150" i="3"/>
  <c r="F27" i="5"/>
  <c r="F26" i="5"/>
  <c r="F25" i="5"/>
  <c r="F24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1" i="5"/>
  <c r="D148" i="3"/>
  <c r="D106" i="3"/>
  <c r="D94" i="3"/>
  <c r="D95" i="3"/>
  <c r="C147" i="3"/>
  <c r="C148" i="3"/>
  <c r="C149" i="3"/>
  <c r="B149" i="3"/>
  <c r="B148" i="3"/>
  <c r="B147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C134" i="3"/>
  <c r="C123" i="3"/>
  <c r="C124" i="3"/>
  <c r="C125" i="3"/>
  <c r="C126" i="3"/>
  <c r="C127" i="3"/>
  <c r="C128" i="3"/>
  <c r="C129" i="3"/>
  <c r="C130" i="3"/>
  <c r="C131" i="3"/>
  <c r="C132" i="3"/>
  <c r="C133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C87" i="3"/>
  <c r="C88" i="3"/>
  <c r="C89" i="3"/>
  <c r="C90" i="3"/>
  <c r="C91" i="3"/>
  <c r="C92" i="3"/>
  <c r="C93" i="3"/>
  <c r="C94" i="3"/>
  <c r="C95" i="3"/>
  <c r="C96" i="3"/>
  <c r="C97" i="3"/>
  <c r="C98" i="3"/>
  <c r="B98" i="3"/>
  <c r="B97" i="3"/>
  <c r="B96" i="3"/>
  <c r="B95" i="3"/>
  <c r="B94" i="3"/>
  <c r="B93" i="3"/>
  <c r="B92" i="3"/>
  <c r="B91" i="3"/>
  <c r="B90" i="3"/>
  <c r="B89" i="3"/>
  <c r="B88" i="3"/>
  <c r="B87" i="3"/>
  <c r="C75" i="3"/>
  <c r="C76" i="3"/>
  <c r="C77" i="3"/>
  <c r="C78" i="3"/>
  <c r="C79" i="3"/>
  <c r="C80" i="3"/>
  <c r="C81" i="3"/>
  <c r="C82" i="3"/>
  <c r="C83" i="3"/>
  <c r="C84" i="3"/>
  <c r="C85" i="3"/>
  <c r="C86" i="3"/>
  <c r="B86" i="3"/>
  <c r="B85" i="3"/>
  <c r="B84" i="3"/>
  <c r="B83" i="3"/>
  <c r="B82" i="3"/>
  <c r="B81" i="3"/>
  <c r="B80" i="3"/>
  <c r="B79" i="3"/>
  <c r="B78" i="3"/>
  <c r="B77" i="3"/>
  <c r="B76" i="3"/>
  <c r="B75" i="3"/>
  <c r="C72" i="3"/>
  <c r="C73" i="3"/>
  <c r="C74" i="3"/>
  <c r="B74" i="3"/>
  <c r="B73" i="3"/>
  <c r="B72" i="3"/>
  <c r="C71" i="3"/>
  <c r="C69" i="3"/>
  <c r="C70" i="3"/>
  <c r="B68" i="3"/>
  <c r="C68" i="3" s="1"/>
  <c r="B67" i="3"/>
  <c r="B66" i="3"/>
  <c r="B64" i="3"/>
  <c r="C64" i="3" s="1"/>
  <c r="B63" i="3"/>
  <c r="C63" i="3" s="1"/>
  <c r="B65" i="3"/>
  <c r="C65" i="3" s="1"/>
  <c r="D13" i="4"/>
  <c r="D12" i="4"/>
  <c r="D5" i="4"/>
  <c r="D4" i="4"/>
  <c r="D14" i="4"/>
  <c r="D3" i="4" s="1"/>
  <c r="C12" i="4"/>
  <c r="I5" i="3"/>
  <c r="C67" i="3"/>
  <c r="C66" i="3"/>
  <c r="I2" i="3"/>
  <c r="B14" i="4"/>
  <c r="C13" i="4" s="1"/>
  <c r="C62" i="3"/>
  <c r="C3" i="3"/>
  <c r="D3" i="3" s="1"/>
  <c r="D4" i="3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2" i="3"/>
  <c r="D5" i="3" l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9" i="3" s="1"/>
  <c r="D2" i="4"/>
  <c r="C3" i="4"/>
  <c r="C4" i="4"/>
  <c r="C5" i="4"/>
  <c r="C7" i="4"/>
  <c r="C11" i="4"/>
  <c r="C6" i="4"/>
  <c r="C8" i="4"/>
  <c r="C9" i="4"/>
  <c r="C2" i="4"/>
  <c r="C10" i="4"/>
</calcChain>
</file>

<file path=xl/sharedStrings.xml><?xml version="1.0" encoding="utf-8"?>
<sst xmlns="http://schemas.openxmlformats.org/spreadsheetml/2006/main" count="785" uniqueCount="534">
  <si>
    <t>Variação mensal durante o Plano Real</t>
  </si>
  <si>
    <t>julho 1994</t>
  </si>
  <si>
    <t>agosto 1994</t>
  </si>
  <si>
    <t>setembro 1994</t>
  </si>
  <si>
    <t>outubro 1994</t>
  </si>
  <si>
    <t>novembro 1994</t>
  </si>
  <si>
    <t>dezembro 1994</t>
  </si>
  <si>
    <t>janeiro 1995</t>
  </si>
  <si>
    <t>fevereiro 1995</t>
  </si>
  <si>
    <t>março 1995</t>
  </si>
  <si>
    <t>abril 1995</t>
  </si>
  <si>
    <t>maio 1995</t>
  </si>
  <si>
    <t>junho 1995</t>
  </si>
  <si>
    <t>julho 1995</t>
  </si>
  <si>
    <t>agosto 1995</t>
  </si>
  <si>
    <t>setembro 1995</t>
  </si>
  <si>
    <t>outubro 1995</t>
  </si>
  <si>
    <t>novembro 1995</t>
  </si>
  <si>
    <t>dezembro 1995</t>
  </si>
  <si>
    <t>janeiro 1996</t>
  </si>
  <si>
    <t>fevereiro 1996</t>
  </si>
  <si>
    <t>março 1996</t>
  </si>
  <si>
    <t>abril 1996</t>
  </si>
  <si>
    <t>maio 1996</t>
  </si>
  <si>
    <t>junho 1996</t>
  </si>
  <si>
    <t>julho 1996</t>
  </si>
  <si>
    <t>agosto 1996</t>
  </si>
  <si>
    <t>setembro 1996</t>
  </si>
  <si>
    <t>outubro 1996</t>
  </si>
  <si>
    <t>novembro 1996</t>
  </si>
  <si>
    <t>dezembro 1996</t>
  </si>
  <si>
    <t>janeiro 1997</t>
  </si>
  <si>
    <t>fevereiro 1997</t>
  </si>
  <si>
    <t>março 1997</t>
  </si>
  <si>
    <t>abril 1997</t>
  </si>
  <si>
    <t>maio 1997</t>
  </si>
  <si>
    <t>junho 1997</t>
  </si>
  <si>
    <t>julho 1997</t>
  </si>
  <si>
    <t>agosto 1997</t>
  </si>
  <si>
    <t>setembro 1997</t>
  </si>
  <si>
    <t>outubro 1997</t>
  </si>
  <si>
    <t>novembro 1997</t>
  </si>
  <si>
    <t>dezembro 1997</t>
  </si>
  <si>
    <t>janeiro 1998</t>
  </si>
  <si>
    <t>fevereiro 1998</t>
  </si>
  <si>
    <t>março 1998</t>
  </si>
  <si>
    <t>abril 1998</t>
  </si>
  <si>
    <t>maio 1998</t>
  </si>
  <si>
    <t>junho 1998</t>
  </si>
  <si>
    <t>julho 1998</t>
  </si>
  <si>
    <t>agosto 1998</t>
  </si>
  <si>
    <t>setembro 1998</t>
  </si>
  <si>
    <t>outubro 1998</t>
  </si>
  <si>
    <t>novembro 1998</t>
  </si>
  <si>
    <t>dezembro 1998</t>
  </si>
  <si>
    <t>janeiro 1999</t>
  </si>
  <si>
    <t>fevereiro 1999</t>
  </si>
  <si>
    <t>março 1999</t>
  </si>
  <si>
    <t>abril 1999</t>
  </si>
  <si>
    <t>maio 1999</t>
  </si>
  <si>
    <t>junho 1999</t>
  </si>
  <si>
    <t>julho 1999</t>
  </si>
  <si>
    <t>agosto 1999</t>
  </si>
  <si>
    <t>setembro 1999</t>
  </si>
  <si>
    <t>outubro 1999</t>
  </si>
  <si>
    <t>novembro 1999</t>
  </si>
  <si>
    <t>dezembro 1999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</si>
  <si>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</si>
  <si>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</si>
  <si>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</si>
  <si>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</si>
  <si>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</si>
  <si>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</si>
  <si>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</si>
  <si>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</si>
  <si>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</si>
  <si>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</si>
  <si>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</si>
  <si>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</si>
  <si>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</si>
  <si>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</si>
  <si>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</si>
  <si>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</si>
  <si>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</si>
  <si>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</si>
  <si>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</si>
  <si>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</si>
  <si>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</si>
  <si>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</si>
  <si>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</si>
  <si>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</si>
  <si>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</si>
  <si>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</si>
  <si>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</si>
  <si>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</si>
  <si>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</si>
  <si>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</si>
  <si>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</si>
  <si>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</si>
  <si>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</si>
  <si>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</si>
  <si>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</si>
  <si>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</si>
  <si>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</si>
  <si>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</si>
  <si>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</si>
  <si>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</si>
  <si>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</si>
  <si>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</si>
  <si>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</si>
  <si>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</si>
  <si>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</si>
  <si>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</si>
  <si>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</si>
  <si>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</si>
  <si>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</si>
  <si>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</si>
  <si>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</si>
  <si>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</si>
  <si>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</si>
  <si>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</si>
  <si>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</si>
  <si>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</si>
  <si>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</si>
  <si>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</si>
  <si>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</si>
  <si>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</si>
  <si>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</si>
  <si>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</si>
  <si>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</si>
  <si>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</si>
  <si>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</si>
  <si>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</si>
  <si>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</si>
  <si>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</si>
  <si>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</si>
  <si>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</si>
  <si>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</si>
  <si>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</si>
  <si>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</si>
  <si>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</si>
  <si>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</si>
  <si>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</si>
  <si>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</si>
  <si>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</si>
  <si>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</si>
  <si>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</si>
  <si>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</si>
  <si>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</si>
  <si>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</si>
  <si>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</si>
  <si>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</si>
  <si>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</si>
  <si>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</si>
  <si>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</si>
  <si>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</si>
  <si>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</si>
  <si>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</si>
  <si>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</si>
  <si>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</si>
  <si>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</si>
  <si>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</si>
  <si>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</si>
  <si>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</si>
  <si>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</si>
  <si>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</si>
  <si>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</si>
  <si>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</si>
  <si>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</si>
  <si>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</si>
  <si>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</si>
  <si>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</si>
  <si>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</si>
  <si>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</si>
  <si>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</si>
  <si>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</si>
  <si>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</si>
  <si>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</si>
  <si>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</si>
  <si>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</si>
  <si>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</si>
  <si>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</si>
  <si>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</si>
  <si>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</si>
  <si>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</si>
  <si>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</si>
  <si>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</si>
  <si>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</si>
  <si>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</si>
  <si>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</si>
  <si>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</si>
  <si>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</si>
  <si>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</si>
  <si>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</si>
  <si>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</si>
  <si>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</si>
  <si>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</si>
  <si>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</si>
  <si>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</si>
  <si>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</si>
  <si>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</si>
  <si>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</si>
  <si>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</si>
  <si>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</si>
  <si>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</si>
  <si>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</si>
  <si>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</si>
  <si>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</si>
  <si>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</si>
  <si>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</si>
  <si>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</si>
  <si>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</si>
  <si>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</si>
  <si>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</si>
  <si>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</si>
  <si>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</si>
  <si>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</si>
  <si>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</si>
  <si>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</si>
  <si>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</si>
  <si>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</si>
  <si>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</si>
  <si>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</si>
  <si>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</si>
  <si>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</si>
  <si>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</si>
  <si>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</si>
  <si>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</si>
  <si>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</si>
  <si>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</si>
  <si>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</si>
  <si>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</si>
  <si>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</si>
  <si>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</si>
  <si>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</si>
  <si>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</si>
  <si>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</si>
  <si>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</si>
  <si>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</si>
  <si>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</si>
  <si>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</si>
  <si>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</si>
  <si>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</si>
  <si>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</si>
  <si>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</si>
  <si>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</si>
  <si>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</si>
  <si>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</si>
  <si>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</si>
  <si>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</si>
  <si>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</si>
  <si>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</si>
  <si>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</si>
  <si>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</si>
  <si>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</si>
  <si>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</si>
  <si>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</si>
  <si>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</si>
  <si>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</si>
  <si>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</si>
  <si>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</si>
  <si>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</si>
  <si>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</si>
  <si>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</si>
  <si>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</si>
  <si>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</si>
  <si>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</si>
  <si>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</si>
  <si>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</si>
  <si>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</si>
  <si>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</si>
  <si>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</si>
  <si>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</si>
  <si>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</si>
  <si>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</si>
  <si>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</si>
  <si>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</si>
  <si>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</si>
  <si>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</si>
  <si>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</si>
  <si>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</si>
  <si>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</si>
  <si>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</si>
  <si>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</si>
  <si>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</si>
  <si>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</si>
  <si>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</si>
  <si>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</si>
  <si>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</si>
  <si>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</si>
  <si>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</si>
  <si>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</si>
  <si>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</si>
  <si>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</si>
  <si>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</si>
  <si>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</si>
  <si>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</si>
  <si>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</si>
  <si>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</si>
  <si>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</si>
  <si>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</si>
  <si>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</si>
  <si>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</si>
  <si>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</si>
  <si>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</si>
  <si>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</si>
  <si>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</si>
  <si>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</si>
  <si>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</si>
  <si>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</si>
  <si>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</si>
  <si>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</si>
  <si>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</si>
  <si>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</si>
  <si>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</si>
  <si>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</si>
  <si>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</si>
  <si>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</si>
  <si>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</si>
  <si>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</si>
  <si>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</si>
  <si>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</si>
  <si>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</si>
  <si>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</si>
  <si>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</si>
  <si>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</si>
  <si>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</si>
  <si>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</si>
  <si>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</si>
  <si>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</si>
  <si>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</si>
  <si>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</si>
  <si>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</si>
  <si>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</si>
  <si>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</si>
  <si>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</si>
  <si>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</si>
  <si>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</si>
  <si>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</si>
  <si>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</si>
  <si>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Brasil</t>
  </si>
  <si>
    <t>6,84</t>
  </si>
  <si>
    <t>1,86</t>
  </si>
  <si>
    <t>1,53</t>
  </si>
  <si>
    <t>2,62</t>
  </si>
  <si>
    <t>2,81</t>
  </si>
  <si>
    <t>1,71</t>
  </si>
  <si>
    <t>1,70</t>
  </si>
  <si>
    <t>1,02</t>
  </si>
  <si>
    <t>1,55</t>
  </si>
  <si>
    <t>2,43</t>
  </si>
  <si>
    <t>2,67</t>
  </si>
  <si>
    <t>2,26</t>
  </si>
  <si>
    <t>2,36</t>
  </si>
  <si>
    <t>0,99</t>
  </si>
  <si>
    <t>1,41</t>
  </si>
  <si>
    <t>1,47</t>
  </si>
  <si>
    <t>1,56</t>
  </si>
  <si>
    <t>1,34</t>
  </si>
  <si>
    <t>1,03</t>
  </si>
  <si>
    <t>0,35</t>
  </si>
  <si>
    <t>1,26</t>
  </si>
  <si>
    <t>1,22</t>
  </si>
  <si>
    <t>1,19</t>
  </si>
  <si>
    <t>1,11</t>
  </si>
  <si>
    <t>0,44</t>
  </si>
  <si>
    <t>0,15</t>
  </si>
  <si>
    <t>0,30</t>
  </si>
  <si>
    <t>0,32</t>
  </si>
  <si>
    <t>0,47</t>
  </si>
  <si>
    <t>1,18</t>
  </si>
  <si>
    <t>0,50</t>
  </si>
  <si>
    <t>0,51</t>
  </si>
  <si>
    <t>0,88</t>
  </si>
  <si>
    <t>0,41</t>
  </si>
  <si>
    <t>0,54</t>
  </si>
  <si>
    <t>0,22</t>
  </si>
  <si>
    <t>-0,02</t>
  </si>
  <si>
    <t>0,06</t>
  </si>
  <si>
    <t>0,23</t>
  </si>
  <si>
    <t>0,17</t>
  </si>
  <si>
    <t>0,43</t>
  </si>
  <si>
    <t>0,71</t>
  </si>
  <si>
    <t>0,46</t>
  </si>
  <si>
    <t>0,34</t>
  </si>
  <si>
    <t>0,24</t>
  </si>
  <si>
    <t>0,02</t>
  </si>
  <si>
    <t>-0,12</t>
  </si>
  <si>
    <t>-0,51</t>
  </si>
  <si>
    <t>-0,22</t>
  </si>
  <si>
    <t>0,33</t>
  </si>
  <si>
    <t>0,70</t>
  </si>
  <si>
    <t>1,05</t>
  </si>
  <si>
    <t>1,10</t>
  </si>
  <si>
    <t>0,56</t>
  </si>
  <si>
    <t>0,19</t>
  </si>
  <si>
    <t>1,09</t>
  </si>
  <si>
    <t>0,31</t>
  </si>
  <si>
    <t>0,95</t>
  </si>
  <si>
    <t>0,60</t>
  </si>
  <si>
    <t>0,62</t>
  </si>
  <si>
    <t>0,13</t>
  </si>
  <si>
    <t>0,42</t>
  </si>
  <si>
    <t>0,01</t>
  </si>
  <si>
    <t>1,61</t>
  </si>
  <si>
    <t>1,31</t>
  </si>
  <si>
    <t>0,14</t>
  </si>
  <si>
    <t>0,59</t>
  </si>
  <si>
    <t>0,57</t>
  </si>
  <si>
    <t>0,38</t>
  </si>
  <si>
    <t>0,58</t>
  </si>
  <si>
    <t>0,52</t>
  </si>
  <si>
    <t>1,33</t>
  </si>
  <si>
    <t>0,28</t>
  </si>
  <si>
    <t>0,83</t>
  </si>
  <si>
    <t>0,65</t>
  </si>
  <si>
    <t>0,36</t>
  </si>
  <si>
    <t>0,80</t>
  </si>
  <si>
    <t>0,21</t>
  </si>
  <si>
    <t>0,72</t>
  </si>
  <si>
    <t>3,02</t>
  </si>
  <si>
    <t>2,10</t>
  </si>
  <si>
    <t>2,25</t>
  </si>
  <si>
    <t>1,57</t>
  </si>
  <si>
    <t>1,23</t>
  </si>
  <si>
    <t>0,97</t>
  </si>
  <si>
    <t>0,61</t>
  </si>
  <si>
    <t>-0,15</t>
  </si>
  <si>
    <t>0,20</t>
  </si>
  <si>
    <t>0,78</t>
  </si>
  <si>
    <t>0,29</t>
  </si>
  <si>
    <t>0,76</t>
  </si>
  <si>
    <t>0,37</t>
  </si>
  <si>
    <t>0,91</t>
  </si>
  <si>
    <t>0,69</t>
  </si>
  <si>
    <t>0,86</t>
  </si>
  <si>
    <t>0,87</t>
  </si>
  <si>
    <t>0,49</t>
  </si>
  <si>
    <t>0,25</t>
  </si>
  <si>
    <t>0,75</t>
  </si>
  <si>
    <t>0,55</t>
  </si>
  <si>
    <t>0,10</t>
  </si>
  <si>
    <t>-0,21</t>
  </si>
  <si>
    <t>0,05</t>
  </si>
  <si>
    <t>0,48</t>
  </si>
  <si>
    <t>0,18</t>
  </si>
  <si>
    <t>0,74</t>
  </si>
  <si>
    <t>0,79</t>
  </si>
  <si>
    <t>0,53</t>
  </si>
  <si>
    <t>0,26</t>
  </si>
  <si>
    <t>0,45</t>
  </si>
  <si>
    <t>0,00</t>
  </si>
  <si>
    <t>0,04</t>
  </si>
  <si>
    <t>0,63</t>
  </si>
  <si>
    <t>0,77</t>
  </si>
  <si>
    <t>0,16</t>
  </si>
  <si>
    <t>0,64</t>
  </si>
  <si>
    <t>0,08</t>
  </si>
  <si>
    <t>0,03</t>
  </si>
  <si>
    <t>0,92</t>
  </si>
  <si>
    <t>0,67</t>
  </si>
  <si>
    <t>0,40</t>
  </si>
  <si>
    <t>1,24</t>
  </si>
  <si>
    <t>1,32</t>
  </si>
  <si>
    <t>0,82</t>
  </si>
  <si>
    <t>1,01</t>
  </si>
  <si>
    <t>0,96</t>
  </si>
  <si>
    <t>1,27</t>
  </si>
  <si>
    <t>0,90</t>
  </si>
  <si>
    <t>-0,23</t>
  </si>
  <si>
    <t>0,09</t>
  </si>
  <si>
    <t>-0,09</t>
  </si>
  <si>
    <t>0,11</t>
  </si>
  <si>
    <t>-0,04</t>
  </si>
  <si>
    <t>1,15</t>
  </si>
  <si>
    <t>0,07</t>
  </si>
  <si>
    <t>-0,31</t>
  </si>
  <si>
    <t>-0,38</t>
  </si>
  <si>
    <t>0,89</t>
  </si>
  <si>
    <t>1,35</t>
  </si>
  <si>
    <t>0,93</t>
  </si>
  <si>
    <t>1,16</t>
  </si>
  <si>
    <t>1,25</t>
  </si>
  <si>
    <t>0,73</t>
  </si>
  <si>
    <t>1,62</t>
  </si>
  <si>
    <t>1,06</t>
  </si>
  <si>
    <t>-0,68</t>
  </si>
  <si>
    <t>-0,36</t>
  </si>
  <si>
    <t>-0,29</t>
  </si>
  <si>
    <t>Fonte: "IBGE - Índice Nacional de Preços ao Consumidor Amplo"</t>
  </si>
  <si>
    <t>mês/ano</t>
  </si>
  <si>
    <t>variação mensal (%)</t>
  </si>
  <si>
    <t>1+i</t>
  </si>
  <si>
    <t>Acumulado</t>
  </si>
  <si>
    <t>Mês</t>
  </si>
  <si>
    <t>Mediana das previsões (%)</t>
  </si>
  <si>
    <t>TOTAL</t>
  </si>
  <si>
    <t>Taxa pré-fixado</t>
  </si>
  <si>
    <t>Período (dias)</t>
  </si>
  <si>
    <t>Taxa (%)</t>
  </si>
  <si>
    <t>Preço</t>
  </si>
  <si>
    <t>VNA</t>
  </si>
  <si>
    <t>Inflação no período</t>
  </si>
  <si>
    <t>Peso - anual (%)</t>
  </si>
  <si>
    <t>Peso - período (%)</t>
  </si>
  <si>
    <t>Semitotal</t>
  </si>
  <si>
    <t>Inflação (outubro 2023-4)</t>
  </si>
  <si>
    <t>Inflação (outubro 2024-5)</t>
  </si>
  <si>
    <t>Inflação (outubro 2025-6)</t>
  </si>
  <si>
    <t>Inflação (outubro 2022-3)</t>
  </si>
  <si>
    <t>Inflação (outubro 2026-7)</t>
  </si>
  <si>
    <t>Inflação (outubro 2029-30)</t>
  </si>
  <si>
    <t>Inflação (outubro 2027-8)</t>
  </si>
  <si>
    <t>Inflação (outubro 2028-9)</t>
  </si>
  <si>
    <t>cupom</t>
  </si>
  <si>
    <t>principal</t>
  </si>
  <si>
    <t>numerador</t>
  </si>
  <si>
    <t>duração</t>
  </si>
  <si>
    <t>Inflação (outubro 2030-1)</t>
  </si>
  <si>
    <t>Inflação (outubro 2031-2)</t>
  </si>
  <si>
    <t>Inflação (outubro 2032-3)</t>
  </si>
  <si>
    <t>Inflação (outubro 2033-4)</t>
  </si>
  <si>
    <t>Inflação (outubro 2034-5)</t>
  </si>
  <si>
    <t>Inflação (outubro 2035-6)</t>
  </si>
  <si>
    <t>Inflação (outubro 2036-7)</t>
  </si>
  <si>
    <t>Inflação (outubro 2037-8)</t>
  </si>
  <si>
    <t>Inflação (outubro 2038-9)</t>
  </si>
  <si>
    <t>Inflação (outubro 2039-40)</t>
  </si>
  <si>
    <t>Inflação (outubro 2040-1)</t>
  </si>
  <si>
    <t>Inflação (outubro 2041-2)</t>
  </si>
  <si>
    <t>Inflação (outubro 2042-3)</t>
  </si>
  <si>
    <t>Inflação (outubro 2043-4)</t>
  </si>
  <si>
    <t>Inflação (outubro 2044-5)</t>
  </si>
  <si>
    <t>Inflação (outubro 2045-6)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</si>
</sst>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MC6"/>
  <sheetViews>
    <sheetView topLeftCell="JN1" workbookViewId="0">
      <selection activeCell="JV4" sqref="JV4:JW4"/>
    </sheetView>
  </sheetViews>
  <sheetFormatPr defaultRowHeight="15.75" x14ac:dyDescent="0.25"/>
  <sheetData>
    <row r="1" spans="1:34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</row>
    <row r="2" spans="1:341" x14ac:dyDescent="0.25"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4" t="s">
        <v>29</v>
      </c>
      <c r="AF2" s="4" t="s">
        <v>30</v>
      </c>
      <c r="AG2" s="4" t="s">
        <v>31</v>
      </c>
      <c r="AH2" s="4" t="s">
        <v>32</v>
      </c>
      <c r="AI2" s="4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4" t="s">
        <v>39</v>
      </c>
      <c r="AP2" s="4" t="s">
        <v>40</v>
      </c>
      <c r="AQ2" s="4" t="s">
        <v>41</v>
      </c>
      <c r="AR2" s="4" t="s">
        <v>42</v>
      </c>
      <c r="AS2" s="4" t="s">
        <v>43</v>
      </c>
      <c r="AT2" s="4" t="s">
        <v>44</v>
      </c>
      <c r="AU2" s="4" t="s">
        <v>45</v>
      </c>
      <c r="AV2" s="4" t="s">
        <v>46</v>
      </c>
      <c r="AW2" s="4" t="s">
        <v>47</v>
      </c>
      <c r="AX2" s="4" t="s">
        <v>48</v>
      </c>
      <c r="AY2" s="4" t="s">
        <v>49</v>
      </c>
      <c r="AZ2" s="4" t="s">
        <v>50</v>
      </c>
      <c r="BA2" s="4" t="s">
        <v>51</v>
      </c>
      <c r="BB2" s="4" t="s">
        <v>52</v>
      </c>
      <c r="BC2" s="4" t="s">
        <v>53</v>
      </c>
      <c r="BD2" s="4" t="s">
        <v>54</v>
      </c>
      <c r="BE2" s="4" t="s">
        <v>55</v>
      </c>
      <c r="BF2" s="4" t="s">
        <v>56</v>
      </c>
      <c r="BG2" s="4" t="s">
        <v>57</v>
      </c>
      <c r="BH2" s="4" t="s">
        <v>58</v>
      </c>
      <c r="BI2" s="4" t="s">
        <v>59</v>
      </c>
      <c r="BJ2" s="4" t="s">
        <v>60</v>
      </c>
      <c r="BK2" s="4" t="s">
        <v>61</v>
      </c>
      <c r="BL2" s="4" t="s">
        <v>62</v>
      </c>
      <c r="BM2" s="4" t="s">
        <v>63</v>
      </c>
      <c r="BN2" s="4" t="s">
        <v>64</v>
      </c>
      <c r="BO2" s="4" t="s">
        <v>65</v>
      </c>
      <c r="BP2" s="4" t="s">
        <v>66</v>
      </c>
      <c r="BQ2" s="4" t="s">
        <v>67</v>
      </c>
      <c r="BR2" s="4" t="s">
        <v>68</v>
      </c>
      <c r="BS2" s="4" t="s">
        <v>69</v>
      </c>
      <c r="BT2" s="4" t="s">
        <v>70</v>
      </c>
      <c r="BU2" s="4" t="s">
        <v>71</v>
      </c>
      <c r="BV2" s="4" t="s">
        <v>72</v>
      </c>
      <c r="BW2" s="4" t="s">
        <v>73</v>
      </c>
      <c r="BX2" s="4" t="s">
        <v>74</v>
      </c>
      <c r="BY2" s="4" t="s">
        <v>75</v>
      </c>
      <c r="BZ2" s="4" t="s">
        <v>76</v>
      </c>
      <c r="CA2" s="4" t="s">
        <v>77</v>
      </c>
      <c r="CB2" s="4" t="s">
        <v>78</v>
      </c>
      <c r="CC2" s="4" t="s">
        <v>79</v>
      </c>
      <c r="CD2" s="4" t="s">
        <v>80</v>
      </c>
      <c r="CE2" s="4" t="s">
        <v>81</v>
      </c>
      <c r="CF2" s="4" t="s">
        <v>82</v>
      </c>
      <c r="CG2" s="4" t="s">
        <v>83</v>
      </c>
      <c r="CH2" s="4" t="s">
        <v>84</v>
      </c>
      <c r="CI2" s="4" t="s">
        <v>85</v>
      </c>
      <c r="CJ2" s="4" t="s">
        <v>86</v>
      </c>
      <c r="CK2" s="4" t="s">
        <v>87</v>
      </c>
      <c r="CL2" s="4" t="s">
        <v>88</v>
      </c>
      <c r="CM2" s="4" t="s">
        <v>89</v>
      </c>
      <c r="CN2" s="4" t="s">
        <v>90</v>
      </c>
      <c r="CO2" s="4" t="s">
        <v>91</v>
      </c>
      <c r="CP2" s="4" t="s">
        <v>92</v>
      </c>
      <c r="CQ2" s="4" t="s">
        <v>93</v>
      </c>
      <c r="CR2" s="4" t="s">
        <v>94</v>
      </c>
      <c r="CS2" s="4" t="s">
        <v>95</v>
      </c>
      <c r="CT2" s="4" t="s">
        <v>96</v>
      </c>
      <c r="CU2" s="4" t="s">
        <v>97</v>
      </c>
      <c r="CV2" s="4" t="s">
        <v>98</v>
      </c>
      <c r="CW2" s="4" t="s">
        <v>99</v>
      </c>
      <c r="CX2" s="4" t="s">
        <v>100</v>
      </c>
      <c r="CY2" s="4" t="s">
        <v>101</v>
      </c>
      <c r="CZ2" s="4" t="s">
        <v>102</v>
      </c>
      <c r="DA2" s="4" t="s">
        <v>103</v>
      </c>
      <c r="DB2" s="4" t="s">
        <v>104</v>
      </c>
      <c r="DC2" s="4" t="s">
        <v>105</v>
      </c>
      <c r="DD2" s="4" t="s">
        <v>106</v>
      </c>
      <c r="DE2" s="4" t="s">
        <v>107</v>
      </c>
      <c r="DF2" s="4" t="s">
        <v>108</v>
      </c>
      <c r="DG2" s="4" t="s">
        <v>109</v>
      </c>
      <c r="DH2" s="4" t="s">
        <v>110</v>
      </c>
      <c r="DI2" s="4" t="s">
        <v>111</v>
      </c>
      <c r="DJ2" s="4" t="s">
        <v>112</v>
      </c>
      <c r="DK2" s="4" t="s">
        <v>113</v>
      </c>
      <c r="DL2" s="4" t="s">
        <v>114</v>
      </c>
      <c r="DM2" s="4" t="s">
        <v>115</v>
      </c>
      <c r="DN2" s="4" t="s">
        <v>116</v>
      </c>
      <c r="DO2" s="4" t="s">
        <v>117</v>
      </c>
      <c r="DP2" s="4" t="s">
        <v>118</v>
      </c>
      <c r="DQ2" s="4" t="s">
        <v>119</v>
      </c>
      <c r="DR2" s="4" t="s">
        <v>120</v>
      </c>
      <c r="DS2" s="4" t="s">
        <v>121</v>
      </c>
      <c r="DT2" s="4" t="s">
        <v>122</v>
      </c>
      <c r="DU2" s="4" t="s">
        <v>123</v>
      </c>
      <c r="DV2" s="4" t="s">
        <v>124</v>
      </c>
      <c r="DW2" s="4" t="s">
        <v>125</v>
      </c>
      <c r="DX2" s="4" t="s">
        <v>126</v>
      </c>
      <c r="DY2" s="4" t="s">
        <v>127</v>
      </c>
      <c r="DZ2" s="4" t="s">
        <v>128</v>
      </c>
      <c r="EA2" s="4" t="s">
        <v>129</v>
      </c>
      <c r="EB2" s="4" t="s">
        <v>130</v>
      </c>
      <c r="EC2" s="4" t="s">
        <v>131</v>
      </c>
      <c r="ED2" s="4" t="s">
        <v>132</v>
      </c>
      <c r="EE2" s="4" t="s">
        <v>133</v>
      </c>
      <c r="EF2" s="4" t="s">
        <v>134</v>
      </c>
      <c r="EG2" s="4" t="s">
        <v>135</v>
      </c>
      <c r="EH2" s="4" t="s">
        <v>136</v>
      </c>
      <c r="EI2" s="4" t="s">
        <v>137</v>
      </c>
      <c r="EJ2" s="4" t="s">
        <v>138</v>
      </c>
      <c r="EK2" s="4" t="s">
        <v>139</v>
      </c>
      <c r="EL2" s="4" t="s">
        <v>140</v>
      </c>
      <c r="EM2" s="4" t="s">
        <v>141</v>
      </c>
      <c r="EN2" s="4" t="s">
        <v>142</v>
      </c>
      <c r="EO2" s="4" t="s">
        <v>143</v>
      </c>
      <c r="EP2" s="4" t="s">
        <v>144</v>
      </c>
      <c r="EQ2" s="4" t="s">
        <v>145</v>
      </c>
      <c r="ER2" s="4" t="s">
        <v>146</v>
      </c>
      <c r="ES2" s="4" t="s">
        <v>147</v>
      </c>
      <c r="ET2" s="4" t="s">
        <v>148</v>
      </c>
      <c r="EU2" s="4" t="s">
        <v>149</v>
      </c>
      <c r="EV2" s="4" t="s">
        <v>150</v>
      </c>
      <c r="EW2" s="4" t="s">
        <v>151</v>
      </c>
      <c r="EX2" s="4" t="s">
        <v>152</v>
      </c>
      <c r="EY2" s="4" t="s">
        <v>153</v>
      </c>
      <c r="EZ2" s="4" t="s">
        <v>154</v>
      </c>
      <c r="FA2" s="4" t="s">
        <v>155</v>
      </c>
      <c r="FB2" s="4" t="s">
        <v>156</v>
      </c>
      <c r="FC2" s="4" t="s">
        <v>157</v>
      </c>
      <c r="FD2" s="4" t="s">
        <v>158</v>
      </c>
      <c r="FE2" s="4" t="s">
        <v>159</v>
      </c>
      <c r="FF2" s="4" t="s">
        <v>160</v>
      </c>
      <c r="FG2" s="4" t="s">
        <v>161</v>
      </c>
      <c r="FH2" s="4" t="s">
        <v>162</v>
      </c>
      <c r="FI2" s="4" t="s">
        <v>163</v>
      </c>
      <c r="FJ2" s="4" t="s">
        <v>164</v>
      </c>
      <c r="FK2" s="4" t="s">
        <v>165</v>
      </c>
      <c r="FL2" s="4" t="s">
        <v>166</v>
      </c>
      <c r="FM2" s="4" t="s">
        <v>167</v>
      </c>
      <c r="FN2" s="4" t="s">
        <v>168</v>
      </c>
      <c r="FO2" s="4" t="s">
        <v>169</v>
      </c>
      <c r="FP2" s="4" t="s">
        <v>170</v>
      </c>
      <c r="FQ2" s="4" t="s">
        <v>171</v>
      </c>
      <c r="FR2" s="4" t="s">
        <v>172</v>
      </c>
      <c r="FS2" s="4" t="s">
        <v>173</v>
      </c>
      <c r="FT2" s="4" t="s">
        <v>174</v>
      </c>
      <c r="FU2" s="4" t="s">
        <v>175</v>
      </c>
      <c r="FV2" s="4" t="s">
        <v>176</v>
      </c>
      <c r="FW2" s="4" t="s">
        <v>177</v>
      </c>
      <c r="FX2" s="4" t="s">
        <v>178</v>
      </c>
      <c r="FY2" s="4" t="s">
        <v>179</v>
      </c>
      <c r="FZ2" s="4" t="s">
        <v>180</v>
      </c>
      <c r="GA2" s="4" t="s">
        <v>181</v>
      </c>
      <c r="GB2" s="4" t="s">
        <v>182</v>
      </c>
      <c r="GC2" s="4" t="s">
        <v>183</v>
      </c>
      <c r="GD2" s="4" t="s">
        <v>184</v>
      </c>
      <c r="GE2" s="4" t="s">
        <v>185</v>
      </c>
      <c r="GF2" s="4" t="s">
        <v>186</v>
      </c>
      <c r="GG2" s="4" t="s">
        <v>187</v>
      </c>
      <c r="GH2" s="4" t="s">
        <v>188</v>
      </c>
      <c r="GI2" s="4" t="s">
        <v>189</v>
      </c>
      <c r="GJ2" s="4" t="s">
        <v>190</v>
      </c>
      <c r="GK2" s="4" t="s">
        <v>191</v>
      </c>
      <c r="GL2" s="4" t="s">
        <v>192</v>
      </c>
      <c r="GM2" s="4" t="s">
        <v>193</v>
      </c>
      <c r="GN2" s="4" t="s">
        <v>194</v>
      </c>
      <c r="GO2" s="4" t="s">
        <v>195</v>
      </c>
      <c r="GP2" s="4" t="s">
        <v>196</v>
      </c>
      <c r="GQ2" s="4" t="s">
        <v>197</v>
      </c>
      <c r="GR2" s="4" t="s">
        <v>198</v>
      </c>
      <c r="GS2" s="4" t="s">
        <v>199</v>
      </c>
      <c r="GT2" s="4" t="s">
        <v>200</v>
      </c>
      <c r="GU2" s="4" t="s">
        <v>201</v>
      </c>
      <c r="GV2" s="4" t="s">
        <v>202</v>
      </c>
      <c r="GW2" s="4" t="s">
        <v>203</v>
      </c>
      <c r="GX2" s="4" t="s">
        <v>204</v>
      </c>
      <c r="GY2" s="4" t="s">
        <v>205</v>
      </c>
      <c r="GZ2" s="4" t="s">
        <v>206</v>
      </c>
      <c r="HA2" s="4" t="s">
        <v>207</v>
      </c>
      <c r="HB2" s="4" t="s">
        <v>208</v>
      </c>
      <c r="HC2" s="4" t="s">
        <v>209</v>
      </c>
      <c r="HD2" s="4" t="s">
        <v>210</v>
      </c>
      <c r="HE2" s="4" t="s">
        <v>211</v>
      </c>
      <c r="HF2" s="4" t="s">
        <v>212</v>
      </c>
      <c r="HG2" s="4" t="s">
        <v>213</v>
      </c>
      <c r="HH2" s="4" t="s">
        <v>214</v>
      </c>
      <c r="HI2" s="4" t="s">
        <v>215</v>
      </c>
      <c r="HJ2" s="4" t="s">
        <v>216</v>
      </c>
      <c r="HK2" s="4" t="s">
        <v>217</v>
      </c>
      <c r="HL2" s="4" t="s">
        <v>218</v>
      </c>
      <c r="HM2" s="4" t="s">
        <v>219</v>
      </c>
      <c r="HN2" s="4" t="s">
        <v>220</v>
      </c>
      <c r="HO2" s="4" t="s">
        <v>221</v>
      </c>
      <c r="HP2" s="4" t="s">
        <v>222</v>
      </c>
      <c r="HQ2" s="4" t="s">
        <v>223</v>
      </c>
      <c r="HR2" s="4" t="s">
        <v>224</v>
      </c>
      <c r="HS2" s="4" t="s">
        <v>225</v>
      </c>
      <c r="HT2" s="4" t="s">
        <v>226</v>
      </c>
      <c r="HU2" s="4" t="s">
        <v>227</v>
      </c>
      <c r="HV2" s="4" t="s">
        <v>228</v>
      </c>
      <c r="HW2" s="4" t="s">
        <v>229</v>
      </c>
      <c r="HX2" s="4" t="s">
        <v>230</v>
      </c>
      <c r="HY2" s="4" t="s">
        <v>231</v>
      </c>
      <c r="HZ2" s="4" t="s">
        <v>232</v>
      </c>
      <c r="IA2" s="4" t="s">
        <v>233</v>
      </c>
      <c r="IB2" s="4" t="s">
        <v>234</v>
      </c>
      <c r="IC2" s="4" t="s">
        <v>235</v>
      </c>
      <c r="ID2" s="4" t="s">
        <v>236</v>
      </c>
      <c r="IE2" s="4" t="s">
        <v>237</v>
      </c>
      <c r="IF2" s="4" t="s">
        <v>238</v>
      </c>
      <c r="IG2" s="4" t="s">
        <v>239</v>
      </c>
      <c r="IH2" s="4" t="s">
        <v>240</v>
      </c>
      <c r="II2" s="4" t="s">
        <v>241</v>
      </c>
      <c r="IJ2" s="4" t="s">
        <v>242</v>
      </c>
      <c r="IK2" s="4" t="s">
        <v>243</v>
      </c>
      <c r="IL2" s="4" t="s">
        <v>244</v>
      </c>
      <c r="IM2" s="4" t="s">
        <v>245</v>
      </c>
      <c r="IN2" s="4" t="s">
        <v>246</v>
      </c>
      <c r="IO2" s="4" t="s">
        <v>247</v>
      </c>
      <c r="IP2" s="4" t="s">
        <v>248</v>
      </c>
      <c r="IQ2" s="4" t="s">
        <v>249</v>
      </c>
      <c r="IR2" s="4" t="s">
        <v>250</v>
      </c>
      <c r="IS2" s="4" t="s">
        <v>251</v>
      </c>
      <c r="IT2" s="4" t="s">
        <v>252</v>
      </c>
      <c r="IU2" s="4" t="s">
        <v>253</v>
      </c>
      <c r="IV2" s="4" t="s">
        <v>254</v>
      </c>
      <c r="IW2" s="4" t="s">
        <v>255</v>
      </c>
      <c r="IX2" s="4" t="s">
        <v>256</v>
      </c>
      <c r="IY2" s="4" t="s">
        <v>257</v>
      </c>
      <c r="IZ2" s="4" t="s">
        <v>258</v>
      </c>
      <c r="JA2" s="4" t="s">
        <v>259</v>
      </c>
      <c r="JB2" s="4" t="s">
        <v>260</v>
      </c>
      <c r="JC2" s="4" t="s">
        <v>261</v>
      </c>
      <c r="JD2" s="4" t="s">
        <v>262</v>
      </c>
      <c r="JE2" s="4" t="s">
        <v>263</v>
      </c>
      <c r="JF2" s="4" t="s">
        <v>264</v>
      </c>
      <c r="JG2" s="4" t="s">
        <v>265</v>
      </c>
      <c r="JH2" s="4" t="s">
        <v>266</v>
      </c>
      <c r="JI2" s="4" t="s">
        <v>267</v>
      </c>
      <c r="JJ2" s="4" t="s">
        <v>268</v>
      </c>
      <c r="JK2" s="4" t="s">
        <v>269</v>
      </c>
      <c r="JL2" s="4" t="s">
        <v>270</v>
      </c>
      <c r="JM2" s="4" t="s">
        <v>271</v>
      </c>
      <c r="JN2" s="4" t="s">
        <v>272</v>
      </c>
      <c r="JO2" s="4" t="s">
        <v>273</v>
      </c>
      <c r="JP2" s="4" t="s">
        <v>274</v>
      </c>
      <c r="JQ2" s="4" t="s">
        <v>275</v>
      </c>
      <c r="JR2" s="4" t="s">
        <v>276</v>
      </c>
      <c r="JS2" s="4" t="s">
        <v>277</v>
      </c>
      <c r="JT2" s="4" t="s">
        <v>278</v>
      </c>
      <c r="JU2" s="4" t="s">
        <v>279</v>
      </c>
      <c r="JV2" s="4" t="s">
        <v>280</v>
      </c>
      <c r="JW2" s="4" t="s">
        <v>281</v>
      </c>
      <c r="JX2" s="4" t="s">
        <v>282</v>
      </c>
      <c r="JY2" s="4" t="s">
        <v>283</v>
      </c>
      <c r="JZ2" s="4" t="s">
        <v>284</v>
      </c>
      <c r="KA2" s="4" t="s">
        <v>285</v>
      </c>
      <c r="KB2" s="4" t="s">
        <v>286</v>
      </c>
      <c r="KC2" s="4" t="s">
        <v>287</v>
      </c>
      <c r="KD2" s="4" t="s">
        <v>288</v>
      </c>
      <c r="KE2" s="4" t="s">
        <v>289</v>
      </c>
      <c r="KF2" s="4" t="s">
        <v>290</v>
      </c>
      <c r="KG2" s="4" t="s">
        <v>291</v>
      </c>
      <c r="KH2" s="4" t="s">
        <v>292</v>
      </c>
      <c r="KI2" s="4" t="s">
        <v>293</v>
      </c>
      <c r="KJ2" s="4" t="s">
        <v>294</v>
      </c>
      <c r="KK2" s="4" t="s">
        <v>295</v>
      </c>
      <c r="KL2" s="4" t="s">
        <v>296</v>
      </c>
      <c r="KM2" s="4" t="s">
        <v>297</v>
      </c>
      <c r="KN2" s="4" t="s">
        <v>298</v>
      </c>
      <c r="KO2" s="4" t="s">
        <v>299</v>
      </c>
      <c r="KP2" s="4" t="s">
        <v>300</v>
      </c>
      <c r="KQ2" s="4" t="s">
        <v>301</v>
      </c>
      <c r="KR2" s="4" t="s">
        <v>302</v>
      </c>
      <c r="KS2" s="4" t="s">
        <v>303</v>
      </c>
      <c r="KT2" s="4" t="s">
        <v>304</v>
      </c>
      <c r="KU2" s="4" t="s">
        <v>305</v>
      </c>
      <c r="KV2" s="4" t="s">
        <v>306</v>
      </c>
      <c r="KW2" s="4" t="s">
        <v>307</v>
      </c>
      <c r="KX2" s="4" t="s">
        <v>308</v>
      </c>
      <c r="KY2" s="4" t="s">
        <v>309</v>
      </c>
      <c r="KZ2" s="4" t="s">
        <v>310</v>
      </c>
      <c r="LA2" s="4" t="s">
        <v>311</v>
      </c>
      <c r="LB2" s="4" t="s">
        <v>312</v>
      </c>
      <c r="LC2" s="4" t="s">
        <v>313</v>
      </c>
      <c r="LD2" s="4" t="s">
        <v>314</v>
      </c>
      <c r="LE2" s="4" t="s">
        <v>315</v>
      </c>
      <c r="LF2" s="4" t="s">
        <v>316</v>
      </c>
      <c r="LG2" s="4" t="s">
        <v>317</v>
      </c>
      <c r="LH2" s="4" t="s">
        <v>318</v>
      </c>
      <c r="LI2" s="4" t="s">
        <v>319</v>
      </c>
      <c r="LJ2" s="4" t="s">
        <v>320</v>
      </c>
      <c r="LK2" s="4" t="s">
        <v>321</v>
      </c>
      <c r="LL2" s="4" t="s">
        <v>322</v>
      </c>
      <c r="LM2" s="4" t="s">
        <v>323</v>
      </c>
      <c r="LN2" s="4" t="s">
        <v>324</v>
      </c>
      <c r="LO2" s="4" t="s">
        <v>325</v>
      </c>
      <c r="LP2" s="4" t="s">
        <v>326</v>
      </c>
      <c r="LQ2" s="4" t="s">
        <v>327</v>
      </c>
      <c r="LR2" s="4" t="s">
        <v>328</v>
      </c>
      <c r="LS2" s="4" t="s">
        <v>329</v>
      </c>
      <c r="LT2" s="4" t="s">
        <v>330</v>
      </c>
      <c r="LU2" s="4" t="s">
        <v>331</v>
      </c>
      <c r="LV2" s="4" t="s">
        <v>332</v>
      </c>
      <c r="LW2" s="4" t="s">
        <v>333</v>
      </c>
      <c r="LX2" s="4" t="s">
        <v>334</v>
      </c>
      <c r="LY2" s="4" t="s">
        <v>335</v>
      </c>
      <c r="LZ2" s="4" t="s">
        <v>336</v>
      </c>
      <c r="MA2" s="4" t="s">
        <v>337</v>
      </c>
      <c r="MB2" s="4" t="s">
        <v>338</v>
      </c>
      <c r="MC2" s="4" t="s">
        <v>339</v>
      </c>
    </row>
    <row r="3" spans="1:341" x14ac:dyDescent="0.25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</row>
    <row r="4" spans="1:341" x14ac:dyDescent="0.25">
      <c r="A4" s="4" t="s">
        <v>340</v>
      </c>
      <c r="B4" s="4"/>
      <c r="C4" t="s">
        <v>341</v>
      </c>
      <c r="D4" t="s">
        <v>342</v>
      </c>
      <c r="E4" t="s">
        <v>343</v>
      </c>
      <c r="F4" t="s">
        <v>344</v>
      </c>
      <c r="G4" t="s">
        <v>345</v>
      </c>
      <c r="H4" t="s">
        <v>346</v>
      </c>
      <c r="I4" t="s">
        <v>347</v>
      </c>
      <c r="J4" t="s">
        <v>348</v>
      </c>
      <c r="K4" t="s">
        <v>349</v>
      </c>
      <c r="L4" t="s">
        <v>350</v>
      </c>
      <c r="M4" t="s">
        <v>351</v>
      </c>
      <c r="N4" t="s">
        <v>352</v>
      </c>
      <c r="O4" t="s">
        <v>353</v>
      </c>
      <c r="P4" t="s">
        <v>354</v>
      </c>
      <c r="Q4" t="s">
        <v>354</v>
      </c>
      <c r="R4" t="s">
        <v>355</v>
      </c>
      <c r="S4" t="s">
        <v>356</v>
      </c>
      <c r="T4" t="s">
        <v>357</v>
      </c>
      <c r="U4" t="s">
        <v>358</v>
      </c>
      <c r="V4" t="s">
        <v>359</v>
      </c>
      <c r="W4" t="s">
        <v>360</v>
      </c>
      <c r="X4" t="s">
        <v>361</v>
      </c>
      <c r="Y4" t="s">
        <v>362</v>
      </c>
      <c r="Z4" t="s">
        <v>363</v>
      </c>
      <c r="AA4" t="s">
        <v>364</v>
      </c>
      <c r="AB4" t="s">
        <v>365</v>
      </c>
      <c r="AC4" t="s">
        <v>366</v>
      </c>
      <c r="AD4" t="s">
        <v>367</v>
      </c>
      <c r="AE4" t="s">
        <v>368</v>
      </c>
      <c r="AF4" t="s">
        <v>369</v>
      </c>
      <c r="AG4" t="s">
        <v>370</v>
      </c>
      <c r="AH4" t="s">
        <v>371</v>
      </c>
      <c r="AI4" t="s">
        <v>372</v>
      </c>
      <c r="AJ4" t="s">
        <v>373</v>
      </c>
      <c r="AK4" t="s">
        <v>374</v>
      </c>
      <c r="AL4" t="s">
        <v>375</v>
      </c>
      <c r="AM4" t="s">
        <v>376</v>
      </c>
      <c r="AN4" t="s">
        <v>377</v>
      </c>
      <c r="AO4" t="s">
        <v>378</v>
      </c>
      <c r="AP4" t="s">
        <v>379</v>
      </c>
      <c r="AQ4" t="s">
        <v>380</v>
      </c>
      <c r="AR4" t="s">
        <v>381</v>
      </c>
      <c r="AS4" t="s">
        <v>382</v>
      </c>
      <c r="AT4" t="s">
        <v>383</v>
      </c>
      <c r="AU4" t="s">
        <v>384</v>
      </c>
      <c r="AV4" t="s">
        <v>385</v>
      </c>
      <c r="AW4" t="s">
        <v>371</v>
      </c>
      <c r="AX4" t="s">
        <v>386</v>
      </c>
      <c r="AY4" t="s">
        <v>387</v>
      </c>
      <c r="AZ4" t="s">
        <v>388</v>
      </c>
      <c r="BA4" t="s">
        <v>389</v>
      </c>
      <c r="BB4" t="s">
        <v>386</v>
      </c>
      <c r="BC4" t="s">
        <v>387</v>
      </c>
      <c r="BD4" t="s">
        <v>390</v>
      </c>
      <c r="BE4" t="s">
        <v>391</v>
      </c>
      <c r="BF4" t="s">
        <v>392</v>
      </c>
      <c r="BG4" t="s">
        <v>393</v>
      </c>
      <c r="BH4" t="s">
        <v>394</v>
      </c>
      <c r="BI4" t="s">
        <v>367</v>
      </c>
      <c r="BJ4" t="s">
        <v>395</v>
      </c>
      <c r="BK4" t="s">
        <v>396</v>
      </c>
      <c r="BL4" t="s">
        <v>394</v>
      </c>
      <c r="BM4" t="s">
        <v>397</v>
      </c>
      <c r="BN4" t="s">
        <v>363</v>
      </c>
      <c r="BO4" t="s">
        <v>398</v>
      </c>
      <c r="BP4" t="s">
        <v>399</v>
      </c>
      <c r="BQ4" t="s">
        <v>400</v>
      </c>
      <c r="BR4" t="s">
        <v>401</v>
      </c>
      <c r="BS4" t="s">
        <v>376</v>
      </c>
      <c r="BT4" t="s">
        <v>402</v>
      </c>
      <c r="BU4" t="s">
        <v>403</v>
      </c>
      <c r="BV4" t="s">
        <v>379</v>
      </c>
      <c r="BW4" t="s">
        <v>404</v>
      </c>
      <c r="BX4" t="s">
        <v>405</v>
      </c>
      <c r="BY4" t="s">
        <v>379</v>
      </c>
      <c r="BZ4" t="s">
        <v>406</v>
      </c>
      <c r="CA4" t="s">
        <v>368</v>
      </c>
      <c r="CB4" t="s">
        <v>407</v>
      </c>
      <c r="CC4" t="s">
        <v>408</v>
      </c>
      <c r="CD4" t="s">
        <v>383</v>
      </c>
      <c r="CE4" t="s">
        <v>409</v>
      </c>
      <c r="CF4" t="s">
        <v>410</v>
      </c>
      <c r="CG4" t="s">
        <v>374</v>
      </c>
      <c r="CH4" t="s">
        <v>411</v>
      </c>
      <c r="CI4" t="s">
        <v>412</v>
      </c>
      <c r="CJ4" t="s">
        <v>391</v>
      </c>
      <c r="CK4" t="s">
        <v>413</v>
      </c>
      <c r="CL4" t="s">
        <v>414</v>
      </c>
      <c r="CM4" t="s">
        <v>382</v>
      </c>
      <c r="CN4" t="s">
        <v>415</v>
      </c>
      <c r="CO4" t="s">
        <v>411</v>
      </c>
      <c r="CP4" t="s">
        <v>416</v>
      </c>
      <c r="CQ4" t="s">
        <v>399</v>
      </c>
      <c r="CR4" t="s">
        <v>417</v>
      </c>
      <c r="CS4" t="s">
        <v>418</v>
      </c>
      <c r="CT4" t="s">
        <v>402</v>
      </c>
      <c r="CU4" t="s">
        <v>363</v>
      </c>
      <c r="CV4" t="s">
        <v>415</v>
      </c>
      <c r="CW4" t="s">
        <v>419</v>
      </c>
      <c r="CX4" t="s">
        <v>405</v>
      </c>
      <c r="CY4" t="s">
        <v>420</v>
      </c>
      <c r="CZ4" t="s">
        <v>421</v>
      </c>
      <c r="DA4" t="s">
        <v>422</v>
      </c>
      <c r="DB4" t="s">
        <v>423</v>
      </c>
      <c r="DC4" t="s">
        <v>424</v>
      </c>
      <c r="DD4" t="s">
        <v>425</v>
      </c>
      <c r="DE4" t="s">
        <v>426</v>
      </c>
      <c r="DF4" t="s">
        <v>427</v>
      </c>
      <c r="DG4" t="s">
        <v>428</v>
      </c>
      <c r="DH4" t="s">
        <v>384</v>
      </c>
      <c r="DI4" t="s">
        <v>429</v>
      </c>
      <c r="DJ4" t="s">
        <v>430</v>
      </c>
      <c r="DK4" t="s">
        <v>384</v>
      </c>
      <c r="DL4" t="s">
        <v>411</v>
      </c>
      <c r="DM4" t="s">
        <v>431</v>
      </c>
      <c r="DN4" t="s">
        <v>426</v>
      </c>
      <c r="DO4" t="s">
        <v>369</v>
      </c>
      <c r="DP4" t="s">
        <v>432</v>
      </c>
      <c r="DQ4" t="s">
        <v>372</v>
      </c>
      <c r="DR4" t="s">
        <v>382</v>
      </c>
      <c r="DS4" t="s">
        <v>433</v>
      </c>
      <c r="DT4" t="s">
        <v>434</v>
      </c>
      <c r="DU4" t="s">
        <v>390</v>
      </c>
      <c r="DV4" t="s">
        <v>365</v>
      </c>
      <c r="DW4" t="s">
        <v>434</v>
      </c>
      <c r="DX4" t="s">
        <v>435</v>
      </c>
      <c r="DY4" t="s">
        <v>410</v>
      </c>
      <c r="DZ4" t="s">
        <v>407</v>
      </c>
      <c r="EA4" t="s">
        <v>426</v>
      </c>
      <c r="EB4" t="s">
        <v>436</v>
      </c>
      <c r="EC4" t="s">
        <v>437</v>
      </c>
      <c r="ED4" t="s">
        <v>377</v>
      </c>
      <c r="EE4" t="s">
        <v>438</v>
      </c>
      <c r="EF4" t="s">
        <v>380</v>
      </c>
      <c r="EG4" t="s">
        <v>360</v>
      </c>
      <c r="EH4" t="s">
        <v>439</v>
      </c>
      <c r="EI4" t="s">
        <v>440</v>
      </c>
      <c r="EJ4" t="s">
        <v>416</v>
      </c>
      <c r="EK4" t="s">
        <v>407</v>
      </c>
      <c r="EL4" t="s">
        <v>374</v>
      </c>
      <c r="EM4" t="s">
        <v>381</v>
      </c>
      <c r="EN4" t="s">
        <v>418</v>
      </c>
      <c r="EO4" t="s">
        <v>441</v>
      </c>
      <c r="EP4" t="s">
        <v>442</v>
      </c>
      <c r="EQ4" t="s">
        <v>395</v>
      </c>
      <c r="ER4" t="s">
        <v>443</v>
      </c>
      <c r="ES4" t="s">
        <v>418</v>
      </c>
      <c r="ET4" t="s">
        <v>390</v>
      </c>
      <c r="EU4" t="s">
        <v>397</v>
      </c>
      <c r="EV4" t="s">
        <v>444</v>
      </c>
      <c r="EW4" t="s">
        <v>365</v>
      </c>
      <c r="EX4" t="s">
        <v>365</v>
      </c>
      <c r="EY4" t="s">
        <v>432</v>
      </c>
      <c r="EZ4" t="s">
        <v>438</v>
      </c>
      <c r="FA4" t="s">
        <v>413</v>
      </c>
      <c r="FB4" t="s">
        <v>413</v>
      </c>
      <c r="FC4" t="s">
        <v>385</v>
      </c>
      <c r="FD4" t="s">
        <v>369</v>
      </c>
      <c r="FE4" t="s">
        <v>445</v>
      </c>
      <c r="FF4" t="s">
        <v>367</v>
      </c>
      <c r="FG4" t="s">
        <v>409</v>
      </c>
      <c r="FH4" t="s">
        <v>446</v>
      </c>
      <c r="FI4" t="s">
        <v>375</v>
      </c>
      <c r="FJ4" t="s">
        <v>437</v>
      </c>
      <c r="FK4" t="s">
        <v>444</v>
      </c>
      <c r="FL4" t="s">
        <v>440</v>
      </c>
      <c r="FM4" t="s">
        <v>447</v>
      </c>
      <c r="FN4" t="s">
        <v>446</v>
      </c>
      <c r="FO4" t="s">
        <v>448</v>
      </c>
      <c r="FP4" t="s">
        <v>413</v>
      </c>
      <c r="FQ4" t="s">
        <v>449</v>
      </c>
      <c r="FR4" t="s">
        <v>450</v>
      </c>
      <c r="FS4" t="s">
        <v>416</v>
      </c>
      <c r="FT4" t="s">
        <v>413</v>
      </c>
      <c r="FU4" t="s">
        <v>444</v>
      </c>
      <c r="FV4" t="s">
        <v>440</v>
      </c>
      <c r="FW4" t="s">
        <v>428</v>
      </c>
      <c r="FX4" t="s">
        <v>444</v>
      </c>
      <c r="FY4" t="s">
        <v>369</v>
      </c>
      <c r="FZ4" t="s">
        <v>416</v>
      </c>
      <c r="GA4" t="s">
        <v>385</v>
      </c>
      <c r="GB4" t="s">
        <v>366</v>
      </c>
      <c r="GC4" t="s">
        <v>385</v>
      </c>
      <c r="GD4" t="s">
        <v>413</v>
      </c>
      <c r="GE4" t="s">
        <v>374</v>
      </c>
      <c r="GF4" t="s">
        <v>432</v>
      </c>
      <c r="GG4" t="s">
        <v>439</v>
      </c>
      <c r="GH4" t="s">
        <v>429</v>
      </c>
      <c r="GI4" t="s">
        <v>411</v>
      </c>
      <c r="GJ4" t="s">
        <v>408</v>
      </c>
      <c r="GK4" t="s">
        <v>381</v>
      </c>
      <c r="GL4" t="s">
        <v>451</v>
      </c>
      <c r="GM4" t="s">
        <v>403</v>
      </c>
      <c r="GN4" t="s">
        <v>452</v>
      </c>
      <c r="GO4" t="s">
        <v>450</v>
      </c>
      <c r="GP4" t="s">
        <v>439</v>
      </c>
      <c r="GQ4" t="s">
        <v>414</v>
      </c>
      <c r="GR4" t="s">
        <v>453</v>
      </c>
      <c r="GS4" t="s">
        <v>414</v>
      </c>
      <c r="GT4" t="s">
        <v>417</v>
      </c>
      <c r="GU4" t="s">
        <v>447</v>
      </c>
      <c r="GV4" t="s">
        <v>454</v>
      </c>
      <c r="GW4" t="s">
        <v>369</v>
      </c>
      <c r="GX4" t="s">
        <v>366</v>
      </c>
      <c r="GY4" t="s">
        <v>455</v>
      </c>
      <c r="GZ4" t="s">
        <v>432</v>
      </c>
      <c r="HA4" t="s">
        <v>448</v>
      </c>
      <c r="HB4" t="s">
        <v>381</v>
      </c>
      <c r="HC4" t="s">
        <v>411</v>
      </c>
      <c r="HD4" t="s">
        <v>371</v>
      </c>
      <c r="HE4" t="s">
        <v>394</v>
      </c>
      <c r="HF4" t="s">
        <v>450</v>
      </c>
      <c r="HG4" t="s">
        <v>418</v>
      </c>
      <c r="HH4" t="s">
        <v>456</v>
      </c>
      <c r="HI4" t="s">
        <v>416</v>
      </c>
      <c r="HJ4" t="s">
        <v>457</v>
      </c>
      <c r="HK4" t="s">
        <v>381</v>
      </c>
      <c r="HL4" t="s">
        <v>374</v>
      </c>
      <c r="HM4" t="s">
        <v>408</v>
      </c>
      <c r="HN4" t="s">
        <v>407</v>
      </c>
      <c r="HO4" t="s">
        <v>399</v>
      </c>
      <c r="HP4" t="s">
        <v>447</v>
      </c>
      <c r="HQ4" t="s">
        <v>435</v>
      </c>
      <c r="HR4" t="s">
        <v>399</v>
      </c>
      <c r="HS4" t="s">
        <v>369</v>
      </c>
      <c r="HT4" t="s">
        <v>440</v>
      </c>
      <c r="HU4" t="s">
        <v>432</v>
      </c>
      <c r="HV4" t="s">
        <v>449</v>
      </c>
      <c r="HW4" t="s">
        <v>458</v>
      </c>
      <c r="HX4" t="s">
        <v>385</v>
      </c>
      <c r="HY4" t="s">
        <v>360</v>
      </c>
      <c r="HZ4" t="s">
        <v>408</v>
      </c>
      <c r="IA4" t="s">
        <v>375</v>
      </c>
      <c r="IB4" t="s">
        <v>459</v>
      </c>
      <c r="IC4" t="s">
        <v>440</v>
      </c>
      <c r="ID4" t="s">
        <v>434</v>
      </c>
      <c r="IE4" t="s">
        <v>459</v>
      </c>
      <c r="IF4" t="s">
        <v>460</v>
      </c>
      <c r="IG4" t="s">
        <v>383</v>
      </c>
      <c r="IH4" t="s">
        <v>461</v>
      </c>
      <c r="II4" t="s">
        <v>403</v>
      </c>
      <c r="IJ4" t="s">
        <v>438</v>
      </c>
      <c r="IK4" t="s">
        <v>408</v>
      </c>
      <c r="IL4" t="s">
        <v>402</v>
      </c>
      <c r="IM4" t="s">
        <v>372</v>
      </c>
      <c r="IN4" t="s">
        <v>429</v>
      </c>
      <c r="IO4" t="s">
        <v>462</v>
      </c>
      <c r="IP4" t="s">
        <v>362</v>
      </c>
      <c r="IQ4" t="s">
        <v>463</v>
      </c>
      <c r="IR4" t="s">
        <v>382</v>
      </c>
      <c r="IS4" t="s">
        <v>446</v>
      </c>
      <c r="IT4" t="s">
        <v>447</v>
      </c>
      <c r="IU4" t="s">
        <v>400</v>
      </c>
      <c r="IV4" t="s">
        <v>376</v>
      </c>
      <c r="IW4" t="s">
        <v>375</v>
      </c>
      <c r="IX4" t="s">
        <v>464</v>
      </c>
      <c r="IY4" t="s">
        <v>465</v>
      </c>
      <c r="IZ4" t="s">
        <v>466</v>
      </c>
      <c r="JA4" t="s">
        <v>467</v>
      </c>
      <c r="JB4" t="s">
        <v>468</v>
      </c>
      <c r="JC4" t="s">
        <v>381</v>
      </c>
      <c r="JD4" t="s">
        <v>426</v>
      </c>
      <c r="JE4" t="s">
        <v>429</v>
      </c>
      <c r="JF4" t="s">
        <v>360</v>
      </c>
      <c r="JG4" t="s">
        <v>411</v>
      </c>
      <c r="JH4" t="s">
        <v>365</v>
      </c>
      <c r="JI4" t="s">
        <v>457</v>
      </c>
      <c r="JJ4" t="s">
        <v>449</v>
      </c>
      <c r="JK4" t="s">
        <v>445</v>
      </c>
      <c r="JL4" t="s">
        <v>367</v>
      </c>
      <c r="JM4" t="s">
        <v>409</v>
      </c>
      <c r="JN4" t="s">
        <v>390</v>
      </c>
      <c r="JO4" t="s">
        <v>438</v>
      </c>
      <c r="JP4" t="s">
        <v>406</v>
      </c>
      <c r="JQ4" t="s">
        <v>397</v>
      </c>
      <c r="JR4" t="s">
        <v>469</v>
      </c>
      <c r="JS4" t="s">
        <v>385</v>
      </c>
      <c r="JT4" t="s">
        <v>395</v>
      </c>
      <c r="JU4" t="s">
        <v>455</v>
      </c>
      <c r="JV4" t="s">
        <v>402</v>
      </c>
      <c r="JW4" t="s">
        <v>413</v>
      </c>
      <c r="JX4" t="s">
        <v>365</v>
      </c>
      <c r="JY4" t="s">
        <v>430</v>
      </c>
      <c r="JZ4" t="s">
        <v>368</v>
      </c>
      <c r="KA4" t="s">
        <v>470</v>
      </c>
      <c r="KB4" t="s">
        <v>376</v>
      </c>
      <c r="KC4" t="s">
        <v>461</v>
      </c>
      <c r="KD4" t="s">
        <v>361</v>
      </c>
      <c r="KE4" t="s">
        <v>390</v>
      </c>
      <c r="KF4" t="s">
        <v>471</v>
      </c>
      <c r="KG4" t="s">
        <v>444</v>
      </c>
      <c r="KH4" t="s">
        <v>450</v>
      </c>
      <c r="KI4" t="s">
        <v>442</v>
      </c>
      <c r="KJ4" t="s">
        <v>366</v>
      </c>
      <c r="KK4" t="s">
        <v>368</v>
      </c>
      <c r="KL4" t="s">
        <v>381</v>
      </c>
      <c r="KM4" t="s">
        <v>439</v>
      </c>
      <c r="KN4" t="s">
        <v>408</v>
      </c>
      <c r="KO4" t="s">
        <v>401</v>
      </c>
      <c r="KP4" t="s">
        <v>403</v>
      </c>
      <c r="KQ4" t="s">
        <v>395</v>
      </c>
      <c r="KR4" t="s">
        <v>472</v>
      </c>
      <c r="KS4" t="s">
        <v>473</v>
      </c>
      <c r="KT4" t="s">
        <v>441</v>
      </c>
      <c r="KU4" t="s">
        <v>372</v>
      </c>
      <c r="KV4" t="s">
        <v>474</v>
      </c>
      <c r="KW4" t="s">
        <v>418</v>
      </c>
      <c r="KX4" t="s">
        <v>438</v>
      </c>
      <c r="KY4" t="s">
        <v>475</v>
      </c>
      <c r="KZ4" t="s">
        <v>476</v>
      </c>
      <c r="LA4" t="s">
        <v>477</v>
      </c>
      <c r="LB4" t="s">
        <v>449</v>
      </c>
      <c r="LC4" t="s">
        <v>416</v>
      </c>
      <c r="LD4" t="s">
        <v>385</v>
      </c>
      <c r="LE4" t="s">
        <v>456</v>
      </c>
      <c r="LF4" t="s">
        <v>435</v>
      </c>
      <c r="LG4" t="s">
        <v>478</v>
      </c>
      <c r="LH4" t="s">
        <v>479</v>
      </c>
      <c r="LI4" t="s">
        <v>438</v>
      </c>
      <c r="LJ4" t="s">
        <v>435</v>
      </c>
      <c r="LK4" t="s">
        <v>480</v>
      </c>
      <c r="LL4" t="s">
        <v>397</v>
      </c>
      <c r="LM4" t="s">
        <v>414</v>
      </c>
      <c r="LN4" t="s">
        <v>448</v>
      </c>
      <c r="LO4" t="s">
        <v>466</v>
      </c>
      <c r="LP4" t="s">
        <v>436</v>
      </c>
      <c r="LQ4" t="s">
        <v>481</v>
      </c>
      <c r="LR4" t="s">
        <v>482</v>
      </c>
      <c r="LS4" t="s">
        <v>398</v>
      </c>
      <c r="LT4" t="s">
        <v>483</v>
      </c>
      <c r="LU4" t="s">
        <v>375</v>
      </c>
      <c r="LV4" t="s">
        <v>465</v>
      </c>
      <c r="LW4" t="s">
        <v>484</v>
      </c>
      <c r="LX4" t="s">
        <v>485</v>
      </c>
      <c r="LY4" t="s">
        <v>369</v>
      </c>
      <c r="LZ4" t="s">
        <v>460</v>
      </c>
      <c r="MA4" t="s">
        <v>486</v>
      </c>
      <c r="MB4" t="s">
        <v>487</v>
      </c>
      <c r="MC4" t="s">
        <v>488</v>
      </c>
    </row>
    <row r="6" spans="1:341" x14ac:dyDescent="0.25">
      <c r="A6" t="s">
        <v>489</v>
      </c>
    </row>
  </sheetData>
  <mergeCells count="341">
    <mergeCell ref="A1:MC1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EX2:EX3"/>
    <mergeCell ref="EY2:EY3"/>
    <mergeCell ref="EZ2:EZ3"/>
    <mergeCell ref="FA2:FA3"/>
    <mergeCell ref="FB2:FB3"/>
    <mergeCell ref="FC2:FC3"/>
    <mergeCell ref="FD2:FD3"/>
    <mergeCell ref="FE2:FE3"/>
    <mergeCell ref="FF2:FF3"/>
    <mergeCell ref="FG2:FG3"/>
    <mergeCell ref="FH2:FH3"/>
    <mergeCell ref="FI2:FI3"/>
    <mergeCell ref="FJ2:FJ3"/>
    <mergeCell ref="FK2:FK3"/>
    <mergeCell ref="FL2:FL3"/>
    <mergeCell ref="FM2:FM3"/>
    <mergeCell ref="FN2:FN3"/>
    <mergeCell ref="FO2:FO3"/>
    <mergeCell ref="FP2:FP3"/>
    <mergeCell ref="FQ2:FQ3"/>
    <mergeCell ref="FR2:FR3"/>
    <mergeCell ref="FS2:FS3"/>
    <mergeCell ref="FT2:FT3"/>
    <mergeCell ref="FU2:FU3"/>
    <mergeCell ref="FV2:FV3"/>
    <mergeCell ref="FW2:FW3"/>
    <mergeCell ref="FX2:FX3"/>
    <mergeCell ref="FY2:FY3"/>
    <mergeCell ref="FZ2:FZ3"/>
    <mergeCell ref="GA2:GA3"/>
    <mergeCell ref="GB2:GB3"/>
    <mergeCell ref="GC2:GC3"/>
    <mergeCell ref="GD2:GD3"/>
    <mergeCell ref="GE2:GE3"/>
    <mergeCell ref="GF2:GF3"/>
    <mergeCell ref="GG2:GG3"/>
    <mergeCell ref="GH2:GH3"/>
    <mergeCell ref="GI2:GI3"/>
    <mergeCell ref="GJ2:GJ3"/>
    <mergeCell ref="GK2:GK3"/>
    <mergeCell ref="GL2:GL3"/>
    <mergeCell ref="GM2:GM3"/>
    <mergeCell ref="GN2:GN3"/>
    <mergeCell ref="GO2:GO3"/>
    <mergeCell ref="GP2:GP3"/>
    <mergeCell ref="GQ2:GQ3"/>
    <mergeCell ref="GR2:GR3"/>
    <mergeCell ref="GS2:GS3"/>
    <mergeCell ref="GT2:GT3"/>
    <mergeCell ref="GU2:GU3"/>
    <mergeCell ref="GV2:GV3"/>
    <mergeCell ref="GW2:GW3"/>
    <mergeCell ref="GX2:GX3"/>
    <mergeCell ref="GY2:GY3"/>
    <mergeCell ref="GZ2:GZ3"/>
    <mergeCell ref="HA2:HA3"/>
    <mergeCell ref="HB2:HB3"/>
    <mergeCell ref="HC2:HC3"/>
    <mergeCell ref="HD2:HD3"/>
    <mergeCell ref="HE2:HE3"/>
    <mergeCell ref="HF2:HF3"/>
    <mergeCell ref="HG2:HG3"/>
    <mergeCell ref="HH2:HH3"/>
    <mergeCell ref="HI2:HI3"/>
    <mergeCell ref="HJ2:HJ3"/>
    <mergeCell ref="HK2:HK3"/>
    <mergeCell ref="HL2:HL3"/>
    <mergeCell ref="HM2:HM3"/>
    <mergeCell ref="HN2:HN3"/>
    <mergeCell ref="HO2:HO3"/>
    <mergeCell ref="HP2:HP3"/>
    <mergeCell ref="HQ2:HQ3"/>
    <mergeCell ref="HR2:HR3"/>
    <mergeCell ref="HS2:HS3"/>
    <mergeCell ref="HT2:HT3"/>
    <mergeCell ref="HU2:HU3"/>
    <mergeCell ref="HV2:HV3"/>
    <mergeCell ref="HW2:HW3"/>
    <mergeCell ref="HX2:HX3"/>
    <mergeCell ref="HY2:HY3"/>
    <mergeCell ref="HZ2:HZ3"/>
    <mergeCell ref="IA2:IA3"/>
    <mergeCell ref="IB2:IB3"/>
    <mergeCell ref="IC2:IC3"/>
    <mergeCell ref="ID2:ID3"/>
    <mergeCell ref="IE2:IE3"/>
    <mergeCell ref="IF2:IF3"/>
    <mergeCell ref="IG2:IG3"/>
    <mergeCell ref="IH2:IH3"/>
    <mergeCell ref="II2:II3"/>
    <mergeCell ref="IJ2:IJ3"/>
    <mergeCell ref="IK2:IK3"/>
    <mergeCell ref="IL2:IL3"/>
    <mergeCell ref="IM2:IM3"/>
    <mergeCell ref="IN2:IN3"/>
    <mergeCell ref="IO2:IO3"/>
    <mergeCell ref="IP2:IP3"/>
    <mergeCell ref="IQ2:IQ3"/>
    <mergeCell ref="IR2:IR3"/>
    <mergeCell ref="IS2:IS3"/>
    <mergeCell ref="IT2:IT3"/>
    <mergeCell ref="IU2:IU3"/>
    <mergeCell ref="IV2:IV3"/>
    <mergeCell ref="IW2:IW3"/>
    <mergeCell ref="IX2:IX3"/>
    <mergeCell ref="IY2:IY3"/>
    <mergeCell ref="IZ2:IZ3"/>
    <mergeCell ref="JA2:JA3"/>
    <mergeCell ref="JB2:JB3"/>
    <mergeCell ref="JC2:JC3"/>
    <mergeCell ref="JD2:JD3"/>
    <mergeCell ref="JE2:JE3"/>
    <mergeCell ref="JF2:JF3"/>
    <mergeCell ref="JG2:JG3"/>
    <mergeCell ref="JH2:JH3"/>
    <mergeCell ref="JI2:JI3"/>
    <mergeCell ref="JJ2:JJ3"/>
    <mergeCell ref="JK2:JK3"/>
    <mergeCell ref="JL2:JL3"/>
    <mergeCell ref="JM2:JM3"/>
    <mergeCell ref="JN2:JN3"/>
    <mergeCell ref="JO2:JO3"/>
    <mergeCell ref="JP2:JP3"/>
    <mergeCell ref="JQ2:JQ3"/>
    <mergeCell ref="JR2:JR3"/>
    <mergeCell ref="JS2:JS3"/>
    <mergeCell ref="JT2:JT3"/>
    <mergeCell ref="JU2:JU3"/>
    <mergeCell ref="JV2:JV3"/>
    <mergeCell ref="JW2:JW3"/>
    <mergeCell ref="JX2:JX3"/>
    <mergeCell ref="JY2:JY3"/>
    <mergeCell ref="JZ2:JZ3"/>
    <mergeCell ref="KA2:KA3"/>
    <mergeCell ref="KB2:KB3"/>
    <mergeCell ref="KC2:KC3"/>
    <mergeCell ref="KD2:KD3"/>
    <mergeCell ref="KE2:KE3"/>
    <mergeCell ref="KF2:KF3"/>
    <mergeCell ref="KG2:KG3"/>
    <mergeCell ref="KH2:KH3"/>
    <mergeCell ref="KI2:KI3"/>
    <mergeCell ref="KJ2:KJ3"/>
    <mergeCell ref="KK2:KK3"/>
    <mergeCell ref="KL2:KL3"/>
    <mergeCell ref="KM2:KM3"/>
    <mergeCell ref="KN2:KN3"/>
    <mergeCell ref="KO2:KO3"/>
    <mergeCell ref="KP2:KP3"/>
    <mergeCell ref="KQ2:KQ3"/>
    <mergeCell ref="KR2:KR3"/>
    <mergeCell ref="LF2:LF3"/>
    <mergeCell ref="LG2:LG3"/>
    <mergeCell ref="LH2:LH3"/>
    <mergeCell ref="LI2:LI3"/>
    <mergeCell ref="LJ2:LJ3"/>
    <mergeCell ref="KS2:KS3"/>
    <mergeCell ref="KT2:KT3"/>
    <mergeCell ref="KU2:KU3"/>
    <mergeCell ref="KV2:KV3"/>
    <mergeCell ref="KW2:KW3"/>
    <mergeCell ref="KX2:KX3"/>
    <mergeCell ref="KY2:KY3"/>
    <mergeCell ref="KZ2:KZ3"/>
    <mergeCell ref="LA2:LA3"/>
    <mergeCell ref="MC2:MC3"/>
    <mergeCell ref="A4:B4"/>
    <mergeCell ref="LT2:LT3"/>
    <mergeCell ref="LU2:LU3"/>
    <mergeCell ref="LV2:LV3"/>
    <mergeCell ref="LW2:LW3"/>
    <mergeCell ref="LX2:LX3"/>
    <mergeCell ref="LY2:LY3"/>
    <mergeCell ref="LZ2:LZ3"/>
    <mergeCell ref="MA2:MA3"/>
    <mergeCell ref="MB2:MB3"/>
    <mergeCell ref="LK2:LK3"/>
    <mergeCell ref="LL2:LL3"/>
    <mergeCell ref="LM2:LM3"/>
    <mergeCell ref="LN2:LN3"/>
    <mergeCell ref="LO2:LO3"/>
    <mergeCell ref="LP2:LP3"/>
    <mergeCell ref="LQ2:LQ3"/>
    <mergeCell ref="LR2:LR3"/>
    <mergeCell ref="LS2:LS3"/>
    <mergeCell ref="LB2:LB3"/>
    <mergeCell ref="LC2:LC3"/>
    <mergeCell ref="LD2:LD3"/>
    <mergeCell ref="LE2:LE3"/>
  </mergeCells>
  <pageMargins left="0.511811024" right="0.511811024" top="0.78740157499999996" bottom="0.78740157499999996" header="0.31496062000000002" footer="0.31496062000000002"/>
  <ignoredErrors>
    <ignoredError sqref="A1:MC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4F1B-9FF6-46A4-955A-E1AD604DF3B1}">
  <sheetPr codeName="Planilha2"/>
  <dimension ref="A1:D14"/>
  <sheetViews>
    <sheetView workbookViewId="0">
      <selection activeCell="D2" sqref="D2"/>
    </sheetView>
  </sheetViews>
  <sheetFormatPr defaultRowHeight="15.75" x14ac:dyDescent="0.25"/>
  <cols>
    <col min="1" max="1" width="10.375" bestFit="1" customWidth="1"/>
  </cols>
  <sheetData>
    <row r="1" spans="1:4" x14ac:dyDescent="0.25">
      <c r="A1" t="s">
        <v>494</v>
      </c>
      <c r="B1" t="s">
        <v>495</v>
      </c>
      <c r="C1" t="s">
        <v>503</v>
      </c>
      <c r="D1" t="s">
        <v>504</v>
      </c>
    </row>
    <row r="2" spans="1:4" x14ac:dyDescent="0.25">
      <c r="A2" s="1">
        <v>43490</v>
      </c>
      <c r="B2">
        <v>0.42</v>
      </c>
      <c r="C2">
        <f>B2/B14</f>
        <v>9.9526066350710887E-2</v>
      </c>
      <c r="D2">
        <f>B2/D14</f>
        <v>0.12923076923076923</v>
      </c>
    </row>
    <row r="3" spans="1:4" x14ac:dyDescent="0.25">
      <c r="A3" s="1">
        <v>43518</v>
      </c>
      <c r="B3">
        <v>0.33</v>
      </c>
      <c r="C3">
        <f>B3/B14</f>
        <v>7.819905213270141E-2</v>
      </c>
      <c r="D3">
        <f>B3/D14</f>
        <v>0.10153846153846155</v>
      </c>
    </row>
    <row r="4" spans="1:4" x14ac:dyDescent="0.25">
      <c r="A4" s="1">
        <v>43553</v>
      </c>
      <c r="B4">
        <v>0.5</v>
      </c>
      <c r="C4">
        <f>B4/B14</f>
        <v>0.11848341232227487</v>
      </c>
      <c r="D4">
        <f>B4/D14</f>
        <v>0.15384615384615385</v>
      </c>
    </row>
    <row r="5" spans="1:4" x14ac:dyDescent="0.25">
      <c r="A5" s="1">
        <v>43581</v>
      </c>
      <c r="B5">
        <v>0.56000000000000005</v>
      </c>
      <c r="C5">
        <f>B5/B14</f>
        <v>0.13270142180094785</v>
      </c>
      <c r="D5">
        <f>B5/D14</f>
        <v>0.17230769230769233</v>
      </c>
    </row>
    <row r="6" spans="1:4" x14ac:dyDescent="0.25">
      <c r="A6" s="1">
        <v>43616</v>
      </c>
      <c r="B6">
        <v>0.26</v>
      </c>
      <c r="C6">
        <f>B6/B14</f>
        <v>6.1611374407582929E-2</v>
      </c>
    </row>
    <row r="7" spans="1:4" x14ac:dyDescent="0.25">
      <c r="A7" s="1">
        <v>43644</v>
      </c>
      <c r="B7">
        <v>0.24</v>
      </c>
      <c r="C7">
        <f>B7/B14</f>
        <v>5.6872037914691934E-2</v>
      </c>
    </row>
    <row r="8" spans="1:4" x14ac:dyDescent="0.25">
      <c r="A8" s="1">
        <v>43672</v>
      </c>
      <c r="B8">
        <v>0.22</v>
      </c>
      <c r="C8">
        <f>B8/B14</f>
        <v>5.2132701421800938E-2</v>
      </c>
    </row>
    <row r="9" spans="1:4" x14ac:dyDescent="0.25">
      <c r="A9" s="1">
        <v>43707</v>
      </c>
      <c r="B9">
        <v>0.11</v>
      </c>
      <c r="C9">
        <f>B9/B14</f>
        <v>2.6066350710900469E-2</v>
      </c>
    </row>
    <row r="10" spans="1:4" x14ac:dyDescent="0.25">
      <c r="A10" s="1">
        <v>43735</v>
      </c>
      <c r="B10">
        <v>0.06</v>
      </c>
      <c r="C10">
        <f>B10/B14</f>
        <v>1.4218009478672983E-2</v>
      </c>
    </row>
    <row r="11" spans="1:4" x14ac:dyDescent="0.25">
      <c r="A11" s="1">
        <v>43767</v>
      </c>
      <c r="B11">
        <v>0.08</v>
      </c>
      <c r="C11">
        <f>B11/B14</f>
        <v>1.8957345971563979E-2</v>
      </c>
    </row>
    <row r="12" spans="1:4" x14ac:dyDescent="0.25">
      <c r="A12" s="1">
        <v>43798</v>
      </c>
      <c r="B12">
        <v>0.47</v>
      </c>
      <c r="C12">
        <f>B12/B14</f>
        <v>0.11137440758293836</v>
      </c>
      <c r="D12">
        <f>B12/D14</f>
        <v>0.14461538461538462</v>
      </c>
    </row>
    <row r="13" spans="1:4" x14ac:dyDescent="0.25">
      <c r="A13" s="1">
        <v>43826</v>
      </c>
      <c r="B13">
        <v>0.97</v>
      </c>
      <c r="C13">
        <f>B13/B14</f>
        <v>0.22985781990521323</v>
      </c>
      <c r="D13">
        <f>B13/D14</f>
        <v>0.29846153846153844</v>
      </c>
    </row>
    <row r="14" spans="1:4" x14ac:dyDescent="0.25">
      <c r="A14" t="s">
        <v>496</v>
      </c>
      <c r="B14">
        <f>SUM(B2:B13)</f>
        <v>4.2200000000000006</v>
      </c>
      <c r="C14" t="s">
        <v>505</v>
      </c>
      <c r="D14">
        <f>B2+B3+B4+B5+B12+B13</f>
        <v>3.25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E719-92B4-46D1-A27E-4F7914667F2F}">
  <sheetPr codeName="Planilha3"/>
  <dimension ref="A1:I349"/>
  <sheetViews>
    <sheetView tabSelected="1" topLeftCell="A26" workbookViewId="0">
      <selection activeCell="B344" sqref="B44:B344"/>
    </sheetView>
  </sheetViews>
  <sheetFormatPr defaultRowHeight="15.75" x14ac:dyDescent="0.25"/>
  <sheetData>
    <row r="1" spans="1:9" x14ac:dyDescent="0.25">
      <c r="A1" t="s">
        <v>490</v>
      </c>
      <c r="B1" t="s">
        <v>491</v>
      </c>
      <c r="C1" t="s">
        <v>492</v>
      </c>
      <c r="D1" t="s">
        <v>493</v>
      </c>
      <c r="G1" t="s">
        <v>497</v>
      </c>
      <c r="H1" t="s">
        <v>498</v>
      </c>
      <c r="I1" t="s">
        <v>499</v>
      </c>
    </row>
    <row r="2" spans="1:9" x14ac:dyDescent="0.25">
      <c r="A2" s="1">
        <v>43009</v>
      </c>
      <c r="B2" t="s">
        <v>402</v>
      </c>
      <c r="C2">
        <f>1+B2/100</f>
        <v>1.0042</v>
      </c>
      <c r="D2">
        <v>1.0042</v>
      </c>
      <c r="G2">
        <v>13.7841</v>
      </c>
      <c r="H2">
        <v>125</v>
      </c>
      <c r="I2">
        <f>(((1+G2/100)^(1/252))^H2-1)*100</f>
        <v>6.6149833465272589</v>
      </c>
    </row>
    <row r="3" spans="1:9" x14ac:dyDescent="0.25">
      <c r="A3" s="1">
        <v>43040</v>
      </c>
      <c r="B3" t="s">
        <v>413</v>
      </c>
      <c r="C3">
        <f t="shared" ref="C3:C69" si="0">1+B3/100</f>
        <v>1.0027999999999999</v>
      </c>
      <c r="D3">
        <f>C3*D2</f>
        <v>1.0070117599999999</v>
      </c>
    </row>
    <row r="4" spans="1:9" x14ac:dyDescent="0.25">
      <c r="A4" s="1">
        <v>43070</v>
      </c>
      <c r="B4" t="s">
        <v>365</v>
      </c>
      <c r="C4">
        <f t="shared" si="0"/>
        <v>1.0044</v>
      </c>
      <c r="D4">
        <f t="shared" ref="D4:D69" si="1">C4*D3</f>
        <v>1.0114426117439999</v>
      </c>
      <c r="G4" t="s">
        <v>500</v>
      </c>
      <c r="H4" t="s">
        <v>501</v>
      </c>
      <c r="I4" t="s">
        <v>502</v>
      </c>
    </row>
    <row r="5" spans="1:9" x14ac:dyDescent="0.25">
      <c r="A5" s="1">
        <v>43101</v>
      </c>
      <c r="B5" t="s">
        <v>430</v>
      </c>
      <c r="C5">
        <f t="shared" si="0"/>
        <v>1.0028999999999999</v>
      </c>
      <c r="D5">
        <f t="shared" si="1"/>
        <v>1.0143757953180574</v>
      </c>
      <c r="G5" s="2">
        <v>4067.378647</v>
      </c>
      <c r="H5" s="2">
        <v>3953.2137870000001</v>
      </c>
      <c r="I5">
        <f>((G5*(1+I2/100))/(H5*(1+2.956301/100))-1)*100</f>
        <v>6.5441516054876248</v>
      </c>
    </row>
    <row r="6" spans="1:9" x14ac:dyDescent="0.25">
      <c r="A6" s="1">
        <v>43132</v>
      </c>
      <c r="B6" t="s">
        <v>368</v>
      </c>
      <c r="C6">
        <f t="shared" si="0"/>
        <v>1.0032000000000001</v>
      </c>
      <c r="D6">
        <f t="shared" si="1"/>
        <v>1.0176217978630753</v>
      </c>
    </row>
    <row r="7" spans="1:9" x14ac:dyDescent="0.25">
      <c r="A7" s="1">
        <v>43160</v>
      </c>
      <c r="B7" t="s">
        <v>470</v>
      </c>
      <c r="C7">
        <f t="shared" si="0"/>
        <v>1.0008999999999999</v>
      </c>
      <c r="D7">
        <f t="shared" si="1"/>
        <v>1.018537657481152</v>
      </c>
      <c r="G7" t="s">
        <v>509</v>
      </c>
    </row>
    <row r="8" spans="1:9" x14ac:dyDescent="0.25">
      <c r="A8" s="1">
        <v>43191</v>
      </c>
      <c r="B8" t="s">
        <v>376</v>
      </c>
      <c r="C8">
        <f t="shared" si="0"/>
        <v>1.0022</v>
      </c>
      <c r="D8">
        <f t="shared" si="1"/>
        <v>1.0207784403276106</v>
      </c>
      <c r="G8">
        <v>6.7350000000000003</v>
      </c>
    </row>
    <row r="9" spans="1:9" x14ac:dyDescent="0.25">
      <c r="A9" s="1">
        <v>43221</v>
      </c>
      <c r="B9" t="s">
        <v>461</v>
      </c>
      <c r="C9">
        <f t="shared" si="0"/>
        <v>1.004</v>
      </c>
      <c r="D9">
        <f t="shared" si="1"/>
        <v>1.024861554088921</v>
      </c>
      <c r="G9" t="s">
        <v>506</v>
      </c>
    </row>
    <row r="10" spans="1:9" x14ac:dyDescent="0.25">
      <c r="A10" s="1">
        <v>43252</v>
      </c>
      <c r="B10" t="s">
        <v>361</v>
      </c>
      <c r="C10">
        <f t="shared" si="0"/>
        <v>1.0125999999999999</v>
      </c>
      <c r="D10">
        <f t="shared" si="1"/>
        <v>1.0377748096704413</v>
      </c>
      <c r="G10">
        <v>5.9936999999999996</v>
      </c>
    </row>
    <row r="11" spans="1:9" x14ac:dyDescent="0.25">
      <c r="A11" s="1">
        <v>43282</v>
      </c>
      <c r="B11" t="s">
        <v>390</v>
      </c>
      <c r="C11">
        <f t="shared" si="0"/>
        <v>1.0033000000000001</v>
      </c>
      <c r="D11">
        <f t="shared" si="1"/>
        <v>1.0411994665423538</v>
      </c>
      <c r="G11" t="s">
        <v>507</v>
      </c>
    </row>
    <row r="12" spans="1:9" x14ac:dyDescent="0.25">
      <c r="A12" s="1">
        <v>43313</v>
      </c>
      <c r="B12" t="s">
        <v>471</v>
      </c>
      <c r="C12">
        <f t="shared" si="0"/>
        <v>0.99909999999999999</v>
      </c>
      <c r="D12">
        <f t="shared" si="1"/>
        <v>1.0402623870224657</v>
      </c>
      <c r="G12">
        <v>5.8136000000000001</v>
      </c>
    </row>
    <row r="13" spans="1:9" x14ac:dyDescent="0.25">
      <c r="A13" s="1">
        <v>43344</v>
      </c>
      <c r="B13" t="s">
        <v>444</v>
      </c>
      <c r="C13">
        <f t="shared" si="0"/>
        <v>1.0047999999999999</v>
      </c>
      <c r="D13">
        <f t="shared" si="1"/>
        <v>1.0452556464801734</v>
      </c>
      <c r="G13" t="s">
        <v>508</v>
      </c>
    </row>
    <row r="14" spans="1:9" x14ac:dyDescent="0.25">
      <c r="A14" s="1">
        <v>43374</v>
      </c>
      <c r="B14" t="s">
        <v>450</v>
      </c>
      <c r="C14">
        <f t="shared" si="0"/>
        <v>1.0044999999999999</v>
      </c>
      <c r="D14">
        <f t="shared" si="1"/>
        <v>1.0499592968893341</v>
      </c>
      <c r="G14">
        <v>5.8075999999999999</v>
      </c>
    </row>
    <row r="15" spans="1:9" x14ac:dyDescent="0.25">
      <c r="A15" s="1">
        <v>43405</v>
      </c>
      <c r="B15" t="s">
        <v>442</v>
      </c>
      <c r="C15">
        <f t="shared" si="0"/>
        <v>0.99790000000000001</v>
      </c>
      <c r="D15">
        <f t="shared" si="1"/>
        <v>1.0477543823658666</v>
      </c>
      <c r="G15" t="s">
        <v>510</v>
      </c>
    </row>
    <row r="16" spans="1:9" x14ac:dyDescent="0.25">
      <c r="A16" s="1">
        <v>43435</v>
      </c>
      <c r="B16" t="s">
        <v>366</v>
      </c>
      <c r="C16">
        <f t="shared" si="0"/>
        <v>1.0015000000000001</v>
      </c>
      <c r="D16">
        <f t="shared" si="1"/>
        <v>1.0493260139394154</v>
      </c>
      <c r="G16">
        <v>5.8404999999999996</v>
      </c>
    </row>
    <row r="17" spans="1:7" x14ac:dyDescent="0.25">
      <c r="A17" s="1">
        <v>43466</v>
      </c>
      <c r="B17" t="s">
        <v>368</v>
      </c>
      <c r="C17">
        <f t="shared" si="0"/>
        <v>1.0032000000000001</v>
      </c>
      <c r="D17">
        <f t="shared" si="1"/>
        <v>1.0526838571840216</v>
      </c>
      <c r="G17" t="s">
        <v>512</v>
      </c>
    </row>
    <row r="18" spans="1:7" x14ac:dyDescent="0.25">
      <c r="A18" s="1">
        <v>43497</v>
      </c>
      <c r="B18" t="s">
        <v>381</v>
      </c>
      <c r="C18">
        <f t="shared" si="0"/>
        <v>1.0043</v>
      </c>
      <c r="D18">
        <f t="shared" si="1"/>
        <v>1.0572103977699128</v>
      </c>
      <c r="G18">
        <v>5.8762999999999996</v>
      </c>
    </row>
    <row r="19" spans="1:7" x14ac:dyDescent="0.25">
      <c r="A19" s="1">
        <v>43525</v>
      </c>
      <c r="B19" t="s">
        <v>439</v>
      </c>
      <c r="C19">
        <f t="shared" si="0"/>
        <v>1.0075000000000001</v>
      </c>
      <c r="D19">
        <f t="shared" si="1"/>
        <v>1.0651394757531871</v>
      </c>
      <c r="G19" t="s">
        <v>513</v>
      </c>
    </row>
    <row r="20" spans="1:7" x14ac:dyDescent="0.25">
      <c r="A20" s="1">
        <v>43556</v>
      </c>
      <c r="B20" t="s">
        <v>408</v>
      </c>
      <c r="C20">
        <f t="shared" si="0"/>
        <v>1.0057</v>
      </c>
      <c r="D20">
        <f t="shared" si="1"/>
        <v>1.0712107707649803</v>
      </c>
      <c r="G20">
        <v>5.9071999999999996</v>
      </c>
    </row>
    <row r="21" spans="1:7" x14ac:dyDescent="0.25">
      <c r="A21" s="1">
        <v>43586</v>
      </c>
      <c r="B21" t="s">
        <v>401</v>
      </c>
      <c r="C21">
        <f t="shared" si="0"/>
        <v>1.0013000000000001</v>
      </c>
      <c r="D21">
        <f t="shared" si="1"/>
        <v>1.0726033447669749</v>
      </c>
      <c r="G21" t="s">
        <v>511</v>
      </c>
    </row>
    <row r="22" spans="1:7" x14ac:dyDescent="0.25">
      <c r="A22" s="1">
        <v>43617</v>
      </c>
      <c r="B22" t="s">
        <v>403</v>
      </c>
      <c r="C22">
        <f t="shared" si="0"/>
        <v>1.0001</v>
      </c>
      <c r="D22">
        <f t="shared" si="1"/>
        <v>1.0727106051014517</v>
      </c>
      <c r="G22">
        <v>5.9321000000000002</v>
      </c>
    </row>
    <row r="23" spans="1:7" x14ac:dyDescent="0.25">
      <c r="A23" s="1">
        <v>43647</v>
      </c>
      <c r="B23" t="s">
        <v>395</v>
      </c>
      <c r="C23">
        <f t="shared" si="0"/>
        <v>1.0019</v>
      </c>
      <c r="D23">
        <f t="shared" si="1"/>
        <v>1.0747487552511443</v>
      </c>
      <c r="G23" t="s">
        <v>518</v>
      </c>
    </row>
    <row r="24" spans="1:7" x14ac:dyDescent="0.25">
      <c r="A24" s="1">
        <v>43678</v>
      </c>
      <c r="B24" t="s">
        <v>472</v>
      </c>
      <c r="C24">
        <f t="shared" si="0"/>
        <v>1.0011000000000001</v>
      </c>
      <c r="D24">
        <f t="shared" si="1"/>
        <v>1.0759309788819207</v>
      </c>
      <c r="G24">
        <v>5.9524999999999997</v>
      </c>
    </row>
    <row r="25" spans="1:7" x14ac:dyDescent="0.25">
      <c r="A25" s="1">
        <v>43709</v>
      </c>
      <c r="B25" t="s">
        <v>473</v>
      </c>
      <c r="C25">
        <f t="shared" si="0"/>
        <v>0.99960000000000004</v>
      </c>
      <c r="D25">
        <f t="shared" si="1"/>
        <v>1.075500606490368</v>
      </c>
      <c r="G25" t="s">
        <v>519</v>
      </c>
    </row>
    <row r="26" spans="1:7" x14ac:dyDescent="0.25">
      <c r="A26" s="1">
        <v>43739</v>
      </c>
      <c r="B26" t="s">
        <v>441</v>
      </c>
      <c r="C26">
        <f t="shared" si="0"/>
        <v>1.0009999999999999</v>
      </c>
      <c r="D26">
        <f t="shared" si="1"/>
        <v>1.0765761070968582</v>
      </c>
      <c r="G26">
        <v>5.9690000000000003</v>
      </c>
    </row>
    <row r="27" spans="1:7" x14ac:dyDescent="0.25">
      <c r="A27" s="1">
        <v>43770</v>
      </c>
      <c r="B27" t="s">
        <v>372</v>
      </c>
      <c r="C27">
        <f t="shared" si="0"/>
        <v>1.0051000000000001</v>
      </c>
      <c r="D27">
        <f t="shared" si="1"/>
        <v>1.0820666452430523</v>
      </c>
      <c r="G27" t="s">
        <v>520</v>
      </c>
    </row>
    <row r="28" spans="1:7" x14ac:dyDescent="0.25">
      <c r="A28" s="1">
        <v>43800</v>
      </c>
      <c r="B28" t="s">
        <v>474</v>
      </c>
      <c r="C28">
        <f t="shared" si="0"/>
        <v>1.0115000000000001</v>
      </c>
      <c r="D28">
        <f t="shared" si="1"/>
        <v>1.0945104116633475</v>
      </c>
      <c r="G28">
        <v>5.9824869999999999</v>
      </c>
    </row>
    <row r="29" spans="1:7" x14ac:dyDescent="0.25">
      <c r="A29" s="1">
        <v>43831</v>
      </c>
      <c r="B29" t="s">
        <v>418</v>
      </c>
      <c r="C29">
        <f t="shared" si="0"/>
        <v>1.0021</v>
      </c>
      <c r="D29">
        <f t="shared" si="1"/>
        <v>1.0968088835278405</v>
      </c>
      <c r="G29" t="s">
        <v>521</v>
      </c>
    </row>
    <row r="30" spans="1:7" x14ac:dyDescent="0.25">
      <c r="A30" s="1">
        <v>43862</v>
      </c>
      <c r="B30" t="s">
        <v>438</v>
      </c>
      <c r="C30">
        <f t="shared" si="0"/>
        <v>1.0024999999999999</v>
      </c>
      <c r="D30">
        <f t="shared" si="1"/>
        <v>1.0995509057366599</v>
      </c>
      <c r="G30">
        <v>5.9938719999999996</v>
      </c>
    </row>
    <row r="31" spans="1:7" x14ac:dyDescent="0.25">
      <c r="A31" s="1">
        <v>43891</v>
      </c>
      <c r="B31" t="s">
        <v>475</v>
      </c>
      <c r="C31">
        <f t="shared" si="0"/>
        <v>1.0006999999999999</v>
      </c>
      <c r="D31">
        <f t="shared" si="1"/>
        <v>1.1003205913706755</v>
      </c>
      <c r="G31" t="s">
        <v>522</v>
      </c>
    </row>
    <row r="32" spans="1:7" x14ac:dyDescent="0.25">
      <c r="A32" s="1">
        <v>43922</v>
      </c>
      <c r="B32" t="s">
        <v>476</v>
      </c>
      <c r="C32">
        <f t="shared" si="0"/>
        <v>0.99690000000000001</v>
      </c>
      <c r="D32">
        <f t="shared" si="1"/>
        <v>1.0969095975374263</v>
      </c>
      <c r="G32">
        <v>6.0035170000000004</v>
      </c>
    </row>
    <row r="33" spans="1:7" x14ac:dyDescent="0.25">
      <c r="A33" s="1">
        <v>43952</v>
      </c>
      <c r="B33" t="s">
        <v>477</v>
      </c>
      <c r="C33">
        <f t="shared" si="0"/>
        <v>0.99619999999999997</v>
      </c>
      <c r="D33">
        <f t="shared" si="1"/>
        <v>1.0927413410667841</v>
      </c>
      <c r="G33" t="s">
        <v>523</v>
      </c>
    </row>
    <row r="34" spans="1:7" x14ac:dyDescent="0.25">
      <c r="A34" s="1">
        <v>43983</v>
      </c>
      <c r="B34" t="s">
        <v>449</v>
      </c>
      <c r="C34">
        <f t="shared" si="0"/>
        <v>1.0025999999999999</v>
      </c>
      <c r="D34">
        <f t="shared" si="1"/>
        <v>1.0955824685535578</v>
      </c>
      <c r="G34">
        <v>6.0117890000000003</v>
      </c>
    </row>
    <row r="35" spans="1:7" x14ac:dyDescent="0.25">
      <c r="A35" s="1">
        <v>44013</v>
      </c>
      <c r="B35" t="s">
        <v>416</v>
      </c>
      <c r="C35">
        <f t="shared" si="0"/>
        <v>1.0036</v>
      </c>
      <c r="D35">
        <f t="shared" si="1"/>
        <v>1.0995265654403505</v>
      </c>
      <c r="G35" t="s">
        <v>524</v>
      </c>
    </row>
    <row r="36" spans="1:7" x14ac:dyDescent="0.25">
      <c r="A36" s="1">
        <v>44044</v>
      </c>
      <c r="B36" t="s">
        <v>385</v>
      </c>
      <c r="C36">
        <f t="shared" si="0"/>
        <v>1.0024</v>
      </c>
      <c r="D36">
        <f t="shared" si="1"/>
        <v>1.1021654291974072</v>
      </c>
      <c r="G36">
        <v>6.0189589999999997</v>
      </c>
    </row>
    <row r="37" spans="1:7" x14ac:dyDescent="0.25">
      <c r="A37" s="1">
        <v>44075</v>
      </c>
      <c r="B37" t="s">
        <v>456</v>
      </c>
      <c r="C37">
        <f t="shared" si="0"/>
        <v>1.0064</v>
      </c>
      <c r="D37">
        <f t="shared" si="1"/>
        <v>1.1092192879442706</v>
      </c>
      <c r="G37" t="s">
        <v>525</v>
      </c>
    </row>
    <row r="38" spans="1:7" x14ac:dyDescent="0.25">
      <c r="A38" s="1">
        <v>44105</v>
      </c>
      <c r="B38" t="s">
        <v>435</v>
      </c>
      <c r="C38">
        <f t="shared" si="0"/>
        <v>1.0085999999999999</v>
      </c>
      <c r="D38">
        <f t="shared" si="1"/>
        <v>1.1187585738205912</v>
      </c>
      <c r="G38">
        <v>6.0252319999999999</v>
      </c>
    </row>
    <row r="39" spans="1:7" x14ac:dyDescent="0.25">
      <c r="A39" s="1">
        <v>44136</v>
      </c>
      <c r="B39" t="s">
        <v>478</v>
      </c>
      <c r="C39">
        <f t="shared" si="0"/>
        <v>1.0088999999999999</v>
      </c>
      <c r="D39">
        <f t="shared" si="1"/>
        <v>1.1287155251275944</v>
      </c>
      <c r="G39" t="s">
        <v>526</v>
      </c>
    </row>
    <row r="40" spans="1:7" x14ac:dyDescent="0.25">
      <c r="A40" s="1">
        <v>44166</v>
      </c>
      <c r="B40" t="s">
        <v>479</v>
      </c>
      <c r="C40">
        <f t="shared" si="0"/>
        <v>1.0135000000000001</v>
      </c>
      <c r="D40">
        <f t="shared" si="1"/>
        <v>1.143953184716817</v>
      </c>
      <c r="G40">
        <v>6.030767</v>
      </c>
    </row>
    <row r="41" spans="1:7" x14ac:dyDescent="0.25">
      <c r="A41" s="1">
        <v>44197</v>
      </c>
      <c r="B41" t="s">
        <v>438</v>
      </c>
      <c r="C41">
        <f t="shared" si="0"/>
        <v>1.0024999999999999</v>
      </c>
      <c r="D41">
        <f t="shared" si="1"/>
        <v>1.146813067678609</v>
      </c>
      <c r="G41" t="s">
        <v>527</v>
      </c>
    </row>
    <row r="42" spans="1:7" x14ac:dyDescent="0.25">
      <c r="A42" s="1">
        <v>44228</v>
      </c>
      <c r="B42" t="s">
        <v>435</v>
      </c>
      <c r="C42">
        <f t="shared" si="0"/>
        <v>1.0085999999999999</v>
      </c>
      <c r="D42">
        <f t="shared" si="1"/>
        <v>1.1566756600606449</v>
      </c>
      <c r="G42">
        <v>6.0356870000000002</v>
      </c>
    </row>
    <row r="43" spans="1:7" x14ac:dyDescent="0.25">
      <c r="A43" s="1">
        <v>44256</v>
      </c>
      <c r="B43" t="s">
        <v>480</v>
      </c>
      <c r="C43">
        <f t="shared" si="0"/>
        <v>1.0093000000000001</v>
      </c>
      <c r="D43">
        <f t="shared" si="1"/>
        <v>1.1674327436992091</v>
      </c>
      <c r="G43" t="s">
        <v>528</v>
      </c>
    </row>
    <row r="44" spans="1:7" x14ac:dyDescent="0.25">
      <c r="A44" s="1">
        <v>44287</v>
      </c>
      <c r="B44" t="s">
        <v>397</v>
      </c>
      <c r="C44">
        <f t="shared" si="0"/>
        <v>1.0031000000000001</v>
      </c>
      <c r="D44">
        <f t="shared" si="1"/>
        <v>1.1710517852046769</v>
      </c>
      <c r="G44">
        <v>6.0400879999999999</v>
      </c>
    </row>
    <row r="45" spans="1:7" x14ac:dyDescent="0.25">
      <c r="A45" s="1">
        <v>44317</v>
      </c>
      <c r="B45" t="s">
        <v>414</v>
      </c>
      <c r="C45">
        <f t="shared" si="0"/>
        <v>1.0083</v>
      </c>
      <c r="D45">
        <f t="shared" si="1"/>
        <v>1.1807715150218756</v>
      </c>
      <c r="G45" t="s">
        <v>529</v>
      </c>
    </row>
    <row r="46" spans="1:7" x14ac:dyDescent="0.25">
      <c r="A46" s="1">
        <v>44348</v>
      </c>
      <c r="B46" t="s">
        <v>448</v>
      </c>
      <c r="C46">
        <f t="shared" si="0"/>
        <v>1.0053000000000001</v>
      </c>
      <c r="D46">
        <f t="shared" si="1"/>
        <v>1.1870296040514916</v>
      </c>
      <c r="G46">
        <v>6.0440490000000002</v>
      </c>
    </row>
    <row r="47" spans="1:7" x14ac:dyDescent="0.25">
      <c r="A47" s="1">
        <v>44378</v>
      </c>
      <c r="B47" t="s">
        <v>466</v>
      </c>
      <c r="C47">
        <f t="shared" si="0"/>
        <v>1.0096000000000001</v>
      </c>
      <c r="D47">
        <f t="shared" si="1"/>
        <v>1.198425088250386</v>
      </c>
      <c r="G47" t="s">
        <v>530</v>
      </c>
    </row>
    <row r="48" spans="1:7" x14ac:dyDescent="0.25">
      <c r="A48" s="1">
        <v>44409</v>
      </c>
      <c r="B48" t="s">
        <v>436</v>
      </c>
      <c r="C48">
        <f t="shared" si="0"/>
        <v>1.0086999999999999</v>
      </c>
      <c r="D48">
        <f t="shared" si="1"/>
        <v>1.2088513865181643</v>
      </c>
      <c r="G48">
        <v>6.0476330000000003</v>
      </c>
    </row>
    <row r="49" spans="1:7" x14ac:dyDescent="0.25">
      <c r="A49" s="1">
        <v>44440</v>
      </c>
      <c r="B49" t="s">
        <v>481</v>
      </c>
      <c r="C49">
        <f t="shared" si="0"/>
        <v>1.0116000000000001</v>
      </c>
      <c r="D49">
        <f t="shared" si="1"/>
        <v>1.2228740626017751</v>
      </c>
      <c r="G49" t="s">
        <v>531</v>
      </c>
    </row>
    <row r="50" spans="1:7" x14ac:dyDescent="0.25">
      <c r="A50" s="1">
        <v>44470</v>
      </c>
      <c r="B50" t="s">
        <v>482</v>
      </c>
      <c r="C50">
        <f t="shared" si="0"/>
        <v>1.0125</v>
      </c>
      <c r="D50">
        <f t="shared" si="1"/>
        <v>1.2381599883842973</v>
      </c>
      <c r="G50">
        <v>6.0508899999999999</v>
      </c>
    </row>
    <row r="51" spans="1:7" x14ac:dyDescent="0.25">
      <c r="A51" s="1">
        <v>44501</v>
      </c>
      <c r="B51" t="s">
        <v>398</v>
      </c>
      <c r="C51">
        <f t="shared" si="0"/>
        <v>1.0095000000000001</v>
      </c>
      <c r="D51">
        <f t="shared" si="1"/>
        <v>1.2499225082739482</v>
      </c>
      <c r="G51" t="s">
        <v>532</v>
      </c>
    </row>
    <row r="52" spans="1:7" x14ac:dyDescent="0.25">
      <c r="A52" s="1">
        <v>44531</v>
      </c>
      <c r="B52" t="s">
        <v>483</v>
      </c>
      <c r="C52">
        <f t="shared" si="0"/>
        <v>1.0073000000000001</v>
      </c>
      <c r="D52">
        <f t="shared" si="1"/>
        <v>1.2590469425843482</v>
      </c>
      <c r="G52">
        <v>6.0538639999999999</v>
      </c>
    </row>
    <row r="53" spans="1:7" x14ac:dyDescent="0.25">
      <c r="A53" s="1">
        <v>44562</v>
      </c>
      <c r="B53" t="s">
        <v>375</v>
      </c>
      <c r="C53">
        <f t="shared" si="0"/>
        <v>1.0054000000000001</v>
      </c>
      <c r="D53">
        <f t="shared" si="1"/>
        <v>1.2658457960743039</v>
      </c>
      <c r="G53" t="s">
        <v>533</v>
      </c>
    </row>
    <row r="54" spans="1:7" x14ac:dyDescent="0.25">
      <c r="A54" s="1">
        <v>44593</v>
      </c>
      <c r="B54" t="s">
        <v>465</v>
      </c>
      <c r="C54">
        <f t="shared" si="0"/>
        <v>1.0101</v>
      </c>
      <c r="D54">
        <f t="shared" si="1"/>
        <v>1.2786308386146543</v>
      </c>
      <c r="G54">
        <v>6.0565899999999999</v>
      </c>
    </row>
    <row r="55" spans="1:7" x14ac:dyDescent="0.25">
      <c r="A55" s="1">
        <v>44621</v>
      </c>
      <c r="B55" t="s">
        <v>484</v>
      </c>
      <c r="C55">
        <f t="shared" si="0"/>
        <v>1.0162</v>
      </c>
      <c r="D55">
        <f t="shared" si="1"/>
        <v>1.2993446582002117</v>
      </c>
    </row>
    <row r="56" spans="1:7" x14ac:dyDescent="0.25">
      <c r="A56" s="1">
        <v>44652</v>
      </c>
      <c r="B56" t="s">
        <v>485</v>
      </c>
      <c r="C56">
        <f t="shared" si="0"/>
        <v>1.0105999999999999</v>
      </c>
      <c r="D56">
        <f t="shared" si="1"/>
        <v>1.313117711577134</v>
      </c>
    </row>
    <row r="57" spans="1:7" x14ac:dyDescent="0.25">
      <c r="A57" s="1">
        <v>44682</v>
      </c>
      <c r="B57" t="s">
        <v>369</v>
      </c>
      <c r="C57">
        <f t="shared" si="0"/>
        <v>1.0046999999999999</v>
      </c>
      <c r="D57">
        <f t="shared" si="1"/>
        <v>1.3192893648215465</v>
      </c>
    </row>
    <row r="58" spans="1:7" x14ac:dyDescent="0.25">
      <c r="A58" s="1">
        <v>44713</v>
      </c>
      <c r="B58" t="s">
        <v>460</v>
      </c>
      <c r="C58">
        <f t="shared" si="0"/>
        <v>1.0066999999999999</v>
      </c>
      <c r="D58">
        <f t="shared" si="1"/>
        <v>1.3281286035658508</v>
      </c>
    </row>
    <row r="59" spans="1:7" x14ac:dyDescent="0.25">
      <c r="A59" s="1">
        <v>44743</v>
      </c>
      <c r="B59" t="s">
        <v>486</v>
      </c>
      <c r="C59">
        <f t="shared" si="0"/>
        <v>0.99319999999999997</v>
      </c>
      <c r="D59">
        <f t="shared" si="1"/>
        <v>1.319097329061603</v>
      </c>
    </row>
    <row r="60" spans="1:7" x14ac:dyDescent="0.25">
      <c r="A60" s="1">
        <v>44774</v>
      </c>
      <c r="B60" t="s">
        <v>487</v>
      </c>
      <c r="C60">
        <f t="shared" si="0"/>
        <v>0.99639999999999995</v>
      </c>
      <c r="D60">
        <f t="shared" si="1"/>
        <v>1.3143485786769813</v>
      </c>
    </row>
    <row r="61" spans="1:7" x14ac:dyDescent="0.25">
      <c r="A61" s="1">
        <v>44805</v>
      </c>
      <c r="B61" t="s">
        <v>488</v>
      </c>
      <c r="C61">
        <f t="shared" si="0"/>
        <v>0.99709999999999999</v>
      </c>
      <c r="D61">
        <f t="shared" si="1"/>
        <v>1.3105369677988181</v>
      </c>
    </row>
    <row r="62" spans="1:7" x14ac:dyDescent="0.25">
      <c r="A62" s="1">
        <v>44835</v>
      </c>
      <c r="B62">
        <v>0.33</v>
      </c>
      <c r="C62">
        <f t="shared" si="0"/>
        <v>1.0033000000000001</v>
      </c>
      <c r="D62">
        <f t="shared" si="1"/>
        <v>1.3148617397925544</v>
      </c>
    </row>
    <row r="63" spans="1:7" x14ac:dyDescent="0.25">
      <c r="A63" s="1">
        <v>44866</v>
      </c>
      <c r="B63">
        <f>I5*Planilha3!D12</f>
        <v>0.94638500140897963</v>
      </c>
      <c r="C63">
        <f t="shared" si="0"/>
        <v>1.0094638500140898</v>
      </c>
      <c r="D63">
        <f t="shared" si="1"/>
        <v>1.3273053940872164</v>
      </c>
    </row>
    <row r="64" spans="1:7" x14ac:dyDescent="0.25">
      <c r="A64" s="1">
        <v>44896</v>
      </c>
      <c r="B64">
        <f>I5*Planilha3!D13</f>
        <v>1.9531775560993834</v>
      </c>
      <c r="C64">
        <f t="shared" si="0"/>
        <v>1.0195317755609938</v>
      </c>
      <c r="D64">
        <f t="shared" si="1"/>
        <v>1.3532300251454243</v>
      </c>
    </row>
    <row r="65" spans="1:4" x14ac:dyDescent="0.25">
      <c r="A65" s="1">
        <v>44927</v>
      </c>
      <c r="B65">
        <f>I5*Planilha3!D2</f>
        <v>0.84570574593993919</v>
      </c>
      <c r="C65">
        <f t="shared" si="0"/>
        <v>1.0084570574593994</v>
      </c>
      <c r="D65">
        <f t="shared" si="1"/>
        <v>1.3646743692238636</v>
      </c>
    </row>
    <row r="66" spans="1:4" x14ac:dyDescent="0.25">
      <c r="A66" s="1">
        <v>44958</v>
      </c>
      <c r="B66">
        <f>I5*Planilha3!D3</f>
        <v>0.66448308609566664</v>
      </c>
      <c r="C66">
        <f t="shared" si="0"/>
        <v>1.0066448308609566</v>
      </c>
      <c r="D66">
        <f t="shared" si="1"/>
        <v>1.3737423995876388</v>
      </c>
    </row>
    <row r="67" spans="1:4" x14ac:dyDescent="0.25">
      <c r="A67" s="1">
        <v>44986</v>
      </c>
      <c r="B67">
        <f>I5*Planilha3!D4</f>
        <v>1.006792554690404</v>
      </c>
      <c r="C67">
        <f t="shared" si="0"/>
        <v>1.0100679255469041</v>
      </c>
      <c r="D67">
        <f t="shared" si="1"/>
        <v>1.3875731357873125</v>
      </c>
    </row>
    <row r="68" spans="1:4" x14ac:dyDescent="0.25">
      <c r="A68" s="1">
        <v>45017</v>
      </c>
      <c r="B68">
        <f>I5*Planilha3!D5</f>
        <v>1.1276076612532524</v>
      </c>
      <c r="C68">
        <f t="shared" si="0"/>
        <v>1.0112760766125326</v>
      </c>
      <c r="D68">
        <f t="shared" si="1"/>
        <v>1.4032195167719423</v>
      </c>
    </row>
    <row r="69" spans="1:4" x14ac:dyDescent="0.25">
      <c r="A69" s="1">
        <v>45047</v>
      </c>
      <c r="B69">
        <v>0.41494999999999999</v>
      </c>
      <c r="C69">
        <f t="shared" si="0"/>
        <v>1.0041495</v>
      </c>
      <c r="D69">
        <f t="shared" si="1"/>
        <v>1.4090421761567875</v>
      </c>
    </row>
    <row r="70" spans="1:4" x14ac:dyDescent="0.25">
      <c r="A70" s="1">
        <v>45078</v>
      </c>
      <c r="B70">
        <v>0.38303300000000001</v>
      </c>
      <c r="C70">
        <f t="shared" ref="C70:C135" si="2">1+B70/100</f>
        <v>1.00383033</v>
      </c>
      <c r="D70">
        <f t="shared" ref="D70:D133" si="3">C70*D69</f>
        <v>1.4144392726753861</v>
      </c>
    </row>
    <row r="71" spans="1:4" x14ac:dyDescent="0.25">
      <c r="A71" s="1">
        <v>45108</v>
      </c>
      <c r="B71">
        <v>0.35111999999999999</v>
      </c>
      <c r="C71">
        <f t="shared" si="2"/>
        <v>1.0035111999999999</v>
      </c>
      <c r="D71">
        <f t="shared" si="3"/>
        <v>1.4194056518496039</v>
      </c>
    </row>
    <row r="72" spans="1:4" x14ac:dyDescent="0.25">
      <c r="A72" s="1">
        <v>45139</v>
      </c>
      <c r="B72">
        <f>Planilha2!G8*Planilha3!C9</f>
        <v>0.17555687203791467</v>
      </c>
      <c r="C72">
        <f t="shared" si="2"/>
        <v>1.0017555687203792</v>
      </c>
      <c r="D72">
        <f t="shared" si="3"/>
        <v>1.4218975160135205</v>
      </c>
    </row>
    <row r="73" spans="1:4" x14ac:dyDescent="0.25">
      <c r="A73" s="1">
        <v>45170</v>
      </c>
      <c r="B73">
        <f>Planilha2!G8*Planilha3!C10</f>
        <v>9.5758293838862543E-2</v>
      </c>
      <c r="C73">
        <f t="shared" si="2"/>
        <v>1.0009575829383885</v>
      </c>
      <c r="D73">
        <f t="shared" si="3"/>
        <v>1.4232591008149922</v>
      </c>
    </row>
    <row r="74" spans="1:4" x14ac:dyDescent="0.25">
      <c r="A74" s="1">
        <v>45200</v>
      </c>
      <c r="B74">
        <f>Planilha2!G8*Planilha3!C11</f>
        <v>0.12767772511848341</v>
      </c>
      <c r="C74">
        <f t="shared" si="2"/>
        <v>1.0012767772511848</v>
      </c>
      <c r="D74">
        <f t="shared" si="3"/>
        <v>1.4250762856574546</v>
      </c>
    </row>
    <row r="75" spans="1:4" x14ac:dyDescent="0.25">
      <c r="A75" s="1">
        <v>45231</v>
      </c>
      <c r="B75">
        <f>G10*Planilha3!C12</f>
        <v>0.66754478672985762</v>
      </c>
      <c r="C75">
        <f t="shared" si="2"/>
        <v>1.0066754478672986</v>
      </c>
      <c r="D75">
        <f t="shared" si="3"/>
        <v>1.4345893081092844</v>
      </c>
    </row>
    <row r="76" spans="1:4" x14ac:dyDescent="0.25">
      <c r="A76" s="1">
        <v>45261</v>
      </c>
      <c r="B76">
        <f>G10*Planilha3!C13</f>
        <v>1.3776988151658764</v>
      </c>
      <c r="C76">
        <f t="shared" si="2"/>
        <v>1.0137769881516587</v>
      </c>
      <c r="D76">
        <f t="shared" si="3"/>
        <v>1.4543536280096023</v>
      </c>
    </row>
    <row r="77" spans="1:4" x14ac:dyDescent="0.25">
      <c r="A77" s="1">
        <v>45292</v>
      </c>
      <c r="B77">
        <f>G10*Planilha3!C2</f>
        <v>0.59652938388625576</v>
      </c>
      <c r="C77">
        <f t="shared" si="2"/>
        <v>1.0059652938388626</v>
      </c>
      <c r="D77">
        <f t="shared" si="3"/>
        <v>1.4630292747462954</v>
      </c>
    </row>
    <row r="78" spans="1:4" x14ac:dyDescent="0.25">
      <c r="A78" s="1">
        <v>45323</v>
      </c>
      <c r="B78">
        <f>G10*Planilha3!C3</f>
        <v>0.46870165876777242</v>
      </c>
      <c r="C78">
        <f t="shared" si="2"/>
        <v>1.0046870165876778</v>
      </c>
      <c r="D78">
        <f t="shared" si="3"/>
        <v>1.4698865172252895</v>
      </c>
    </row>
    <row r="79" spans="1:4" x14ac:dyDescent="0.25">
      <c r="A79" s="1">
        <v>45352</v>
      </c>
      <c r="B79">
        <f>G10*Planilha3!C4</f>
        <v>0.71015402843601882</v>
      </c>
      <c r="C79">
        <f t="shared" si="2"/>
        <v>1.0071015402843602</v>
      </c>
      <c r="D79">
        <f t="shared" si="3"/>
        <v>1.4803249755408028</v>
      </c>
    </row>
    <row r="80" spans="1:4" x14ac:dyDescent="0.25">
      <c r="A80" s="1">
        <v>45383</v>
      </c>
      <c r="B80">
        <f>G10*Planilha3!C5</f>
        <v>0.79537251184834112</v>
      </c>
      <c r="C80">
        <f t="shared" si="2"/>
        <v>1.0079537251184834</v>
      </c>
      <c r="D80">
        <f t="shared" si="3"/>
        <v>1.4920990734822799</v>
      </c>
    </row>
    <row r="81" spans="1:4" x14ac:dyDescent="0.25">
      <c r="A81" s="1">
        <v>45413</v>
      </c>
      <c r="B81">
        <f>G10*Planilha3!C6</f>
        <v>0.3692800947867298</v>
      </c>
      <c r="C81">
        <f t="shared" si="2"/>
        <v>1.0036928009478674</v>
      </c>
      <c r="D81">
        <f t="shared" si="3"/>
        <v>1.4976090983551473</v>
      </c>
    </row>
    <row r="82" spans="1:4" x14ac:dyDescent="0.25">
      <c r="A82" s="1">
        <v>45444</v>
      </c>
      <c r="B82">
        <f>G10*Planilha3!C7</f>
        <v>0.34087393364928903</v>
      </c>
      <c r="C82">
        <f t="shared" si="2"/>
        <v>1.003408739336493</v>
      </c>
      <c r="D82">
        <f t="shared" si="3"/>
        <v>1.5027140573994002</v>
      </c>
    </row>
    <row r="83" spans="1:4" x14ac:dyDescent="0.25">
      <c r="A83" s="1">
        <v>45474</v>
      </c>
      <c r="B83">
        <f>G10*Planilha3!C8</f>
        <v>0.31246777251184826</v>
      </c>
      <c r="C83">
        <f t="shared" si="2"/>
        <v>1.0031246777251184</v>
      </c>
      <c r="D83">
        <f t="shared" si="3"/>
        <v>1.5074095545417785</v>
      </c>
    </row>
    <row r="84" spans="1:4" x14ac:dyDescent="0.25">
      <c r="A84" s="1">
        <v>45505</v>
      </c>
      <c r="B84">
        <f>G10*Planilha3!C9</f>
        <v>0.15623388625592413</v>
      </c>
      <c r="C84">
        <f t="shared" si="2"/>
        <v>1.0015623388625592</v>
      </c>
      <c r="D84">
        <f t="shared" si="3"/>
        <v>1.5097646390706321</v>
      </c>
    </row>
    <row r="85" spans="1:4" x14ac:dyDescent="0.25">
      <c r="A85" s="1">
        <v>45536</v>
      </c>
      <c r="B85">
        <f>G10*Planilha3!C10</f>
        <v>8.5218483412322257E-2</v>
      </c>
      <c r="C85">
        <f t="shared" si="2"/>
        <v>1.0008521848341232</v>
      </c>
      <c r="D85">
        <f t="shared" si="3"/>
        <v>1.5110512375991436</v>
      </c>
    </row>
    <row r="86" spans="1:4" x14ac:dyDescent="0.25">
      <c r="A86" s="1">
        <v>45566</v>
      </c>
      <c r="B86">
        <f>G10*Planilha3!C11</f>
        <v>0.11362464454976301</v>
      </c>
      <c r="C86">
        <f t="shared" si="2"/>
        <v>1.0011362464454976</v>
      </c>
      <c r="D86">
        <f t="shared" si="3"/>
        <v>1.5127681641968305</v>
      </c>
    </row>
    <row r="87" spans="1:4" x14ac:dyDescent="0.25">
      <c r="A87" s="1">
        <v>45597</v>
      </c>
      <c r="B87">
        <f>G12*Planilha3!C12</f>
        <v>0.64748625592417042</v>
      </c>
      <c r="C87">
        <f t="shared" si="2"/>
        <v>1.0064748625592417</v>
      </c>
      <c r="D87">
        <f t="shared" si="3"/>
        <v>1.5225631301440012</v>
      </c>
    </row>
    <row r="88" spans="1:4" x14ac:dyDescent="0.25">
      <c r="A88" s="1">
        <v>45627</v>
      </c>
      <c r="B88">
        <f>G12*Planilha3!C13</f>
        <v>1.3363014218009477</v>
      </c>
      <c r="C88">
        <f t="shared" si="2"/>
        <v>1.0133630142180095</v>
      </c>
      <c r="D88">
        <f t="shared" si="3"/>
        <v>1.5429091628999325</v>
      </c>
    </row>
    <row r="89" spans="1:4" x14ac:dyDescent="0.25">
      <c r="A89" s="1">
        <v>45658</v>
      </c>
      <c r="B89">
        <f>G12*Planilha3!C2</f>
        <v>0.57860473933649281</v>
      </c>
      <c r="C89">
        <f t="shared" si="2"/>
        <v>1.0057860473933649</v>
      </c>
      <c r="D89">
        <f t="shared" si="3"/>
        <v>1.5518365084401284</v>
      </c>
    </row>
    <row r="90" spans="1:4" x14ac:dyDescent="0.25">
      <c r="A90" s="1">
        <v>45689</v>
      </c>
      <c r="B90">
        <f>G12*Planilha3!C3</f>
        <v>0.45461800947867292</v>
      </c>
      <c r="C90">
        <f t="shared" si="2"/>
        <v>1.0045461800947868</v>
      </c>
      <c r="D90">
        <f t="shared" si="3"/>
        <v>1.5588914366851625</v>
      </c>
    </row>
    <row r="91" spans="1:4" x14ac:dyDescent="0.25">
      <c r="A91" s="1">
        <v>45717</v>
      </c>
      <c r="B91">
        <f>G12*Planilha3!C4</f>
        <v>0.68881516587677716</v>
      </c>
      <c r="C91">
        <f t="shared" si="2"/>
        <v>1.0068881516587678</v>
      </c>
      <c r="D91">
        <f t="shared" si="3"/>
        <v>1.5696293173206042</v>
      </c>
    </row>
    <row r="92" spans="1:4" x14ac:dyDescent="0.25">
      <c r="A92" s="1">
        <v>45748</v>
      </c>
      <c r="B92">
        <f>G12*Planilha3!C5</f>
        <v>0.77147298578199042</v>
      </c>
      <c r="C92">
        <f t="shared" si="2"/>
        <v>1.00771472985782</v>
      </c>
      <c r="D92">
        <f t="shared" si="3"/>
        <v>1.581738583480647</v>
      </c>
    </row>
    <row r="93" spans="1:4" x14ac:dyDescent="0.25">
      <c r="A93" s="1">
        <v>45778</v>
      </c>
      <c r="B93">
        <f>G12*Planilha3!C6</f>
        <v>0.35818388625592412</v>
      </c>
      <c r="C93">
        <f t="shared" si="2"/>
        <v>1.0035818388625593</v>
      </c>
      <c r="D93">
        <f t="shared" si="3"/>
        <v>1.5874041162093675</v>
      </c>
    </row>
    <row r="94" spans="1:4" x14ac:dyDescent="0.25">
      <c r="A94" s="1">
        <v>45809</v>
      </c>
      <c r="B94">
        <f>G12*Planilha3!C7</f>
        <v>0.33063127962085304</v>
      </c>
      <c r="C94">
        <f t="shared" si="2"/>
        <v>1.0033063127962085</v>
      </c>
      <c r="D94">
        <f t="shared" si="3"/>
        <v>1.5926525707515446</v>
      </c>
    </row>
    <row r="95" spans="1:4" x14ac:dyDescent="0.25">
      <c r="A95" s="1">
        <v>45839</v>
      </c>
      <c r="B95">
        <f>G12*Planilha3!C8</f>
        <v>0.30307867298578195</v>
      </c>
      <c r="C95">
        <f t="shared" si="2"/>
        <v>1.0030307867298578</v>
      </c>
      <c r="D95">
        <f t="shared" si="3"/>
        <v>1.5974795610282524</v>
      </c>
    </row>
    <row r="96" spans="1:4" x14ac:dyDescent="0.25">
      <c r="A96" s="1">
        <v>45870</v>
      </c>
      <c r="B96">
        <f>G12*Planilha3!C9</f>
        <v>0.15153933649289097</v>
      </c>
      <c r="C96">
        <f t="shared" si="2"/>
        <v>1.001515393364929</v>
      </c>
      <c r="D96">
        <f t="shared" si="3"/>
        <v>1.5999003709556443</v>
      </c>
    </row>
    <row r="97" spans="1:4" x14ac:dyDescent="0.25">
      <c r="A97" s="1">
        <v>45901</v>
      </c>
      <c r="B97">
        <f>G12*Planilha3!C10</f>
        <v>8.2657819905213259E-2</v>
      </c>
      <c r="C97">
        <f t="shared" si="2"/>
        <v>1.0008265781990522</v>
      </c>
      <c r="D97">
        <f t="shared" si="3"/>
        <v>1.6012228137229318</v>
      </c>
    </row>
    <row r="98" spans="1:4" x14ac:dyDescent="0.25">
      <c r="A98" s="1">
        <v>45931</v>
      </c>
      <c r="B98">
        <f>G12*Planilha3!C11</f>
        <v>0.11021042654028435</v>
      </c>
      <c r="C98">
        <f t="shared" si="2"/>
        <v>1.0011021042654029</v>
      </c>
      <c r="D98">
        <f t="shared" si="3"/>
        <v>1.6029875282157964</v>
      </c>
    </row>
    <row r="99" spans="1:4" x14ac:dyDescent="0.25">
      <c r="A99" s="1">
        <v>45962</v>
      </c>
      <c r="B99">
        <f>G14*Planilha3!C12</f>
        <v>0.64681800947867285</v>
      </c>
      <c r="C99">
        <f t="shared" si="2"/>
        <v>1.0064681800947868</v>
      </c>
      <c r="D99">
        <f t="shared" si="3"/>
        <v>1.6133559402379933</v>
      </c>
    </row>
    <row r="100" spans="1:4" x14ac:dyDescent="0.25">
      <c r="A100" s="1">
        <v>45992</v>
      </c>
      <c r="B100">
        <f>G14*Planilha3!C13</f>
        <v>1.3349222748815164</v>
      </c>
      <c r="C100">
        <f t="shared" si="2"/>
        <v>1.0133492227488152</v>
      </c>
      <c r="D100">
        <f t="shared" si="3"/>
        <v>1.6348929880573546</v>
      </c>
    </row>
    <row r="101" spans="1:4" x14ac:dyDescent="0.25">
      <c r="A101" s="1">
        <v>46023</v>
      </c>
      <c r="B101">
        <f>G14*Planilha3!C2</f>
        <v>0.5780075829383885</v>
      </c>
      <c r="C101">
        <f t="shared" si="2"/>
        <v>1.0057800758293838</v>
      </c>
      <c r="D101">
        <f t="shared" si="3"/>
        <v>1.644342793501254</v>
      </c>
    </row>
    <row r="102" spans="1:4" x14ac:dyDescent="0.25">
      <c r="A102" s="1">
        <v>46054</v>
      </c>
      <c r="B102">
        <f>G14*Planilha3!C3</f>
        <v>0.45414881516587668</v>
      </c>
      <c r="C102">
        <f t="shared" si="2"/>
        <v>1.0045414881516588</v>
      </c>
      <c r="D102">
        <f t="shared" si="3"/>
        <v>1.6518105568152055</v>
      </c>
    </row>
    <row r="103" spans="1:4" x14ac:dyDescent="0.25">
      <c r="A103" s="1">
        <v>46082</v>
      </c>
      <c r="B103">
        <f>G14*Planilha3!C4</f>
        <v>0.68810426540284353</v>
      </c>
      <c r="C103">
        <f t="shared" si="2"/>
        <v>1.0068810426540284</v>
      </c>
      <c r="D103">
        <f t="shared" si="3"/>
        <v>1.6631767357130254</v>
      </c>
    </row>
    <row r="104" spans="1:4" x14ac:dyDescent="0.25">
      <c r="A104" s="1">
        <v>46113</v>
      </c>
      <c r="B104">
        <f>G14*Planilha3!C5</f>
        <v>0.77067677725118466</v>
      </c>
      <c r="C104">
        <f t="shared" si="2"/>
        <v>1.0077067677725118</v>
      </c>
      <c r="D104">
        <f t="shared" si="3"/>
        <v>1.6759944525798098</v>
      </c>
    </row>
    <row r="105" spans="1:4" x14ac:dyDescent="0.25">
      <c r="A105" s="1">
        <v>46143</v>
      </c>
      <c r="B105">
        <f>G14*Planilha3!C6</f>
        <v>0.3578142180094786</v>
      </c>
      <c r="C105">
        <f t="shared" si="2"/>
        <v>1.0035781421800949</v>
      </c>
      <c r="D105">
        <f t="shared" si="3"/>
        <v>1.6819913990241906</v>
      </c>
    </row>
    <row r="106" spans="1:4" x14ac:dyDescent="0.25">
      <c r="A106" s="1">
        <v>46174</v>
      </c>
      <c r="B106">
        <f>G14*Planilha3!C7</f>
        <v>0.33029004739336487</v>
      </c>
      <c r="C106">
        <f t="shared" si="2"/>
        <v>1.0033029004739336</v>
      </c>
      <c r="D106">
        <f t="shared" si="3"/>
        <v>1.6875468492131798</v>
      </c>
    </row>
    <row r="107" spans="1:4" x14ac:dyDescent="0.25">
      <c r="A107" s="1">
        <v>46204</v>
      </c>
      <c r="B107">
        <f>G14*Planilha3!C8</f>
        <v>0.30276587677725114</v>
      </c>
      <c r="C107">
        <f t="shared" si="2"/>
        <v>1.0030276587677724</v>
      </c>
      <c r="D107">
        <f t="shared" si="3"/>
        <v>1.6926561652272267</v>
      </c>
    </row>
    <row r="108" spans="1:4" x14ac:dyDescent="0.25">
      <c r="A108" s="1">
        <v>46235</v>
      </c>
      <c r="B108">
        <f>G14*Planilha3!C9</f>
        <v>0.15138293838862557</v>
      </c>
      <c r="C108">
        <f t="shared" si="2"/>
        <v>1.0015138293838863</v>
      </c>
      <c r="D108">
        <f t="shared" si="3"/>
        <v>1.6952185578669641</v>
      </c>
    </row>
    <row r="109" spans="1:4" x14ac:dyDescent="0.25">
      <c r="A109" s="1">
        <v>46266</v>
      </c>
      <c r="B109">
        <f>G14*Planilha3!C10</f>
        <v>8.2572511848341218E-2</v>
      </c>
      <c r="C109">
        <f t="shared" si="2"/>
        <v>1.0008257251184833</v>
      </c>
      <c r="D109">
        <f t="shared" si="3"/>
        <v>1.696618342411514</v>
      </c>
    </row>
    <row r="110" spans="1:4" x14ac:dyDescent="0.25">
      <c r="A110" s="1">
        <v>46296</v>
      </c>
      <c r="B110">
        <f>G14*Planilha3!C11</f>
        <v>0.11009668246445496</v>
      </c>
      <c r="C110">
        <f t="shared" si="2"/>
        <v>1.0011009668246444</v>
      </c>
      <c r="D110">
        <f t="shared" si="3"/>
        <v>1.6984862629205923</v>
      </c>
    </row>
    <row r="111" spans="1:4" x14ac:dyDescent="0.25">
      <c r="A111" s="1">
        <v>46327</v>
      </c>
      <c r="B111">
        <f>G16*Planilha3!C12</f>
        <v>0.65048222748815143</v>
      </c>
      <c r="C111">
        <f t="shared" si="2"/>
        <v>1.0065048222748816</v>
      </c>
      <c r="D111">
        <f t="shared" si="3"/>
        <v>1.7095346141972185</v>
      </c>
    </row>
    <row r="112" spans="1:4" x14ac:dyDescent="0.25">
      <c r="A112" s="1">
        <v>46357</v>
      </c>
      <c r="B112">
        <f>G16*Planilha3!C13</f>
        <v>1.3424845971563977</v>
      </c>
      <c r="C112">
        <f t="shared" si="2"/>
        <v>1.013424845971564</v>
      </c>
      <c r="D112">
        <f t="shared" si="3"/>
        <v>1.7324848530758732</v>
      </c>
    </row>
    <row r="113" spans="1:4" x14ac:dyDescent="0.25">
      <c r="A113" s="1">
        <v>46388</v>
      </c>
      <c r="B113">
        <f>G16*Planilha3!C2</f>
        <v>0.5812819905213269</v>
      </c>
      <c r="C113">
        <f t="shared" si="2"/>
        <v>1.0058128199052132</v>
      </c>
      <c r="D113">
        <f t="shared" si="3"/>
        <v>1.742555475515313</v>
      </c>
    </row>
    <row r="114" spans="1:4" x14ac:dyDescent="0.25">
      <c r="A114" s="1">
        <v>46419</v>
      </c>
      <c r="B114">
        <f>G16*Planilha3!C3</f>
        <v>0.45672156398104258</v>
      </c>
      <c r="C114">
        <f t="shared" si="2"/>
        <v>1.0045672156398104</v>
      </c>
      <c r="D114">
        <f t="shared" si="3"/>
        <v>1.7505141021363237</v>
      </c>
    </row>
    <row r="115" spans="1:4" x14ac:dyDescent="0.25">
      <c r="A115" s="1">
        <v>46447</v>
      </c>
      <c r="B115">
        <f>G16*Planilha3!C4</f>
        <v>0.69200236966824635</v>
      </c>
      <c r="C115">
        <f t="shared" si="2"/>
        <v>1.0069200236966824</v>
      </c>
      <c r="D115">
        <f t="shared" si="3"/>
        <v>1.762627701204484</v>
      </c>
    </row>
    <row r="116" spans="1:4" x14ac:dyDescent="0.25">
      <c r="A116" s="1">
        <v>46478</v>
      </c>
      <c r="B116">
        <f>G16*Planilha3!C5</f>
        <v>0.77504265402843586</v>
      </c>
      <c r="C116">
        <f t="shared" si="2"/>
        <v>1.0077504265402843</v>
      </c>
      <c r="D116">
        <f t="shared" si="3"/>
        <v>1.7762888177205396</v>
      </c>
    </row>
    <row r="117" spans="1:4" x14ac:dyDescent="0.25">
      <c r="A117" s="1">
        <v>46508</v>
      </c>
      <c r="B117">
        <f>G16*Planilha3!C6</f>
        <v>0.35984123222748809</v>
      </c>
      <c r="C117">
        <f t="shared" si="2"/>
        <v>1.003598412322275</v>
      </c>
      <c r="D117">
        <f t="shared" si="3"/>
        <v>1.7826806372901445</v>
      </c>
    </row>
    <row r="118" spans="1:4" x14ac:dyDescent="0.25">
      <c r="A118" s="1">
        <v>46539</v>
      </c>
      <c r="B118">
        <f>G16*Planilha3!C7</f>
        <v>0.3321611374407582</v>
      </c>
      <c r="C118">
        <f t="shared" si="2"/>
        <v>1.0033216113744077</v>
      </c>
      <c r="D118">
        <f t="shared" si="3"/>
        <v>1.7886020095719037</v>
      </c>
    </row>
    <row r="119" spans="1:4" x14ac:dyDescent="0.25">
      <c r="A119" s="1">
        <v>46569</v>
      </c>
      <c r="B119">
        <f>G16*Planilha3!C8</f>
        <v>0.30448104265402837</v>
      </c>
      <c r="C119">
        <f t="shared" si="2"/>
        <v>1.0030448104265404</v>
      </c>
      <c r="D119">
        <f t="shared" si="3"/>
        <v>1.7940479636195794</v>
      </c>
    </row>
    <row r="120" spans="1:4" x14ac:dyDescent="0.25">
      <c r="A120" s="1">
        <v>46600</v>
      </c>
      <c r="B120">
        <f>G16*Planilha3!C9</f>
        <v>0.15224052132701418</v>
      </c>
      <c r="C120">
        <f t="shared" si="2"/>
        <v>1.0015224052132701</v>
      </c>
      <c r="D120">
        <f t="shared" si="3"/>
        <v>1.7967792315922504</v>
      </c>
    </row>
    <row r="121" spans="1:4" x14ac:dyDescent="0.25">
      <c r="A121" s="1">
        <v>46631</v>
      </c>
      <c r="B121">
        <f>G16*Planilha3!C10</f>
        <v>8.3040284360189551E-2</v>
      </c>
      <c r="C121">
        <f t="shared" si="2"/>
        <v>1.0008304028436019</v>
      </c>
      <c r="D121">
        <f t="shared" si="3"/>
        <v>1.7982712821754894</v>
      </c>
    </row>
    <row r="122" spans="1:4" x14ac:dyDescent="0.25">
      <c r="A122" s="1">
        <v>46661</v>
      </c>
      <c r="B122">
        <f>G16*Planilha3!C11</f>
        <v>0.11072037914691941</v>
      </c>
      <c r="C122">
        <f t="shared" si="2"/>
        <v>1.0011072037914692</v>
      </c>
      <c r="D122">
        <f t="shared" si="3"/>
        <v>1.8002623349572042</v>
      </c>
    </row>
    <row r="123" spans="1:4" x14ac:dyDescent="0.25">
      <c r="A123" s="1">
        <v>46692</v>
      </c>
      <c r="B123">
        <f>G18*Planilha3!C12</f>
        <v>0.65446943127962065</v>
      </c>
      <c r="C123">
        <f t="shared" si="2"/>
        <v>1.0065446943127963</v>
      </c>
      <c r="D123">
        <f t="shared" si="3"/>
        <v>1.8120445016223399</v>
      </c>
    </row>
    <row r="124" spans="1:4" x14ac:dyDescent="0.25">
      <c r="A124" s="1">
        <v>46722</v>
      </c>
      <c r="B124">
        <f>G18*Planilha3!C13</f>
        <v>1.3507135071090044</v>
      </c>
      <c r="C124">
        <f t="shared" si="2"/>
        <v>1.01350713507109</v>
      </c>
      <c r="D124">
        <f t="shared" si="3"/>
        <v>1.8365200314605787</v>
      </c>
    </row>
    <row r="125" spans="1:4" x14ac:dyDescent="0.25">
      <c r="A125" s="1">
        <v>46753</v>
      </c>
      <c r="B125">
        <f>Planilha2!G18*Planilha3!C2</f>
        <v>0.58484502369668234</v>
      </c>
      <c r="C125">
        <f t="shared" si="2"/>
        <v>1.0058484502369669</v>
      </c>
      <c r="D125">
        <f t="shared" si="3"/>
        <v>1.8472608274737687</v>
      </c>
    </row>
    <row r="126" spans="1:4" x14ac:dyDescent="0.25">
      <c r="A126" s="1">
        <v>46784</v>
      </c>
      <c r="B126">
        <f>Planilha2!G18*Planilha3!C3</f>
        <v>0.45952109004739328</v>
      </c>
      <c r="C126">
        <f t="shared" si="2"/>
        <v>1.0045952109004739</v>
      </c>
      <c r="D126">
        <f t="shared" si="3"/>
        <v>1.8557493805641947</v>
      </c>
    </row>
    <row r="127" spans="1:4" x14ac:dyDescent="0.25">
      <c r="A127" s="1">
        <v>46813</v>
      </c>
      <c r="B127">
        <f>Planilha2!G18*Planilha3!C4</f>
        <v>0.69624407582938375</v>
      </c>
      <c r="C127">
        <f t="shared" si="2"/>
        <v>1.0069624407582938</v>
      </c>
      <c r="D127">
        <f t="shared" si="3"/>
        <v>1.8686699256886132</v>
      </c>
    </row>
    <row r="128" spans="1:4" x14ac:dyDescent="0.25">
      <c r="A128" s="1">
        <v>46844</v>
      </c>
      <c r="B128">
        <f>Planilha2!G18*Planilha3!C5</f>
        <v>0.77979336492890983</v>
      </c>
      <c r="C128">
        <f t="shared" si="2"/>
        <v>1.007797933649289</v>
      </c>
      <c r="D128">
        <f t="shared" si="3"/>
        <v>1.8832416897815549</v>
      </c>
    </row>
    <row r="129" spans="1:4" x14ac:dyDescent="0.25">
      <c r="A129" s="1">
        <v>46874</v>
      </c>
      <c r="B129">
        <f>Planilha2!G18*Planilha3!C6</f>
        <v>0.36204691943127953</v>
      </c>
      <c r="C129">
        <f t="shared" si="2"/>
        <v>1.0036204691943127</v>
      </c>
      <c r="D129">
        <f t="shared" si="3"/>
        <v>1.8900599083048544</v>
      </c>
    </row>
    <row r="130" spans="1:4" x14ac:dyDescent="0.25">
      <c r="A130" s="1">
        <v>46905</v>
      </c>
      <c r="B130">
        <f>Planilha2!G18*Planilha3!C7</f>
        <v>0.33419715639810421</v>
      </c>
      <c r="C130">
        <f t="shared" si="2"/>
        <v>1.0033419715639811</v>
      </c>
      <c r="D130">
        <f t="shared" si="3"/>
        <v>1.89637643477263</v>
      </c>
    </row>
    <row r="131" spans="1:4" x14ac:dyDescent="0.25">
      <c r="A131" s="1">
        <v>46935</v>
      </c>
      <c r="B131">
        <f>Planilha2!G18*Planilha3!C8</f>
        <v>0.30634739336492883</v>
      </c>
      <c r="C131">
        <f t="shared" si="2"/>
        <v>1.0030634739336493</v>
      </c>
      <c r="D131">
        <f t="shared" si="3"/>
        <v>1.9021859345489427</v>
      </c>
    </row>
    <row r="132" spans="1:4" x14ac:dyDescent="0.25">
      <c r="A132" s="1">
        <v>46966</v>
      </c>
      <c r="B132">
        <f>Planilha2!G18*Planilha3!C9</f>
        <v>0.15317369668246442</v>
      </c>
      <c r="C132">
        <f t="shared" si="2"/>
        <v>1.0015317369668246</v>
      </c>
      <c r="D132">
        <f t="shared" si="3"/>
        <v>1.9050995830626651</v>
      </c>
    </row>
    <row r="133" spans="1:4" x14ac:dyDescent="0.25">
      <c r="A133" s="1">
        <v>46997</v>
      </c>
      <c r="B133">
        <f>Planilha2!G18*Planilha3!C10</f>
        <v>8.3549289099526053E-2</v>
      </c>
      <c r="C133">
        <f t="shared" si="2"/>
        <v>1.0008354928909953</v>
      </c>
      <c r="D133">
        <f t="shared" si="3"/>
        <v>1.9066912802209521</v>
      </c>
    </row>
    <row r="134" spans="1:4" x14ac:dyDescent="0.25">
      <c r="A134" s="1">
        <v>47027</v>
      </c>
      <c r="B134">
        <f>Planilha2!G18*Planilha3!C11</f>
        <v>0.1113990521327014</v>
      </c>
      <c r="C134">
        <f t="shared" si="2"/>
        <v>1.0011139905213271</v>
      </c>
      <c r="D134">
        <f t="shared" ref="D134:D160" si="4">C134*D133</f>
        <v>1.9088153162342154</v>
      </c>
    </row>
    <row r="135" spans="1:4" x14ac:dyDescent="0.25">
      <c r="A135" s="1">
        <v>47058</v>
      </c>
      <c r="B135">
        <f>G20*Planilha3!C12</f>
        <v>0.65791090047393341</v>
      </c>
      <c r="C135">
        <f t="shared" si="2"/>
        <v>1.0065791090047393</v>
      </c>
      <c r="D135">
        <f t="shared" si="4"/>
        <v>1.9213736202696363</v>
      </c>
    </row>
    <row r="136" spans="1:4" x14ac:dyDescent="0.25">
      <c r="A136" s="1">
        <v>47088</v>
      </c>
      <c r="B136">
        <f>G20*Planilha3!C13</f>
        <v>1.3578161137440754</v>
      </c>
      <c r="C136">
        <f t="shared" ref="C136:C160" si="5">1+B136/100</f>
        <v>1.0135781611374408</v>
      </c>
      <c r="D136">
        <f t="shared" si="4"/>
        <v>1.9474623408908855</v>
      </c>
    </row>
    <row r="137" spans="1:4" x14ac:dyDescent="0.25">
      <c r="A137" s="1">
        <v>47119</v>
      </c>
      <c r="B137">
        <f>G20*Planilha3!C2</f>
        <v>0.5879203791469193</v>
      </c>
      <c r="C137">
        <f t="shared" si="5"/>
        <v>1.0058792037914692</v>
      </c>
      <c r="D137">
        <f t="shared" si="4"/>
        <v>1.9589118688691947</v>
      </c>
    </row>
    <row r="138" spans="1:4" x14ac:dyDescent="0.25">
      <c r="A138" s="1">
        <v>47150</v>
      </c>
      <c r="B138">
        <f>G20*Planilha3!C3</f>
        <v>0.46193744075829374</v>
      </c>
      <c r="C138">
        <f t="shared" si="5"/>
        <v>1.0046193744075829</v>
      </c>
      <c r="D138">
        <f t="shared" si="4"/>
        <v>1.9679608162229594</v>
      </c>
    </row>
    <row r="139" spans="1:4" x14ac:dyDescent="0.25">
      <c r="A139" s="1">
        <v>47178</v>
      </c>
      <c r="B139">
        <f>G20*Planilha3!C4</f>
        <v>0.6999052132701421</v>
      </c>
      <c r="C139">
        <f t="shared" si="5"/>
        <v>1.0069990521327015</v>
      </c>
      <c r="D139">
        <f t="shared" si="4"/>
        <v>1.9817346765708177</v>
      </c>
    </row>
    <row r="140" spans="1:4" x14ac:dyDescent="0.25">
      <c r="A140" s="1">
        <v>47209</v>
      </c>
      <c r="B140">
        <f>G20*Planilha3!C5</f>
        <v>0.78389383886255903</v>
      </c>
      <c r="C140">
        <f t="shared" si="5"/>
        <v>1.0078389383886255</v>
      </c>
      <c r="D140">
        <f t="shared" si="4"/>
        <v>1.997269372603059</v>
      </c>
    </row>
    <row r="141" spans="1:4" x14ac:dyDescent="0.25">
      <c r="A141" s="1">
        <v>47239</v>
      </c>
      <c r="B141">
        <f>G20*Planilha3!C6</f>
        <v>0.36395071090047387</v>
      </c>
      <c r="C141">
        <f t="shared" si="5"/>
        <v>1.0036395071090047</v>
      </c>
      <c r="D141">
        <f t="shared" si="4"/>
        <v>2.0045384486832454</v>
      </c>
    </row>
    <row r="142" spans="1:4" x14ac:dyDescent="0.25">
      <c r="A142" s="1">
        <v>47270</v>
      </c>
      <c r="B142">
        <f>G20*Planilha3!C7</f>
        <v>0.33595450236966817</v>
      </c>
      <c r="C142">
        <f t="shared" si="5"/>
        <v>1.0033595450236967</v>
      </c>
      <c r="D142">
        <f t="shared" si="4"/>
        <v>2.0112727858533281</v>
      </c>
    </row>
    <row r="143" spans="1:4" x14ac:dyDescent="0.25">
      <c r="A143" s="1">
        <v>47300</v>
      </c>
      <c r="B143">
        <f>G20*Planilha3!C8</f>
        <v>0.30795829383886247</v>
      </c>
      <c r="C143">
        <f t="shared" si="5"/>
        <v>1.0030795829383887</v>
      </c>
      <c r="D143">
        <f t="shared" si="4"/>
        <v>2.0174666672090877</v>
      </c>
    </row>
    <row r="144" spans="1:4" x14ac:dyDescent="0.25">
      <c r="A144" s="1">
        <v>47331</v>
      </c>
      <c r="B144">
        <f>G20*Planilha3!C9</f>
        <v>0.15397914691943124</v>
      </c>
      <c r="C144">
        <f t="shared" si="5"/>
        <v>1.0015397914691944</v>
      </c>
      <c r="D144">
        <f t="shared" si="4"/>
        <v>2.0205731451726403</v>
      </c>
    </row>
    <row r="145" spans="1:4" x14ac:dyDescent="0.25">
      <c r="A145" s="1">
        <v>47362</v>
      </c>
      <c r="B145">
        <f>G20*Planilha3!C10</f>
        <v>8.3988625592417043E-2</v>
      </c>
      <c r="C145">
        <f t="shared" si="5"/>
        <v>1.0008398862559242</v>
      </c>
      <c r="D145">
        <f t="shared" si="4"/>
        <v>2.0222701967863603</v>
      </c>
    </row>
    <row r="146" spans="1:4" x14ac:dyDescent="0.25">
      <c r="A146" s="1">
        <v>47392</v>
      </c>
      <c r="B146">
        <f>G20*Planilha3!C11</f>
        <v>0.11198483412322273</v>
      </c>
      <c r="C146">
        <f t="shared" si="5"/>
        <v>1.0011198483412322</v>
      </c>
      <c r="D146">
        <f t="shared" si="4"/>
        <v>2.0245348327117547</v>
      </c>
    </row>
    <row r="147" spans="1:4" x14ac:dyDescent="0.25">
      <c r="A147" s="1">
        <v>47423</v>
      </c>
      <c r="B147">
        <f>G22*Planilha3!C12</f>
        <v>0.66068412322274861</v>
      </c>
      <c r="C147">
        <f t="shared" si="5"/>
        <v>1.0066068412322275</v>
      </c>
      <c r="D147">
        <f t="shared" si="4"/>
        <v>2.0379106129205957</v>
      </c>
    </row>
    <row r="148" spans="1:4" x14ac:dyDescent="0.25">
      <c r="A148" s="1">
        <v>47453</v>
      </c>
      <c r="B148">
        <f>G22*Planilha3!C13</f>
        <v>1.3635395734597153</v>
      </c>
      <c r="C148">
        <f t="shared" si="5"/>
        <v>1.0136353957345972</v>
      </c>
      <c r="D148">
        <f t="shared" si="4"/>
        <v>2.0656983305995036</v>
      </c>
    </row>
    <row r="149" spans="1:4" x14ac:dyDescent="0.25">
      <c r="A149" s="1">
        <v>47484</v>
      </c>
      <c r="B149">
        <f>G22*Planilha3!C2</f>
        <v>0.59039857819905206</v>
      </c>
      <c r="C149">
        <f t="shared" si="5"/>
        <v>1.0059039857819905</v>
      </c>
      <c r="D149">
        <f t="shared" si="4"/>
        <v>2.0778941841732443</v>
      </c>
    </row>
    <row r="150" spans="1:4" x14ac:dyDescent="0.25">
      <c r="A150" s="1">
        <v>47515</v>
      </c>
      <c r="B150">
        <f>$G$22*Planilha3!C3</f>
        <v>0.46388459715639807</v>
      </c>
      <c r="C150">
        <f t="shared" si="5"/>
        <v>1.0046388459715641</v>
      </c>
      <c r="D150">
        <f t="shared" si="4"/>
        <v>2.0875332152388326</v>
      </c>
    </row>
    <row r="151" spans="1:4" x14ac:dyDescent="0.25">
      <c r="A151" s="1">
        <v>47543</v>
      </c>
      <c r="B151">
        <f>$G$22*Planilha3!C4</f>
        <v>0.70285545023696683</v>
      </c>
      <c r="C151">
        <f t="shared" si="5"/>
        <v>1.0070285545023696</v>
      </c>
      <c r="D151">
        <f t="shared" si="4"/>
        <v>2.1022055562176458</v>
      </c>
    </row>
    <row r="152" spans="1:4" x14ac:dyDescent="0.25">
      <c r="A152" s="1">
        <v>47574</v>
      </c>
      <c r="B152">
        <f>$G$22*Planilha3!C5</f>
        <v>0.78719810426540271</v>
      </c>
      <c r="C152">
        <f t="shared" si="5"/>
        <v>1.007871981042654</v>
      </c>
      <c r="D152">
        <f t="shared" si="4"/>
        <v>2.1187540785039531</v>
      </c>
    </row>
    <row r="153" spans="1:4" x14ac:dyDescent="0.25">
      <c r="A153" s="1">
        <v>47604</v>
      </c>
      <c r="B153">
        <f>$G$22*Planilha3!C6</f>
        <v>0.36548483412322269</v>
      </c>
      <c r="C153">
        <f t="shared" si="5"/>
        <v>1.0036548483412322</v>
      </c>
      <c r="D153">
        <f t="shared" si="4"/>
        <v>2.1264978033332524</v>
      </c>
    </row>
    <row r="154" spans="1:4" x14ac:dyDescent="0.25">
      <c r="A154" s="1">
        <v>47635</v>
      </c>
      <c r="B154">
        <f>$G$22*Planilha3!C7</f>
        <v>0.33737061611374403</v>
      </c>
      <c r="C154">
        <f t="shared" si="5"/>
        <v>1.0033737061611374</v>
      </c>
      <c r="D154">
        <f t="shared" si="4"/>
        <v>2.1336719820740031</v>
      </c>
    </row>
    <row r="155" spans="1:4" x14ac:dyDescent="0.25">
      <c r="A155" s="1">
        <v>47665</v>
      </c>
      <c r="B155">
        <f>$G$22*Planilha3!C8</f>
        <v>0.30925639810426536</v>
      </c>
      <c r="C155">
        <f t="shared" si="5"/>
        <v>1.0030925639810426</v>
      </c>
      <c r="D155">
        <f t="shared" si="4"/>
        <v>2.1402704991931252</v>
      </c>
    </row>
    <row r="156" spans="1:4" x14ac:dyDescent="0.25">
      <c r="A156" s="1">
        <v>47696</v>
      </c>
      <c r="B156">
        <f>$G$22*Planilha3!C9</f>
        <v>0.15462819905213268</v>
      </c>
      <c r="C156">
        <f t="shared" si="5"/>
        <v>1.0015462819905214</v>
      </c>
      <c r="D156">
        <f t="shared" si="4"/>
        <v>2.1435799609208717</v>
      </c>
    </row>
    <row r="157" spans="1:4" x14ac:dyDescent="0.25">
      <c r="A157" s="1">
        <v>47727</v>
      </c>
      <c r="B157">
        <f>$G$22*Planilha3!C10</f>
        <v>8.4342654028436007E-2</v>
      </c>
      <c r="C157">
        <f t="shared" si="5"/>
        <v>1.0008434265402844</v>
      </c>
      <c r="D157">
        <f t="shared" si="4"/>
        <v>2.1453879131511342</v>
      </c>
    </row>
    <row r="158" spans="1:4" x14ac:dyDescent="0.25">
      <c r="A158" s="1">
        <v>47757</v>
      </c>
      <c r="B158">
        <f>$G$22*Planilha3!C11</f>
        <v>0.11245687203791468</v>
      </c>
      <c r="C158">
        <f t="shared" si="5"/>
        <v>1.0011245687203791</v>
      </c>
      <c r="D158">
        <f t="shared" si="4"/>
        <v>2.1478005492913432</v>
      </c>
    </row>
    <row r="159" spans="1:4" x14ac:dyDescent="0.25">
      <c r="A159" s="1">
        <v>47788</v>
      </c>
      <c r="B159">
        <f>$G$24*Planilha3!C12</f>
        <v>0.66295616113744049</v>
      </c>
      <c r="C159">
        <f t="shared" si="5"/>
        <v>1.0066295616113745</v>
      </c>
      <c r="D159">
        <f t="shared" si="4"/>
        <v>2.1620395253618141</v>
      </c>
    </row>
    <row r="160" spans="1:4" x14ac:dyDescent="0.25">
      <c r="A160" s="1">
        <v>47818</v>
      </c>
      <c r="B160">
        <f>$G$24*Planilha3!C13</f>
        <v>1.3682286729857818</v>
      </c>
      <c r="C160">
        <f t="shared" si="5"/>
        <v>1.0136822867298578</v>
      </c>
      <c r="D160">
        <f t="shared" si="4"/>
        <v>2.1916211700691002</v>
      </c>
    </row>
    <row r="161" spans="1:2" x14ac:dyDescent="0.25">
      <c r="A161" s="1">
        <v>47849</v>
      </c>
      <c r="B161">
        <f>$G$24*Planilha3!C2</f>
        <v>0.59242890995260655</v>
      </c>
    </row>
    <row r="162" spans="1:2" x14ac:dyDescent="0.25">
      <c r="A162" s="1">
        <v>47880</v>
      </c>
      <c r="B162">
        <f>$G$24*Planilha3!C3</f>
        <v>0.46547985781990514</v>
      </c>
    </row>
    <row r="163" spans="1:2" x14ac:dyDescent="0.25">
      <c r="A163" s="1">
        <v>47908</v>
      </c>
      <c r="B163">
        <f>$G$24*Planilha3!C4</f>
        <v>0.70527251184834117</v>
      </c>
    </row>
    <row r="164" spans="1:2" x14ac:dyDescent="0.25">
      <c r="A164" s="1">
        <v>47939</v>
      </c>
      <c r="B164">
        <f>$G$24*Planilha3!C5</f>
        <v>0.78990521327014207</v>
      </c>
    </row>
    <row r="165" spans="1:2" x14ac:dyDescent="0.25">
      <c r="A165" s="1">
        <v>47969</v>
      </c>
      <c r="B165">
        <f>$G$24*Planilha3!C6</f>
        <v>0.36674170616113738</v>
      </c>
    </row>
    <row r="166" spans="1:2" x14ac:dyDescent="0.25">
      <c r="A166" s="1">
        <v>48000</v>
      </c>
      <c r="B166">
        <f>$G$24*Planilha3!C7</f>
        <v>0.33853080568720373</v>
      </c>
    </row>
    <row r="167" spans="1:2" x14ac:dyDescent="0.25">
      <c r="A167" s="1">
        <v>48030</v>
      </c>
      <c r="B167">
        <f>$G$24*Planilha3!C8</f>
        <v>0.31031990521327008</v>
      </c>
    </row>
    <row r="168" spans="1:2" x14ac:dyDescent="0.25">
      <c r="A168" s="1">
        <v>48061</v>
      </c>
      <c r="B168">
        <f>$G$24*Planilha3!C9</f>
        <v>0.15515995260663504</v>
      </c>
    </row>
    <row r="169" spans="1:2" x14ac:dyDescent="0.25">
      <c r="A169" s="1">
        <v>48092</v>
      </c>
      <c r="B169">
        <f>$G$24*Planilha3!C10</f>
        <v>8.4632701421800932E-2</v>
      </c>
    </row>
    <row r="170" spans="1:2" x14ac:dyDescent="0.25">
      <c r="A170" s="1">
        <v>48122</v>
      </c>
      <c r="B170">
        <f>$G$26*Planilha3!C11</f>
        <v>0.11315639810426539</v>
      </c>
    </row>
    <row r="171" spans="1:2" x14ac:dyDescent="0.25">
      <c r="A171" s="1">
        <v>48153</v>
      </c>
      <c r="B171">
        <f>$G$26*Planilha3!C12</f>
        <v>0.66479383886255905</v>
      </c>
    </row>
    <row r="172" spans="1:2" x14ac:dyDescent="0.25">
      <c r="A172" s="1">
        <v>48183</v>
      </c>
      <c r="B172">
        <f>$G$26*Planilha3!C13</f>
        <v>1.3720213270142179</v>
      </c>
    </row>
    <row r="173" spans="1:2" x14ac:dyDescent="0.25">
      <c r="A173" s="1">
        <v>48214</v>
      </c>
      <c r="B173">
        <f>$G$26*Planilha3!C2</f>
        <v>0.59407109004739334</v>
      </c>
    </row>
    <row r="174" spans="1:2" x14ac:dyDescent="0.25">
      <c r="A174" s="1">
        <v>48245</v>
      </c>
      <c r="B174">
        <f>$G$26*Planilha3!C3</f>
        <v>0.46677014218009472</v>
      </c>
    </row>
    <row r="175" spans="1:2" x14ac:dyDescent="0.25">
      <c r="A175" s="1">
        <v>48274</v>
      </c>
      <c r="B175">
        <f>$G$26*Planilha3!C4</f>
        <v>0.7072274881516587</v>
      </c>
    </row>
    <row r="176" spans="1:2" x14ac:dyDescent="0.25">
      <c r="A176" s="1">
        <v>48305</v>
      </c>
      <c r="B176">
        <f>$G$26*Planilha3!C5</f>
        <v>0.79209478672985778</v>
      </c>
    </row>
    <row r="177" spans="1:2" x14ac:dyDescent="0.25">
      <c r="A177" s="1">
        <v>48335</v>
      </c>
      <c r="B177">
        <f>$G$26*Planilha3!C6</f>
        <v>0.36775829383886255</v>
      </c>
    </row>
    <row r="178" spans="1:2" x14ac:dyDescent="0.25">
      <c r="A178" s="1">
        <v>48366</v>
      </c>
      <c r="B178">
        <f>$G$26*Planilha3!C7</f>
        <v>0.33946919431279615</v>
      </c>
    </row>
    <row r="179" spans="1:2" x14ac:dyDescent="0.25">
      <c r="A179" s="1">
        <v>48396</v>
      </c>
      <c r="B179">
        <f>$G$26*Planilha3!C8</f>
        <v>0.31118009478672981</v>
      </c>
    </row>
    <row r="180" spans="1:2" x14ac:dyDescent="0.25">
      <c r="A180" s="1">
        <v>48427</v>
      </c>
      <c r="B180">
        <f>$G$26*Planilha3!C9</f>
        <v>0.15559004739336491</v>
      </c>
    </row>
    <row r="181" spans="1:2" x14ac:dyDescent="0.25">
      <c r="A181" s="1">
        <v>48458</v>
      </c>
      <c r="B181">
        <f>$G$26*Planilha3!C10</f>
        <v>8.4867298578199038E-2</v>
      </c>
    </row>
    <row r="182" spans="1:2" x14ac:dyDescent="0.25">
      <c r="A182" s="1">
        <v>48488</v>
      </c>
      <c r="B182">
        <f>$G$28*Planilha3!C11</f>
        <v>0.11341207582938387</v>
      </c>
    </row>
    <row r="183" spans="1:2" x14ac:dyDescent="0.25">
      <c r="A183" s="1">
        <v>48519</v>
      </c>
      <c r="B183">
        <f>$G$28*Planilha3!C12</f>
        <v>0.66629594549763016</v>
      </c>
    </row>
    <row r="184" spans="1:2" x14ac:dyDescent="0.25">
      <c r="A184" s="1">
        <v>48549</v>
      </c>
      <c r="B184">
        <f>$G$28*Planilha3!C13</f>
        <v>1.3751214194312793</v>
      </c>
    </row>
    <row r="185" spans="1:2" x14ac:dyDescent="0.25">
      <c r="A185" s="1">
        <v>48580</v>
      </c>
      <c r="B185">
        <f>$G$28*Planilha3!C2</f>
        <v>0.5954133981042653</v>
      </c>
    </row>
    <row r="186" spans="1:2" x14ac:dyDescent="0.25">
      <c r="A186" s="1">
        <v>48611</v>
      </c>
      <c r="B186">
        <f>$G$28*Planilha3!C3</f>
        <v>0.46782481279620847</v>
      </c>
    </row>
    <row r="187" spans="1:2" x14ac:dyDescent="0.25">
      <c r="A187" s="1">
        <v>48639</v>
      </c>
      <c r="B187">
        <f>$G$28*Planilha3!C4</f>
        <v>0.70882547393364925</v>
      </c>
    </row>
    <row r="188" spans="1:2" x14ac:dyDescent="0.25">
      <c r="A188" s="1">
        <v>48670</v>
      </c>
      <c r="B188">
        <f>$G$28*Planilha3!C5</f>
        <v>0.79388453080568711</v>
      </c>
    </row>
    <row r="189" spans="1:2" x14ac:dyDescent="0.25">
      <c r="A189" s="1">
        <v>48700</v>
      </c>
      <c r="B189">
        <f>$G$28*Planilha3!C6</f>
        <v>0.36858924644549756</v>
      </c>
    </row>
    <row r="190" spans="1:2" x14ac:dyDescent="0.25">
      <c r="A190" s="1">
        <v>48731</v>
      </c>
      <c r="B190">
        <f>$G$28*Planilha3!C7</f>
        <v>0.34023622748815158</v>
      </c>
    </row>
    <row r="191" spans="1:2" x14ac:dyDescent="0.25">
      <c r="A191" s="1">
        <v>48761</v>
      </c>
      <c r="B191">
        <f>$G$28*Planilha3!C8</f>
        <v>0.31188320853080564</v>
      </c>
    </row>
    <row r="192" spans="1:2" x14ac:dyDescent="0.25">
      <c r="A192" s="1">
        <v>48792</v>
      </c>
      <c r="B192">
        <f>$G$28*Planilha3!C9</f>
        <v>0.15594160426540282</v>
      </c>
    </row>
    <row r="193" spans="1:2" x14ac:dyDescent="0.25">
      <c r="A193" s="1">
        <v>48823</v>
      </c>
      <c r="B193">
        <f>$G$28*Planilha3!C10</f>
        <v>8.5059056872037894E-2</v>
      </c>
    </row>
    <row r="194" spans="1:2" x14ac:dyDescent="0.25">
      <c r="A194" s="1">
        <v>48853</v>
      </c>
      <c r="B194">
        <f>$G$30*Planilha3!C11</f>
        <v>0.11362790521327013</v>
      </c>
    </row>
    <row r="195" spans="1:2" x14ac:dyDescent="0.25">
      <c r="A195" s="1">
        <v>48884</v>
      </c>
      <c r="B195">
        <f>$G$30*Planilha3!C12</f>
        <v>0.66756394312796186</v>
      </c>
    </row>
    <row r="196" spans="1:2" x14ac:dyDescent="0.25">
      <c r="A196" s="1">
        <v>48914</v>
      </c>
      <c r="B196">
        <f>$G$30*Planilha3!C13</f>
        <v>1.3777383507109002</v>
      </c>
    </row>
    <row r="197" spans="1:2" x14ac:dyDescent="0.25">
      <c r="A197" s="1">
        <v>48945</v>
      </c>
      <c r="B197">
        <f>$G$30*Planilha3!C2</f>
        <v>0.59654650236966811</v>
      </c>
    </row>
    <row r="198" spans="1:2" x14ac:dyDescent="0.25">
      <c r="A198" s="1">
        <v>48976</v>
      </c>
      <c r="B198">
        <f>$G$30*Planilha3!C3</f>
        <v>0.46871510900473923</v>
      </c>
    </row>
    <row r="199" spans="1:2" x14ac:dyDescent="0.25">
      <c r="A199" s="1">
        <v>49004</v>
      </c>
      <c r="B199">
        <f>$G$30*Planilha3!C4</f>
        <v>0.71017440758293826</v>
      </c>
    </row>
    <row r="200" spans="1:2" x14ac:dyDescent="0.25">
      <c r="A200" s="1">
        <v>49035</v>
      </c>
      <c r="B200">
        <f>$G$30*Planilha3!C5</f>
        <v>0.79539533649289085</v>
      </c>
    </row>
    <row r="201" spans="1:2" x14ac:dyDescent="0.25">
      <c r="A201" s="1">
        <v>49065</v>
      </c>
      <c r="B201">
        <f>$G$30*Planilha3!C6</f>
        <v>0.36929069194312786</v>
      </c>
    </row>
    <row r="202" spans="1:2" x14ac:dyDescent="0.25">
      <c r="A202" s="1">
        <v>49096</v>
      </c>
      <c r="B202">
        <f>$G$30*Planilha3!C7</f>
        <v>0.34088371563981035</v>
      </c>
    </row>
    <row r="203" spans="1:2" x14ac:dyDescent="0.25">
      <c r="A203" s="1">
        <v>49126</v>
      </c>
      <c r="B203">
        <f>$G$30*Planilha3!C8</f>
        <v>0.31247673933649284</v>
      </c>
    </row>
    <row r="204" spans="1:2" x14ac:dyDescent="0.25">
      <c r="A204" s="1">
        <v>49157</v>
      </c>
      <c r="B204">
        <f>$G$30*Planilha3!C9</f>
        <v>0.15623836966824642</v>
      </c>
    </row>
    <row r="205" spans="1:2" x14ac:dyDescent="0.25">
      <c r="A205" s="1">
        <v>49188</v>
      </c>
      <c r="B205">
        <f>$G$30*Planilha3!C10</f>
        <v>8.5220928909952587E-2</v>
      </c>
    </row>
    <row r="206" spans="1:2" x14ac:dyDescent="0.25">
      <c r="A206" s="1">
        <v>49218</v>
      </c>
      <c r="B206">
        <f>$G$32*Planilha3!C11</f>
        <v>0.11381074881516587</v>
      </c>
    </row>
    <row r="207" spans="1:2" x14ac:dyDescent="0.25">
      <c r="A207" s="1">
        <v>49249</v>
      </c>
      <c r="B207">
        <f>$G$32*Planilha3!C12</f>
        <v>0.66863814928909937</v>
      </c>
    </row>
    <row r="208" spans="1:2" x14ac:dyDescent="0.25">
      <c r="A208" s="1">
        <v>49279</v>
      </c>
      <c r="B208">
        <f>$G$32*Planilha3!C13</f>
        <v>1.3799553293838862</v>
      </c>
    </row>
    <row r="209" spans="1:2" x14ac:dyDescent="0.25">
      <c r="A209" s="1">
        <v>49310</v>
      </c>
      <c r="B209">
        <f>$G$32*Planilha3!C2</f>
        <v>0.59750643127962078</v>
      </c>
    </row>
    <row r="210" spans="1:2" x14ac:dyDescent="0.25">
      <c r="A210" s="1">
        <v>49341</v>
      </c>
      <c r="B210">
        <f>$G$32*Planilha3!C3</f>
        <v>0.4694693388625592</v>
      </c>
    </row>
    <row r="211" spans="1:2" x14ac:dyDescent="0.25">
      <c r="A211" s="1">
        <v>49369</v>
      </c>
      <c r="B211">
        <f>$G$32*Planilha3!C4</f>
        <v>0.71131718009478673</v>
      </c>
    </row>
    <row r="212" spans="1:2" x14ac:dyDescent="0.25">
      <c r="A212" s="1">
        <v>49400</v>
      </c>
      <c r="B212">
        <f>$G$32*Planilha3!C5</f>
        <v>0.79667524170616111</v>
      </c>
    </row>
    <row r="213" spans="1:2" x14ac:dyDescent="0.25">
      <c r="A213" s="1">
        <v>49430</v>
      </c>
      <c r="B213">
        <f>$G$32*Planilha3!C6</f>
        <v>0.36988493364928909</v>
      </c>
    </row>
    <row r="214" spans="1:2" x14ac:dyDescent="0.25">
      <c r="A214" s="1">
        <v>49461</v>
      </c>
      <c r="B214">
        <f>$G$32*Planilha3!C7</f>
        <v>0.34143224644549758</v>
      </c>
    </row>
    <row r="215" spans="1:2" x14ac:dyDescent="0.25">
      <c r="A215" s="1">
        <v>49491</v>
      </c>
      <c r="B215">
        <f>$G$32*Planilha3!C8</f>
        <v>0.31297955924170612</v>
      </c>
    </row>
    <row r="216" spans="1:2" x14ac:dyDescent="0.25">
      <c r="A216" s="1">
        <v>49522</v>
      </c>
      <c r="B216">
        <f>$G$32*Planilha3!C9</f>
        <v>0.15648977962085306</v>
      </c>
    </row>
    <row r="217" spans="1:2" x14ac:dyDescent="0.25">
      <c r="A217" s="1">
        <v>49553</v>
      </c>
      <c r="B217">
        <f>$G$32*Planilha3!C10</f>
        <v>8.5358061611374395E-2</v>
      </c>
    </row>
    <row r="218" spans="1:2" x14ac:dyDescent="0.25">
      <c r="A218" s="1">
        <v>49583</v>
      </c>
      <c r="B218">
        <f>$G$34*Planilha3!C11</f>
        <v>0.11396756398104264</v>
      </c>
    </row>
    <row r="219" spans="1:2" x14ac:dyDescent="0.25">
      <c r="A219" s="1">
        <v>49614</v>
      </c>
      <c r="B219">
        <f>$G$34*Planilha3!C12</f>
        <v>0.66955943838862542</v>
      </c>
    </row>
    <row r="220" spans="1:2" x14ac:dyDescent="0.25">
      <c r="A220" s="1">
        <v>49644</v>
      </c>
      <c r="B220">
        <f>$G$34*Planilha3!C13</f>
        <v>1.381856713270142</v>
      </c>
    </row>
    <row r="221" spans="1:2" x14ac:dyDescent="0.25">
      <c r="A221" s="1">
        <v>49675</v>
      </c>
      <c r="B221">
        <f>$G$34*Planilha3!C2</f>
        <v>0.59832971090047393</v>
      </c>
    </row>
    <row r="222" spans="1:2" x14ac:dyDescent="0.25">
      <c r="A222" s="1">
        <v>49706</v>
      </c>
      <c r="B222">
        <f>$G$34*Planilha3!C3</f>
        <v>0.47011620142180088</v>
      </c>
    </row>
    <row r="223" spans="1:2" x14ac:dyDescent="0.25">
      <c r="A223" s="1">
        <v>49735</v>
      </c>
      <c r="B223">
        <f>$G$34*Planilha3!C4</f>
        <v>0.71229727488151651</v>
      </c>
    </row>
    <row r="224" spans="1:2" x14ac:dyDescent="0.25">
      <c r="A224" s="1">
        <v>49766</v>
      </c>
      <c r="B224">
        <f>$G$34*Planilha3!C5</f>
        <v>0.79777294786729847</v>
      </c>
    </row>
    <row r="225" spans="1:2" x14ac:dyDescent="0.25">
      <c r="A225" s="1">
        <v>49796</v>
      </c>
      <c r="B225">
        <f>$G$34*Planilha3!C6</f>
        <v>0.37039458293838856</v>
      </c>
    </row>
    <row r="226" spans="1:2" x14ac:dyDescent="0.25">
      <c r="A226" s="1">
        <v>49827</v>
      </c>
      <c r="B226">
        <f>$G$34*Planilha3!C7</f>
        <v>0.34190269194312795</v>
      </c>
    </row>
    <row r="227" spans="1:2" x14ac:dyDescent="0.25">
      <c r="A227" s="1">
        <v>49857</v>
      </c>
      <c r="B227">
        <f>$G$34*Planilha3!C8</f>
        <v>0.31341080094786727</v>
      </c>
    </row>
    <row r="228" spans="1:2" x14ac:dyDescent="0.25">
      <c r="A228" s="1">
        <v>49888</v>
      </c>
      <c r="B228">
        <f>$G$34*Planilha3!C9</f>
        <v>0.15670540047393364</v>
      </c>
    </row>
    <row r="229" spans="1:2" x14ac:dyDescent="0.25">
      <c r="A229" s="1">
        <v>49919</v>
      </c>
      <c r="B229">
        <f>$G$34*Planilha3!C10</f>
        <v>8.5475672985781986E-2</v>
      </c>
    </row>
    <row r="230" spans="1:2" x14ac:dyDescent="0.25">
      <c r="A230" s="1">
        <v>49949</v>
      </c>
      <c r="B230">
        <f>$G$36*Planilha3!C11</f>
        <v>0.11410348815165874</v>
      </c>
    </row>
    <row r="231" spans="1:2" x14ac:dyDescent="0.25">
      <c r="A231" s="1">
        <v>49980</v>
      </c>
      <c r="B231">
        <f>$G$36*Planilha3!C12</f>
        <v>0.67035799289099507</v>
      </c>
    </row>
    <row r="232" spans="1:2" x14ac:dyDescent="0.25">
      <c r="A232" s="1">
        <v>50010</v>
      </c>
      <c r="B232">
        <f>$G$36*Planilha3!C13</f>
        <v>1.3835047938388623</v>
      </c>
    </row>
    <row r="233" spans="1:2" x14ac:dyDescent="0.25">
      <c r="A233" s="1">
        <v>50041</v>
      </c>
      <c r="B233">
        <f>$G$36*Planilha3!C2</f>
        <v>0.59904331279620837</v>
      </c>
    </row>
    <row r="234" spans="1:2" x14ac:dyDescent="0.25">
      <c r="A234" s="1">
        <v>50072</v>
      </c>
      <c r="B234">
        <f>$G$36*Planilha3!C3</f>
        <v>0.47067688862559232</v>
      </c>
    </row>
    <row r="235" spans="1:2" x14ac:dyDescent="0.25">
      <c r="A235" s="1">
        <v>50100</v>
      </c>
      <c r="B235">
        <f>$G$36*Planilha3!C4</f>
        <v>0.7131468009478672</v>
      </c>
    </row>
    <row r="236" spans="1:2" x14ac:dyDescent="0.25">
      <c r="A236" s="1">
        <v>50131</v>
      </c>
      <c r="B236">
        <f>$G$36*Planilha3!C5</f>
        <v>0.79872441706161124</v>
      </c>
    </row>
    <row r="237" spans="1:2" x14ac:dyDescent="0.25">
      <c r="A237" s="1">
        <v>50161</v>
      </c>
      <c r="B237">
        <f>$G$36*Planilha3!C6</f>
        <v>0.37083633649289094</v>
      </c>
    </row>
    <row r="238" spans="1:2" x14ac:dyDescent="0.25">
      <c r="A238" s="1">
        <v>50192</v>
      </c>
      <c r="B238">
        <f>$G$36*Planilha3!C7</f>
        <v>0.3423104644549762</v>
      </c>
    </row>
    <row r="239" spans="1:2" x14ac:dyDescent="0.25">
      <c r="A239" s="1">
        <v>50222</v>
      </c>
      <c r="B239">
        <f>$G$36*Planilha3!C8</f>
        <v>0.31378459241706153</v>
      </c>
    </row>
    <row r="240" spans="1:2" x14ac:dyDescent="0.25">
      <c r="A240" s="1">
        <v>50253</v>
      </c>
      <c r="B240">
        <f>$G$36*Planilha3!C9</f>
        <v>0.15689229620853076</v>
      </c>
    </row>
    <row r="241" spans="1:2" x14ac:dyDescent="0.25">
      <c r="A241" s="1">
        <v>50284</v>
      </c>
      <c r="B241">
        <f>$G$36*Planilha3!C10</f>
        <v>8.5577616113744051E-2</v>
      </c>
    </row>
    <row r="242" spans="1:2" x14ac:dyDescent="0.25">
      <c r="A242" s="1">
        <v>50314</v>
      </c>
      <c r="B242">
        <f>$G$38*Planilha3!C11</f>
        <v>0.11422240758293838</v>
      </c>
    </row>
    <row r="243" spans="1:2" x14ac:dyDescent="0.25">
      <c r="A243" s="1">
        <v>50345</v>
      </c>
      <c r="B243">
        <f>$G$38*Planilha3!C12</f>
        <v>0.67105664454976288</v>
      </c>
    </row>
    <row r="244" spans="1:2" x14ac:dyDescent="0.25">
      <c r="A244" s="1">
        <v>50375</v>
      </c>
      <c r="B244">
        <f>$G$38*Planilha3!C13</f>
        <v>1.3849466919431277</v>
      </c>
    </row>
    <row r="245" spans="1:2" x14ac:dyDescent="0.25">
      <c r="A245" s="1">
        <v>50406</v>
      </c>
      <c r="B245">
        <f>$G$38*Planilha3!C2</f>
        <v>0.59966763981042648</v>
      </c>
    </row>
    <row r="246" spans="1:2" x14ac:dyDescent="0.25">
      <c r="A246" s="1">
        <v>50437</v>
      </c>
      <c r="B246">
        <f>$G$38*Planilha3!C3</f>
        <v>0.4711674312796208</v>
      </c>
    </row>
    <row r="247" spans="1:2" x14ac:dyDescent="0.25">
      <c r="A247" s="1">
        <v>50465</v>
      </c>
      <c r="B247">
        <f>$G$38*Planilha3!C4</f>
        <v>0.71389004739336481</v>
      </c>
    </row>
    <row r="248" spans="1:2" x14ac:dyDescent="0.25">
      <c r="A248" s="1">
        <v>50496</v>
      </c>
      <c r="B248">
        <f>$G$38*Planilha3!C5</f>
        <v>0.79955685308056856</v>
      </c>
    </row>
    <row r="249" spans="1:2" x14ac:dyDescent="0.25">
      <c r="A249" s="1">
        <v>50526</v>
      </c>
      <c r="B249">
        <f>$G$38*Planilha3!C6</f>
        <v>0.3712228246445497</v>
      </c>
    </row>
    <row r="250" spans="1:2" x14ac:dyDescent="0.25">
      <c r="A250" s="1">
        <v>50557</v>
      </c>
      <c r="B250">
        <f>$G$38*Planilha3!C7</f>
        <v>0.34266722274881511</v>
      </c>
    </row>
    <row r="251" spans="1:2" x14ac:dyDescent="0.25">
      <c r="A251" s="1">
        <v>50587</v>
      </c>
      <c r="B251">
        <f>$G$38*Planilha3!C8</f>
        <v>0.31411162085308053</v>
      </c>
    </row>
    <row r="252" spans="1:2" x14ac:dyDescent="0.25">
      <c r="A252" s="1">
        <v>50618</v>
      </c>
      <c r="B252">
        <f>$G$38*Planilha3!C9</f>
        <v>0.15705581042654027</v>
      </c>
    </row>
    <row r="253" spans="1:2" x14ac:dyDescent="0.25">
      <c r="A253" s="1">
        <v>50649</v>
      </c>
      <c r="B253">
        <f>$G$38*Planilha3!C10</f>
        <v>8.5666805687203779E-2</v>
      </c>
    </row>
    <row r="254" spans="1:2" x14ac:dyDescent="0.25">
      <c r="A254" s="1">
        <v>50679</v>
      </c>
      <c r="B254">
        <f>$G$40*Planilha3!C11</f>
        <v>0.11432733649289098</v>
      </c>
    </row>
    <row r="255" spans="1:2" x14ac:dyDescent="0.25">
      <c r="A255" s="1">
        <v>50710</v>
      </c>
      <c r="B255">
        <f>$G$40*Planilha3!C12</f>
        <v>0.67167310189573437</v>
      </c>
    </row>
    <row r="256" spans="1:2" x14ac:dyDescent="0.25">
      <c r="A256" s="1">
        <v>50740</v>
      </c>
      <c r="B256">
        <f>$G$40*Planilha3!C13</f>
        <v>1.3862189549763031</v>
      </c>
    </row>
    <row r="257" spans="1:2" x14ac:dyDescent="0.25">
      <c r="A257" s="1">
        <v>50771</v>
      </c>
      <c r="B257">
        <f>$G$40*Planilha3!C2</f>
        <v>0.60021851658767766</v>
      </c>
    </row>
    <row r="258" spans="1:2" x14ac:dyDescent="0.25">
      <c r="A258" s="1">
        <v>50802</v>
      </c>
      <c r="B258">
        <f>$G$40*Planilha3!C3</f>
        <v>0.47160026303317526</v>
      </c>
    </row>
    <row r="259" spans="1:2" x14ac:dyDescent="0.25">
      <c r="A259" s="1">
        <v>50830</v>
      </c>
      <c r="B259">
        <f>$G$40*Planilha3!C4</f>
        <v>0.71454585308056862</v>
      </c>
    </row>
    <row r="260" spans="1:2" x14ac:dyDescent="0.25">
      <c r="A260" s="1">
        <v>50861</v>
      </c>
      <c r="B260">
        <f>$G$40*Planilha3!C5</f>
        <v>0.80029135545023689</v>
      </c>
    </row>
    <row r="261" spans="1:2" x14ac:dyDescent="0.25">
      <c r="A261" s="1">
        <v>50891</v>
      </c>
      <c r="B261">
        <f>$G$40*Planilha3!C6</f>
        <v>0.3715638436018957</v>
      </c>
    </row>
    <row r="262" spans="1:2" x14ac:dyDescent="0.25">
      <c r="A262" s="1">
        <v>50922</v>
      </c>
      <c r="B262">
        <f>$G$40*Planilha3!C7</f>
        <v>0.34298200947867291</v>
      </c>
    </row>
    <row r="263" spans="1:2" x14ac:dyDescent="0.25">
      <c r="A263" s="1">
        <v>50952</v>
      </c>
      <c r="B263">
        <f>$G$40*Planilha3!C8</f>
        <v>0.31440017535545017</v>
      </c>
    </row>
    <row r="264" spans="1:2" x14ac:dyDescent="0.25">
      <c r="A264" s="1">
        <v>50983</v>
      </c>
      <c r="B264">
        <f>$G$40*Planilha3!C9</f>
        <v>0.15720008767772509</v>
      </c>
    </row>
    <row r="265" spans="1:2" x14ac:dyDescent="0.25">
      <c r="A265" s="1">
        <v>51014</v>
      </c>
      <c r="B265">
        <f>$G$40*Planilha3!C10</f>
        <v>8.5745502369668228E-2</v>
      </c>
    </row>
    <row r="266" spans="1:2" x14ac:dyDescent="0.25">
      <c r="A266" s="1">
        <v>51044</v>
      </c>
      <c r="B266">
        <f>$G$42*Planilha3!C11</f>
        <v>0.11442060663507109</v>
      </c>
    </row>
    <row r="267" spans="1:2" x14ac:dyDescent="0.25">
      <c r="A267" s="1">
        <v>51075</v>
      </c>
      <c r="B267">
        <f>$G$42*Planilha3!C12</f>
        <v>0.67222106398104253</v>
      </c>
    </row>
    <row r="268" spans="1:2" x14ac:dyDescent="0.25">
      <c r="A268" s="1">
        <v>51105</v>
      </c>
      <c r="B268">
        <f>$G$42*Planilha3!C13</f>
        <v>1.3873498554502368</v>
      </c>
    </row>
    <row r="269" spans="1:2" x14ac:dyDescent="0.25">
      <c r="A269" s="1">
        <v>51136</v>
      </c>
      <c r="B269">
        <f>$G$42*Planilha3!C2</f>
        <v>0.60070818483412314</v>
      </c>
    </row>
    <row r="270" spans="1:2" x14ac:dyDescent="0.25">
      <c r="A270" s="1">
        <v>51167</v>
      </c>
      <c r="B270">
        <f>$G$42*Planilha3!C3</f>
        <v>0.47198500236966817</v>
      </c>
    </row>
    <row r="271" spans="1:2" x14ac:dyDescent="0.25">
      <c r="A271" s="1">
        <v>51196</v>
      </c>
      <c r="B271">
        <f>$G$42*Planilha3!C4</f>
        <v>0.71512879146919428</v>
      </c>
    </row>
    <row r="272" spans="1:2" x14ac:dyDescent="0.25">
      <c r="A272" s="1">
        <v>51227</v>
      </c>
      <c r="B272">
        <f>$G$42*Planilha3!C5</f>
        <v>0.80094424644549755</v>
      </c>
    </row>
    <row r="273" spans="1:2" x14ac:dyDescent="0.25">
      <c r="A273" s="1">
        <v>51257</v>
      </c>
      <c r="B273">
        <f>$G$42*Planilha3!C6</f>
        <v>0.37186697156398102</v>
      </c>
    </row>
    <row r="274" spans="1:2" x14ac:dyDescent="0.25">
      <c r="A274" s="1">
        <v>51288</v>
      </c>
      <c r="B274">
        <f>$G$42*Planilha3!C7</f>
        <v>0.34326181990521321</v>
      </c>
    </row>
    <row r="275" spans="1:2" x14ac:dyDescent="0.25">
      <c r="A275" s="1">
        <v>51318</v>
      </c>
      <c r="B275">
        <f>$G$42*Planilha3!C8</f>
        <v>0.31465666824644545</v>
      </c>
    </row>
    <row r="276" spans="1:2" x14ac:dyDescent="0.25">
      <c r="A276" s="1">
        <v>51349</v>
      </c>
      <c r="B276">
        <f>$G$42*Planilha3!C9</f>
        <v>0.15732833412322272</v>
      </c>
    </row>
    <row r="277" spans="1:2" x14ac:dyDescent="0.25">
      <c r="A277" s="1">
        <v>51380</v>
      </c>
      <c r="B277">
        <f>$G$42*Planilha3!C10</f>
        <v>8.5815454976303301E-2</v>
      </c>
    </row>
    <row r="278" spans="1:2" x14ac:dyDescent="0.25">
      <c r="A278" s="1">
        <v>51410</v>
      </c>
      <c r="B278">
        <f>$G$44*Planilha3!C11</f>
        <v>0.11450403791469192</v>
      </c>
    </row>
    <row r="279" spans="1:2" x14ac:dyDescent="0.25">
      <c r="A279" s="1">
        <v>51441</v>
      </c>
      <c r="B279">
        <f>$G$44*Planilha3!C12</f>
        <v>0.67271122274881501</v>
      </c>
    </row>
    <row r="280" spans="1:2" x14ac:dyDescent="0.25">
      <c r="A280" s="1">
        <v>51471</v>
      </c>
      <c r="B280">
        <f>$G$44*Planilha3!C13</f>
        <v>1.3883614597156395</v>
      </c>
    </row>
    <row r="281" spans="1:2" x14ac:dyDescent="0.25">
      <c r="A281" s="1">
        <v>51502</v>
      </c>
      <c r="B281">
        <f>$G$44*Planilha3!C2</f>
        <v>0.60114619905213262</v>
      </c>
    </row>
    <row r="282" spans="1:2" x14ac:dyDescent="0.25">
      <c r="A282" s="1">
        <v>51533</v>
      </c>
      <c r="B282">
        <f>$G$44*Planilha3!C3</f>
        <v>0.47232915639810419</v>
      </c>
    </row>
    <row r="283" spans="1:2" x14ac:dyDescent="0.25">
      <c r="A283" s="1">
        <v>51561</v>
      </c>
      <c r="B283">
        <f>$G$44*Planilha3!C4</f>
        <v>0.71565023696682462</v>
      </c>
    </row>
    <row r="284" spans="1:2" x14ac:dyDescent="0.25">
      <c r="A284" s="1">
        <v>51592</v>
      </c>
      <c r="B284">
        <f>$G$44*Planilha3!C5</f>
        <v>0.8015282654028435</v>
      </c>
    </row>
    <row r="285" spans="1:2" x14ac:dyDescent="0.25">
      <c r="A285" s="1">
        <v>51622</v>
      </c>
      <c r="B285">
        <f>$G$44*Planilha3!C6</f>
        <v>0.37213812322274875</v>
      </c>
    </row>
    <row r="286" spans="1:2" x14ac:dyDescent="0.25">
      <c r="A286" s="1">
        <v>51653</v>
      </c>
      <c r="B286">
        <f>$G$44*Planilha3!C7</f>
        <v>0.34351211374407575</v>
      </c>
    </row>
    <row r="287" spans="1:2" x14ac:dyDescent="0.25">
      <c r="A287" s="1">
        <v>51683</v>
      </c>
      <c r="B287">
        <f>$G$44*Planilha3!C8</f>
        <v>0.31488610426540276</v>
      </c>
    </row>
    <row r="288" spans="1:2" x14ac:dyDescent="0.25">
      <c r="A288" s="1">
        <v>51714</v>
      </c>
      <c r="B288">
        <f>$G$44*Planilha3!C9</f>
        <v>0.15744305213270138</v>
      </c>
    </row>
    <row r="289" spans="1:2" x14ac:dyDescent="0.25">
      <c r="A289" s="1">
        <v>51745</v>
      </c>
      <c r="B289">
        <f>$G$44*Planilha3!C10</f>
        <v>8.5878028436018938E-2</v>
      </c>
    </row>
    <row r="290" spans="1:2" x14ac:dyDescent="0.25">
      <c r="A290" s="1">
        <v>51775</v>
      </c>
      <c r="B290">
        <f>$G$46*Planilha3!C11</f>
        <v>0.1145791279620853</v>
      </c>
    </row>
    <row r="291" spans="1:2" x14ac:dyDescent="0.25">
      <c r="A291" s="1">
        <v>51806</v>
      </c>
      <c r="B291">
        <f>$G$46*Planilha3!C12</f>
        <v>0.67315237677725104</v>
      </c>
    </row>
    <row r="292" spans="1:2" x14ac:dyDescent="0.25">
      <c r="A292" s="1">
        <v>51836</v>
      </c>
      <c r="B292">
        <f>$G$46*Planilha3!C13</f>
        <v>1.3892719265402842</v>
      </c>
    </row>
    <row r="293" spans="1:2" x14ac:dyDescent="0.25">
      <c r="A293" s="1">
        <v>51867</v>
      </c>
      <c r="B293">
        <f>$G$46*Planilha3!C2</f>
        <v>0.6015404218009478</v>
      </c>
    </row>
    <row r="294" spans="1:2" x14ac:dyDescent="0.25">
      <c r="A294" s="1">
        <v>51898</v>
      </c>
      <c r="B294">
        <f>$G$46*Planilha3!C3</f>
        <v>0.47263890284360183</v>
      </c>
    </row>
    <row r="295" spans="1:2" x14ac:dyDescent="0.25">
      <c r="A295" s="1">
        <v>51926</v>
      </c>
      <c r="B295">
        <f>$G$46*Planilha3!C4</f>
        <v>0.71611954976303316</v>
      </c>
    </row>
    <row r="296" spans="1:2" x14ac:dyDescent="0.25">
      <c r="A296" s="1">
        <v>51957</v>
      </c>
      <c r="B296">
        <f>$G$46*Planilha3!C5</f>
        <v>0.80205389573459707</v>
      </c>
    </row>
    <row r="297" spans="1:2" x14ac:dyDescent="0.25">
      <c r="A297" s="1">
        <v>51987</v>
      </c>
      <c r="B297">
        <f>$G$46*Planilha3!C6</f>
        <v>0.37238216587677719</v>
      </c>
    </row>
    <row r="298" spans="1:2" x14ac:dyDescent="0.25">
      <c r="A298" s="1">
        <v>52018</v>
      </c>
      <c r="B298">
        <f>$G$46*Planilha3!C7</f>
        <v>0.34373738388625585</v>
      </c>
    </row>
    <row r="299" spans="1:2" x14ac:dyDescent="0.25">
      <c r="A299" s="1">
        <v>52048</v>
      </c>
      <c r="B299">
        <f>$G$46*Planilha3!C8</f>
        <v>0.31509260189573457</v>
      </c>
    </row>
    <row r="300" spans="1:2" x14ac:dyDescent="0.25">
      <c r="A300" s="1">
        <v>52079</v>
      </c>
      <c r="B300">
        <f>$G$46*Planilha3!C9</f>
        <v>0.15754630094786728</v>
      </c>
    </row>
    <row r="301" spans="1:2" x14ac:dyDescent="0.25">
      <c r="A301" s="1">
        <v>52110</v>
      </c>
      <c r="B301">
        <f>$G$46*Planilha3!C10</f>
        <v>8.5934345971563963E-2</v>
      </c>
    </row>
    <row r="302" spans="1:2" x14ac:dyDescent="0.25">
      <c r="A302" s="1">
        <v>52140</v>
      </c>
      <c r="B302">
        <f>$G$48*Planilha3!C11</f>
        <v>0.11464707109004739</v>
      </c>
    </row>
    <row r="303" spans="1:2" x14ac:dyDescent="0.25">
      <c r="A303" s="1">
        <v>52171</v>
      </c>
      <c r="B303">
        <f>$G$48*Planilha3!C12</f>
        <v>0.67355154265402828</v>
      </c>
    </row>
    <row r="304" spans="1:2" x14ac:dyDescent="0.25">
      <c r="A304" s="1">
        <v>52201</v>
      </c>
      <c r="B304">
        <f>$G$48*Planilha3!C13</f>
        <v>1.3900957369668245</v>
      </c>
    </row>
    <row r="305" spans="1:2" x14ac:dyDescent="0.25">
      <c r="A305" s="1">
        <v>52232</v>
      </c>
      <c r="B305">
        <f>$G$48*Planilha3!C2</f>
        <v>0.6018971232227488</v>
      </c>
    </row>
    <row r="306" spans="1:2" x14ac:dyDescent="0.25">
      <c r="A306" s="1">
        <v>52263</v>
      </c>
      <c r="B306">
        <f>$G$48*Planilha3!C3</f>
        <v>0.47291916824644548</v>
      </c>
    </row>
    <row r="307" spans="1:2" x14ac:dyDescent="0.25">
      <c r="A307" s="1">
        <v>52291</v>
      </c>
      <c r="B307">
        <f>$G$48*Planilha3!C4</f>
        <v>0.71654419431279615</v>
      </c>
    </row>
    <row r="308" spans="1:2" x14ac:dyDescent="0.25">
      <c r="A308" s="1">
        <v>52322</v>
      </c>
      <c r="B308">
        <f>$G$48*Planilha3!C5</f>
        <v>0.80252949763033166</v>
      </c>
    </row>
    <row r="309" spans="1:2" x14ac:dyDescent="0.25">
      <c r="A309" s="1">
        <v>52352</v>
      </c>
      <c r="B309">
        <f>$G$48*Planilha3!C6</f>
        <v>0.37260298104265399</v>
      </c>
    </row>
    <row r="310" spans="1:2" x14ac:dyDescent="0.25">
      <c r="A310" s="1">
        <v>52383</v>
      </c>
      <c r="B310">
        <f>$G$48*Planilha3!C7</f>
        <v>0.34394121327014215</v>
      </c>
    </row>
    <row r="311" spans="1:2" x14ac:dyDescent="0.25">
      <c r="A311" s="1">
        <v>52413</v>
      </c>
      <c r="B311">
        <f>$G$48*Planilha3!C8</f>
        <v>0.31527944549763026</v>
      </c>
    </row>
    <row r="312" spans="1:2" x14ac:dyDescent="0.25">
      <c r="A312" s="1">
        <v>52444</v>
      </c>
      <c r="B312">
        <f>$G$48*Planilha3!C9</f>
        <v>0.15763972274881513</v>
      </c>
    </row>
    <row r="313" spans="1:2" x14ac:dyDescent="0.25">
      <c r="A313" s="1">
        <v>52475</v>
      </c>
      <c r="B313">
        <f>$G$48*Planilha3!C10</f>
        <v>8.5985303317535539E-2</v>
      </c>
    </row>
    <row r="314" spans="1:2" x14ac:dyDescent="0.25">
      <c r="A314" s="1">
        <v>52505</v>
      </c>
      <c r="B314">
        <f>$G$50*Planilha3!C11</f>
        <v>0.11470881516587676</v>
      </c>
    </row>
    <row r="315" spans="1:2" x14ac:dyDescent="0.25">
      <c r="A315" s="1">
        <v>52536</v>
      </c>
      <c r="B315">
        <f>$G$50*Planilha3!C12</f>
        <v>0.67391428909952589</v>
      </c>
    </row>
    <row r="316" spans="1:2" x14ac:dyDescent="0.25">
      <c r="A316" s="1">
        <v>52566</v>
      </c>
      <c r="B316">
        <f>$G$50*Planilha3!C13</f>
        <v>1.3908443838862556</v>
      </c>
    </row>
    <row r="317" spans="1:2" x14ac:dyDescent="0.25">
      <c r="A317" s="1">
        <v>52597</v>
      </c>
      <c r="B317">
        <f>$G$50*Planilha3!C2</f>
        <v>0.60222127962085303</v>
      </c>
    </row>
    <row r="318" spans="1:2" x14ac:dyDescent="0.25">
      <c r="A318" s="1">
        <v>52628</v>
      </c>
      <c r="B318">
        <f>$G$50*Planilha3!C3</f>
        <v>0.47317386255924165</v>
      </c>
    </row>
    <row r="319" spans="1:2" x14ac:dyDescent="0.25">
      <c r="A319" s="1">
        <v>52657</v>
      </c>
      <c r="B319">
        <f>$G$50*Planilha3!C4</f>
        <v>0.71693009478672975</v>
      </c>
    </row>
    <row r="320" spans="1:2" x14ac:dyDescent="0.25">
      <c r="A320" s="1">
        <v>52688</v>
      </c>
      <c r="B320">
        <f>$G$50*Planilha3!C5</f>
        <v>0.80296170616113727</v>
      </c>
    </row>
    <row r="321" spans="1:2" x14ac:dyDescent="0.25">
      <c r="A321" s="1">
        <v>52718</v>
      </c>
      <c r="B321">
        <f>$G$50*Planilha3!C6</f>
        <v>0.37280364928909948</v>
      </c>
    </row>
    <row r="322" spans="1:2" x14ac:dyDescent="0.25">
      <c r="A322" s="1">
        <v>52749</v>
      </c>
      <c r="B322">
        <f>$G$50*Planilha3!C7</f>
        <v>0.34412644549763027</v>
      </c>
    </row>
    <row r="323" spans="1:2" x14ac:dyDescent="0.25">
      <c r="A323" s="1">
        <v>52779</v>
      </c>
      <c r="B323">
        <f>$G$50*Planilha3!C8</f>
        <v>0.31544924170616107</v>
      </c>
    </row>
    <row r="324" spans="1:2" x14ac:dyDescent="0.25">
      <c r="A324" s="1">
        <v>52810</v>
      </c>
      <c r="B324">
        <f>$G$50*Planilha3!C9</f>
        <v>0.15772462085308053</v>
      </c>
    </row>
    <row r="325" spans="1:2" x14ac:dyDescent="0.25">
      <c r="A325" s="1">
        <v>52841</v>
      </c>
      <c r="B325">
        <f>$G$50*Planilha3!C10</f>
        <v>8.6031611374407568E-2</v>
      </c>
    </row>
    <row r="326" spans="1:2" x14ac:dyDescent="0.25">
      <c r="A326" s="1">
        <v>52871</v>
      </c>
      <c r="B326">
        <f>$G$52*Planilha3!C11</f>
        <v>0.11476519431279619</v>
      </c>
    </row>
    <row r="327" spans="1:2" x14ac:dyDescent="0.25">
      <c r="A327" s="1">
        <v>52902</v>
      </c>
      <c r="B327">
        <f>$G$52*Planilha3!C12</f>
        <v>0.67424551658767751</v>
      </c>
    </row>
    <row r="328" spans="1:2" x14ac:dyDescent="0.25">
      <c r="A328" s="1">
        <v>52932</v>
      </c>
      <c r="B328">
        <f>$G$52*Planilha3!C13</f>
        <v>1.3915279810426537</v>
      </c>
    </row>
    <row r="329" spans="1:2" x14ac:dyDescent="0.25">
      <c r="A329" s="1">
        <v>52963</v>
      </c>
      <c r="B329">
        <f>$G$52*Planilha3!C2</f>
        <v>0.60251727014218004</v>
      </c>
    </row>
    <row r="330" spans="1:2" x14ac:dyDescent="0.25">
      <c r="A330" s="1">
        <v>52994</v>
      </c>
      <c r="B330">
        <f>$G$52*Planilha3!C3</f>
        <v>0.47340642654028431</v>
      </c>
    </row>
    <row r="331" spans="1:2" x14ac:dyDescent="0.25">
      <c r="A331" s="1">
        <v>53022</v>
      </c>
      <c r="B331">
        <f>$G$52*Planilha3!C4</f>
        <v>0.71728246445497623</v>
      </c>
    </row>
    <row r="332" spans="1:2" x14ac:dyDescent="0.25">
      <c r="A332" s="1">
        <v>53053</v>
      </c>
      <c r="B332">
        <f>$G$52*Planilha3!C5</f>
        <v>0.80335636018957335</v>
      </c>
    </row>
    <row r="333" spans="1:2" x14ac:dyDescent="0.25">
      <c r="A333" s="1">
        <v>53083</v>
      </c>
      <c r="B333">
        <f>$G$52*Planilha3!C6</f>
        <v>0.3729868815165876</v>
      </c>
    </row>
    <row r="334" spans="1:2" x14ac:dyDescent="0.25">
      <c r="A334" s="1">
        <v>53114</v>
      </c>
      <c r="B334">
        <f>$G$52*Planilha3!C7</f>
        <v>0.34429558293838858</v>
      </c>
    </row>
    <row r="335" spans="1:2" x14ac:dyDescent="0.25">
      <c r="A335" s="1">
        <v>53144</v>
      </c>
      <c r="B335">
        <f>$G$52*Planilha3!C8</f>
        <v>0.3156042843601895</v>
      </c>
    </row>
    <row r="336" spans="1:2" x14ac:dyDescent="0.25">
      <c r="A336" s="1">
        <v>53175</v>
      </c>
      <c r="B336">
        <f>$G$52*Planilha3!C9</f>
        <v>0.15780214218009475</v>
      </c>
    </row>
    <row r="337" spans="1:2" x14ac:dyDescent="0.25">
      <c r="A337" s="1">
        <v>53206</v>
      </c>
      <c r="B337">
        <f>$G$54*Planilha3!C10</f>
        <v>8.6112654028436E-2</v>
      </c>
    </row>
    <row r="338" spans="1:2" x14ac:dyDescent="0.25">
      <c r="A338" s="1">
        <v>53236</v>
      </c>
      <c r="B338">
        <f>$G$52*Planilha3!C11</f>
        <v>0.11476519431279619</v>
      </c>
    </row>
    <row r="339" spans="1:2" x14ac:dyDescent="0.25">
      <c r="A339" s="1">
        <v>53267</v>
      </c>
      <c r="B339">
        <f>$G$52*Planilha3!C12</f>
        <v>0.67424551658767751</v>
      </c>
    </row>
    <row r="340" spans="1:2" x14ac:dyDescent="0.25">
      <c r="A340" s="1">
        <v>53297</v>
      </c>
      <c r="B340">
        <f>$G$52*Planilha3!C13</f>
        <v>1.3915279810426537</v>
      </c>
    </row>
    <row r="341" spans="1:2" x14ac:dyDescent="0.25">
      <c r="A341" s="1">
        <v>53328</v>
      </c>
      <c r="B341">
        <f>$G$52*Planilha3!C2</f>
        <v>0.60251727014218004</v>
      </c>
    </row>
    <row r="342" spans="1:2" x14ac:dyDescent="0.25">
      <c r="A342" s="1">
        <v>53359</v>
      </c>
      <c r="B342">
        <f>$G$52*Planilha3!C3</f>
        <v>0.47340642654028431</v>
      </c>
    </row>
    <row r="343" spans="1:2" x14ac:dyDescent="0.25">
      <c r="A343" s="1">
        <v>53387</v>
      </c>
      <c r="B343">
        <f>$G$52*Planilha3!C4</f>
        <v>0.71728246445497623</v>
      </c>
    </row>
    <row r="344" spans="1:2" x14ac:dyDescent="0.25">
      <c r="A344" s="1">
        <v>53418</v>
      </c>
      <c r="B344">
        <f>$G$52*Planilha3!C5</f>
        <v>0.80335636018957335</v>
      </c>
    </row>
    <row r="345" spans="1:2" x14ac:dyDescent="0.25">
      <c r="A345" s="1">
        <v>53448</v>
      </c>
      <c r="B345">
        <f>$G$52*Planilha3!C6</f>
        <v>0.3729868815165876</v>
      </c>
    </row>
    <row r="346" spans="1:2" x14ac:dyDescent="0.25">
      <c r="A346" s="1">
        <v>53479</v>
      </c>
      <c r="B346">
        <f>$G$52*Planilha3!C7</f>
        <v>0.34429558293838858</v>
      </c>
    </row>
    <row r="347" spans="1:2" x14ac:dyDescent="0.25">
      <c r="A347" s="1">
        <v>53509</v>
      </c>
      <c r="B347">
        <f>$G$52*Planilha3!C8</f>
        <v>0.3156042843601895</v>
      </c>
    </row>
    <row r="348" spans="1:2" x14ac:dyDescent="0.25">
      <c r="A348" s="1">
        <v>53540</v>
      </c>
      <c r="B348">
        <f>$G$52*Planilha3!C9</f>
        <v>0.15780214218009475</v>
      </c>
    </row>
    <row r="349" spans="1:2" x14ac:dyDescent="0.25">
      <c r="A349" s="1">
        <v>53571</v>
      </c>
      <c r="B349">
        <f>$G$52*Planilha3!C10</f>
        <v>8.6073895734597144E-2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1B5C-C6D9-492A-984B-7E24C80F2784}">
  <sheetPr codeName="Planilha4"/>
  <dimension ref="A1:F27"/>
  <sheetViews>
    <sheetView workbookViewId="0">
      <selection activeCell="D23" sqref="D1:D23"/>
    </sheetView>
  </sheetViews>
  <sheetFormatPr defaultRowHeight="15.75" x14ac:dyDescent="0.25"/>
  <cols>
    <col min="2" max="2" width="1.875" bestFit="1" customWidth="1"/>
  </cols>
  <sheetData>
    <row r="1" spans="1:6" x14ac:dyDescent="0.25">
      <c r="A1">
        <v>1</v>
      </c>
      <c r="B1" s="3">
        <v>3.0852560000000001E-2</v>
      </c>
      <c r="C1">
        <f>1000*B1</f>
        <v>30.85256</v>
      </c>
      <c r="D1">
        <f>A1*C1</f>
        <v>30.85256</v>
      </c>
      <c r="E1">
        <f>(1+B1)^(-A1)</f>
        <v>0.97007083146788708</v>
      </c>
      <c r="F1">
        <f>D1*E1</f>
        <v>29.929168532112875</v>
      </c>
    </row>
    <row r="2" spans="1:6" x14ac:dyDescent="0.25">
      <c r="A2">
        <v>2</v>
      </c>
      <c r="B2" s="3">
        <v>3.0852560000000001E-2</v>
      </c>
      <c r="C2">
        <f t="shared" ref="C2:C23" si="0">1000*B2</f>
        <v>30.85256</v>
      </c>
      <c r="D2">
        <f t="shared" ref="D2:D23" si="1">A2*C2</f>
        <v>61.705120000000001</v>
      </c>
      <c r="E2">
        <f t="shared" ref="E2:E23" si="2">(1+B2)^(-A2)</f>
        <v>0.9410374180647979</v>
      </c>
      <c r="F2">
        <f t="shared" ref="F2:F23" si="3">D2*E2</f>
        <v>58.066826806178526</v>
      </c>
    </row>
    <row r="3" spans="1:6" x14ac:dyDescent="0.25">
      <c r="A3">
        <v>3</v>
      </c>
      <c r="B3" s="3">
        <v>3.0852560000000001E-2</v>
      </c>
      <c r="C3">
        <f t="shared" si="0"/>
        <v>30.85256</v>
      </c>
      <c r="D3">
        <f t="shared" si="1"/>
        <v>92.557680000000005</v>
      </c>
      <c r="E3">
        <f t="shared" si="2"/>
        <v>0.91287295058451212</v>
      </c>
      <c r="F3">
        <f t="shared" si="3"/>
        <v>84.493402440857096</v>
      </c>
    </row>
    <row r="4" spans="1:6" x14ac:dyDescent="0.25">
      <c r="A4">
        <v>4</v>
      </c>
      <c r="B4" s="3">
        <v>3.0852560000000001E-2</v>
      </c>
      <c r="C4">
        <f t="shared" si="0"/>
        <v>30.85256</v>
      </c>
      <c r="D4">
        <f t="shared" si="1"/>
        <v>123.41024</v>
      </c>
      <c r="E4">
        <f t="shared" si="2"/>
        <v>0.88555142219806104</v>
      </c>
      <c r="F4">
        <f t="shared" si="3"/>
        <v>109.28611354580404</v>
      </c>
    </row>
    <row r="5" spans="1:6" x14ac:dyDescent="0.25">
      <c r="A5">
        <v>5</v>
      </c>
      <c r="B5" s="3">
        <v>3.0852560000000001E-2</v>
      </c>
      <c r="C5">
        <f t="shared" si="0"/>
        <v>30.85256</v>
      </c>
      <c r="D5">
        <f t="shared" si="1"/>
        <v>154.2628</v>
      </c>
      <c r="E5">
        <f t="shared" si="2"/>
        <v>0.85904760443924311</v>
      </c>
      <c r="F5">
        <f t="shared" si="3"/>
        <v>132.51908879409007</v>
      </c>
    </row>
    <row r="6" spans="1:6" x14ac:dyDescent="0.25">
      <c r="A6">
        <v>6</v>
      </c>
      <c r="B6" s="3">
        <v>3.0852560000000001E-2</v>
      </c>
      <c r="C6">
        <f t="shared" si="0"/>
        <v>30.85256</v>
      </c>
      <c r="D6">
        <f t="shared" si="1"/>
        <v>185.11536000000001</v>
      </c>
      <c r="E6">
        <f t="shared" si="2"/>
        <v>0.8333370239088731</v>
      </c>
      <c r="F6">
        <f t="shared" si="3"/>
        <v>154.26348318221966</v>
      </c>
    </row>
    <row r="7" spans="1:6" x14ac:dyDescent="0.25">
      <c r="A7">
        <v>7</v>
      </c>
      <c r="B7" s="3">
        <v>3.0852560000000001E-2</v>
      </c>
      <c r="C7">
        <f t="shared" si="0"/>
        <v>30.85256</v>
      </c>
      <c r="D7">
        <f t="shared" si="1"/>
        <v>215.96791999999999</v>
      </c>
      <c r="E7">
        <f t="shared" si="2"/>
        <v>0.80839593967625512</v>
      </c>
      <c r="F7">
        <f t="shared" si="3"/>
        <v>174.58758962832627</v>
      </c>
    </row>
    <row r="8" spans="1:6" x14ac:dyDescent="0.25">
      <c r="A8">
        <v>8</v>
      </c>
      <c r="B8" s="3">
        <v>3.0852560000000001E-2</v>
      </c>
      <c r="C8">
        <f t="shared" si="0"/>
        <v>30.85256</v>
      </c>
      <c r="D8">
        <f t="shared" si="1"/>
        <v>246.82048</v>
      </c>
      <c r="E8">
        <f t="shared" si="2"/>
        <v>0.78420132135700871</v>
      </c>
      <c r="F8">
        <f t="shared" si="3"/>
        <v>193.55694655397113</v>
      </c>
    </row>
    <row r="9" spans="1:6" x14ac:dyDescent="0.25">
      <c r="A9">
        <v>9</v>
      </c>
      <c r="B9" s="3">
        <v>3.0852560000000001E-2</v>
      </c>
      <c r="C9">
        <f t="shared" si="0"/>
        <v>30.85256</v>
      </c>
      <c r="D9">
        <f t="shared" si="1"/>
        <v>277.67304000000001</v>
      </c>
      <c r="E9">
        <f t="shared" si="2"/>
        <v>0.76073082784700907</v>
      </c>
      <c r="F9">
        <f t="shared" si="3"/>
        <v>211.23444158999567</v>
      </c>
    </row>
    <row r="10" spans="1:6" x14ac:dyDescent="0.25">
      <c r="A10">
        <v>10</v>
      </c>
      <c r="B10" s="3">
        <v>3.0852560000000001E-2</v>
      </c>
      <c r="C10">
        <f t="shared" si="0"/>
        <v>30.85256</v>
      </c>
      <c r="D10">
        <f t="shared" si="1"/>
        <v>308.5256</v>
      </c>
      <c r="E10">
        <f t="shared" si="2"/>
        <v>0.73796278669280224</v>
      </c>
      <c r="F10">
        <f t="shared" si="3"/>
        <v>227.68041154206884</v>
      </c>
    </row>
    <row r="11" spans="1:6" x14ac:dyDescent="0.25">
      <c r="A11">
        <v>11</v>
      </c>
      <c r="B11" s="3">
        <v>3.0852560000000001E-2</v>
      </c>
      <c r="C11">
        <f t="shared" si="0"/>
        <v>30.85256</v>
      </c>
      <c r="D11">
        <f t="shared" si="1"/>
        <v>339.37815999999998</v>
      </c>
      <c r="E11">
        <f t="shared" si="2"/>
        <v>0.7158761740794457</v>
      </c>
      <c r="F11">
        <f t="shared" si="3"/>
        <v>242.95273874692197</v>
      </c>
    </row>
    <row r="12" spans="1:6" x14ac:dyDescent="0.25">
      <c r="A12">
        <v>12</v>
      </c>
      <c r="B12" s="3">
        <v>3.0852560000000001E-2</v>
      </c>
      <c r="C12">
        <f t="shared" si="0"/>
        <v>30.85256</v>
      </c>
      <c r="D12">
        <f t="shared" si="1"/>
        <v>370.23072000000002</v>
      </c>
      <c r="E12">
        <f t="shared" si="2"/>
        <v>0.69445059541729781</v>
      </c>
      <c r="F12">
        <f t="shared" si="3"/>
        <v>257.1069439457749</v>
      </c>
    </row>
    <row r="13" spans="1:6" x14ac:dyDescent="0.25">
      <c r="A13">
        <v>13</v>
      </c>
      <c r="B13" s="3">
        <v>3.0852560000000001E-2</v>
      </c>
      <c r="C13">
        <f t="shared" si="0"/>
        <v>30.85256</v>
      </c>
      <c r="D13">
        <f t="shared" si="1"/>
        <v>401.08328</v>
      </c>
      <c r="E13">
        <f t="shared" si="2"/>
        <v>0.67366626650982742</v>
      </c>
      <c r="F13">
        <f t="shared" si="3"/>
        <v>270.19627579711573</v>
      </c>
    </row>
    <row r="14" spans="1:6" x14ac:dyDescent="0.25">
      <c r="A14">
        <v>14</v>
      </c>
      <c r="B14" s="3">
        <v>3.0852560000000001E-2</v>
      </c>
      <c r="C14">
        <f t="shared" si="0"/>
        <v>30.85256</v>
      </c>
      <c r="D14">
        <f t="shared" si="1"/>
        <v>431.93583999999998</v>
      </c>
      <c r="E14">
        <f t="shared" si="2"/>
        <v>0.65350399528505554</v>
      </c>
      <c r="F14">
        <f t="shared" si="3"/>
        <v>282.27179714680648</v>
      </c>
    </row>
    <row r="15" spans="1:6" x14ac:dyDescent="0.25">
      <c r="A15">
        <v>15</v>
      </c>
      <c r="B15" s="3">
        <v>3.0852560000000001E-2</v>
      </c>
      <c r="C15">
        <f t="shared" si="0"/>
        <v>30.85256</v>
      </c>
      <c r="D15">
        <f t="shared" si="1"/>
        <v>462.78840000000002</v>
      </c>
      <c r="E15">
        <f t="shared" si="2"/>
        <v>0.63394516407375989</v>
      </c>
      <c r="F15">
        <f t="shared" si="3"/>
        <v>293.38246816943285</v>
      </c>
    </row>
    <row r="16" spans="1:6" x14ac:dyDescent="0.25">
      <c r="A16">
        <v>16</v>
      </c>
      <c r="B16" s="3">
        <v>3.0852560000000001E-2</v>
      </c>
      <c r="C16">
        <f t="shared" si="0"/>
        <v>30.85256</v>
      </c>
      <c r="D16">
        <f t="shared" si="1"/>
        <v>493.64096000000001</v>
      </c>
      <c r="E16">
        <f t="shared" si="2"/>
        <v>0.61497171241807835</v>
      </c>
      <c r="F16">
        <f t="shared" si="3"/>
        <v>303.57522649090413</v>
      </c>
    </row>
    <row r="17" spans="1:6" x14ac:dyDescent="0.25">
      <c r="A17">
        <v>17</v>
      </c>
      <c r="B17" s="3">
        <v>3.0852560000000001E-2</v>
      </c>
      <c r="C17">
        <f t="shared" si="0"/>
        <v>30.85256</v>
      </c>
      <c r="D17">
        <f t="shared" si="1"/>
        <v>524.49351999999999</v>
      </c>
      <c r="E17">
        <f t="shared" si="2"/>
        <v>0.59656612039463564</v>
      </c>
      <c r="F17">
        <f t="shared" si="3"/>
        <v>312.89506439852624</v>
      </c>
    </row>
    <row r="18" spans="1:6" x14ac:dyDescent="0.25">
      <c r="A18">
        <v>18</v>
      </c>
      <c r="B18" s="3">
        <v>3.0852560000000001E-2</v>
      </c>
      <c r="C18">
        <f t="shared" si="0"/>
        <v>30.85256</v>
      </c>
      <c r="D18">
        <f t="shared" si="1"/>
        <v>555.34608000000003</v>
      </c>
      <c r="E18">
        <f t="shared" si="2"/>
        <v>0.57871139243679592</v>
      </c>
      <c r="F18">
        <f t="shared" si="3"/>
        <v>321.38510324111627</v>
      </c>
    </row>
    <row r="19" spans="1:6" x14ac:dyDescent="0.25">
      <c r="A19">
        <v>19</v>
      </c>
      <c r="B19" s="3">
        <v>3.0852560000000001E-2</v>
      </c>
      <c r="C19">
        <f t="shared" si="0"/>
        <v>30.85256</v>
      </c>
      <c r="D19">
        <f t="shared" si="1"/>
        <v>586.19863999999995</v>
      </c>
      <c r="E19">
        <f t="shared" si="2"/>
        <v>0.56139104164110132</v>
      </c>
      <c r="F19">
        <f t="shared" si="3"/>
        <v>329.08666511819695</v>
      </c>
    </row>
    <row r="20" spans="1:6" x14ac:dyDescent="0.25">
      <c r="A20">
        <v>20</v>
      </c>
      <c r="B20" s="3">
        <v>3.0852560000000001E-2</v>
      </c>
      <c r="C20">
        <f t="shared" si="0"/>
        <v>30.85256</v>
      </c>
      <c r="D20">
        <f t="shared" si="1"/>
        <v>617.05119999999999</v>
      </c>
      <c r="E20">
        <f t="shared" si="2"/>
        <v>0.54458907454340633</v>
      </c>
      <c r="F20">
        <f t="shared" si="3"/>
        <v>336.03934195389832</v>
      </c>
    </row>
    <row r="21" spans="1:6" x14ac:dyDescent="0.25">
      <c r="A21">
        <v>21</v>
      </c>
      <c r="B21" s="3">
        <v>3.0852560000000001E-2</v>
      </c>
      <c r="C21">
        <f t="shared" si="0"/>
        <v>30.85256</v>
      </c>
      <c r="D21">
        <f t="shared" si="1"/>
        <v>647.90376000000003</v>
      </c>
      <c r="E21">
        <f t="shared" si="2"/>
        <v>0.52828997635064934</v>
      </c>
      <c r="F21">
        <f t="shared" si="3"/>
        <v>342.2810620478968</v>
      </c>
    </row>
    <row r="22" spans="1:6" x14ac:dyDescent="0.25">
      <c r="A22">
        <v>22</v>
      </c>
      <c r="B22" s="3">
        <v>3.0852560000000001E-2</v>
      </c>
      <c r="C22">
        <f t="shared" si="0"/>
        <v>30.85256</v>
      </c>
      <c r="D22">
        <f t="shared" si="1"/>
        <v>678.75631999999996</v>
      </c>
      <c r="E22">
        <f t="shared" si="2"/>
        <v>0.51247869661462486</v>
      </c>
      <c r="F22">
        <f t="shared" si="3"/>
        <v>347.8481541925392</v>
      </c>
    </row>
    <row r="23" spans="1:6" x14ac:dyDescent="0.25">
      <c r="A23">
        <v>23</v>
      </c>
      <c r="B23" s="3">
        <v>3.0852560000000001E-2</v>
      </c>
      <c r="C23">
        <f t="shared" si="0"/>
        <v>30.85256</v>
      </c>
      <c r="D23">
        <f t="shared" si="1"/>
        <v>709.60888</v>
      </c>
      <c r="E23">
        <f t="shared" si="2"/>
        <v>0.49714063533452818</v>
      </c>
      <c r="F23">
        <f t="shared" si="3"/>
        <v>352.77540944222295</v>
      </c>
    </row>
    <row r="24" spans="1:6" x14ac:dyDescent="0.25">
      <c r="E24" t="s">
        <v>514</v>
      </c>
      <c r="F24">
        <f>SUM(F1:F23)</f>
        <v>5367.4137233069769</v>
      </c>
    </row>
    <row r="25" spans="1:6" x14ac:dyDescent="0.25">
      <c r="E25" t="s">
        <v>515</v>
      </c>
      <c r="F25">
        <f>(A23*1000)*E23</f>
        <v>11434.234612694148</v>
      </c>
    </row>
    <row r="26" spans="1:6" x14ac:dyDescent="0.25">
      <c r="E26" t="s">
        <v>516</v>
      </c>
      <c r="F26">
        <f>F24+F25</f>
        <v>16801.648336001126</v>
      </c>
    </row>
    <row r="27" spans="1:6" x14ac:dyDescent="0.25">
      <c r="E27" t="s">
        <v>517</v>
      </c>
      <c r="F27">
        <f>(F26/1000)/2</f>
        <v>8.4008241680005629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20221029204422</vt:lpstr>
      <vt:lpstr>Planilha3</vt:lpstr>
      <vt:lpstr>Planilha2</vt:lpstr>
      <vt:lpstr>Planilha4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Bracarense</cp:lastModifiedBy>
  <dcterms:modified xsi:type="dcterms:W3CDTF">2022-11-05T18:31:05Z</dcterms:modified>
</cp:coreProperties>
</file>