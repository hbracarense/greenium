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brac\Downloads\"/>
    </mc:Choice>
  </mc:AlternateContent>
  <xr:revisionPtr revIDLastSave="0" documentId="13_ncr:1_{2372AAC6-41A3-4710-A952-EABB6F8325BD}" xr6:coauthVersionLast="47" xr6:coauthVersionMax="47" xr10:uidLastSave="{00000000-0000-0000-0000-000000000000}"/>
  <bookViews>
    <workbookView xWindow="-120" yWindow="-120" windowWidth="20730" windowHeight="11160" firstSheet="3" activeTab="8" xr2:uid="{3FA09217-CC58-4284-A3D8-EA4A830FB0FA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 a="1"/>
  <c r="D3" i="8" s="1"/>
  <c r="D4" i="8" a="1"/>
  <c r="D4" i="8" s="1"/>
  <c r="D5" i="8" a="1"/>
  <c r="D5" i="8"/>
  <c r="D6" i="8" a="1"/>
  <c r="D6" i="8" s="1"/>
  <c r="D7" i="8" a="1"/>
  <c r="D7" i="8" s="1"/>
  <c r="D8" i="8" a="1"/>
  <c r="D8" i="8" s="1"/>
  <c r="D9" i="8" a="1"/>
  <c r="D9" i="8"/>
  <c r="D10" i="8" a="1"/>
  <c r="D10" i="8" s="1"/>
  <c r="D11" i="8" a="1"/>
  <c r="D11" i="8" s="1"/>
  <c r="D12" i="8" a="1"/>
  <c r="D12" i="8" s="1"/>
  <c r="D13" i="8" a="1"/>
  <c r="D13" i="8"/>
  <c r="D14" i="8" a="1"/>
  <c r="D14" i="8" s="1"/>
  <c r="D15" i="8" a="1"/>
  <c r="D15" i="8" s="1"/>
  <c r="D16" i="8" a="1"/>
  <c r="D16" i="8" s="1"/>
  <c r="D17" i="8" a="1"/>
  <c r="D17" i="8"/>
  <c r="D18" i="8" a="1"/>
  <c r="D18" i="8" s="1"/>
  <c r="D19" i="8" a="1"/>
  <c r="D19" i="8" s="1"/>
  <c r="D20" i="8" a="1"/>
  <c r="D20" i="8" s="1"/>
  <c r="D21" i="8" a="1"/>
  <c r="D21" i="8"/>
  <c r="D22" i="8" a="1"/>
  <c r="D22" i="8" s="1"/>
  <c r="D23" i="8" a="1"/>
  <c r="D23" i="8" s="1"/>
  <c r="D24" i="8" a="1"/>
  <c r="D24" i="8" s="1"/>
  <c r="D25" i="8" a="1"/>
  <c r="D25" i="8"/>
  <c r="D26" i="8" a="1"/>
  <c r="D26" i="8" s="1"/>
  <c r="D27" i="8" a="1"/>
  <c r="D27" i="8" s="1"/>
  <c r="D28" i="8" a="1"/>
  <c r="D28" i="8" s="1"/>
  <c r="D29" i="8" a="1"/>
  <c r="D29" i="8"/>
  <c r="D30" i="8" a="1"/>
  <c r="D30" i="8" s="1"/>
  <c r="D31" i="8" a="1"/>
  <c r="D31" i="8" s="1"/>
  <c r="D32" i="8" a="1"/>
  <c r="D32" i="8" s="1"/>
  <c r="D33" i="8" a="1"/>
  <c r="D33" i="8"/>
  <c r="D34" i="8" a="1"/>
  <c r="D34" i="8" s="1"/>
  <c r="D35" i="8" a="1"/>
  <c r="D35" i="8" s="1"/>
  <c r="D36" i="8" a="1"/>
  <c r="D36" i="8" s="1"/>
  <c r="D37" i="8" a="1"/>
  <c r="D37" i="8"/>
  <c r="D38" i="8" a="1"/>
  <c r="D38" i="8" s="1"/>
  <c r="D39" i="8" a="1"/>
  <c r="D39" i="8" s="1"/>
  <c r="D40" i="8" a="1"/>
  <c r="D40" i="8" s="1"/>
  <c r="D41" i="8" a="1"/>
  <c r="D41" i="8"/>
  <c r="D42" i="8" a="1"/>
  <c r="D42" i="8" s="1"/>
  <c r="D43" i="8" a="1"/>
  <c r="D43" i="8" s="1"/>
  <c r="D44" i="8" a="1"/>
  <c r="D44" i="8" s="1"/>
  <c r="D45" i="8" a="1"/>
  <c r="D45" i="8"/>
  <c r="D46" i="8" a="1"/>
  <c r="D46" i="8" s="1"/>
  <c r="D47" i="8" a="1"/>
  <c r="D47" i="8" s="1"/>
  <c r="D48" i="8" a="1"/>
  <c r="D48" i="8" s="1"/>
  <c r="D49" i="8" a="1"/>
  <c r="D49" i="8"/>
  <c r="D50" i="8" a="1"/>
  <c r="D50" i="8" s="1"/>
  <c r="D51" i="8" a="1"/>
  <c r="D51" i="8" s="1"/>
  <c r="D52" i="8" a="1"/>
  <c r="D52" i="8" s="1"/>
  <c r="D53" i="8" a="1"/>
  <c r="D53" i="8"/>
  <c r="D54" i="8" a="1"/>
  <c r="D54" i="8" s="1"/>
  <c r="D55" i="8" a="1"/>
  <c r="D55" i="8" s="1"/>
  <c r="D56" i="8" a="1"/>
  <c r="D56" i="8" s="1"/>
  <c r="D57" i="8" a="1"/>
  <c r="D57" i="8"/>
  <c r="D58" i="8" a="1"/>
  <c r="D58" i="8" s="1"/>
  <c r="D59" i="8" a="1"/>
  <c r="D59" i="8" s="1"/>
  <c r="D60" i="8" a="1"/>
  <c r="D60" i="8" s="1"/>
  <c r="D61" i="8" a="1"/>
  <c r="D61" i="8"/>
  <c r="D62" i="8" a="1"/>
  <c r="D62" i="8" s="1"/>
  <c r="D63" i="8" a="1"/>
  <c r="D63" i="8" s="1"/>
  <c r="D64" i="8" a="1"/>
  <c r="D64" i="8" s="1"/>
  <c r="D65" i="8" a="1"/>
  <c r="D65" i="8"/>
  <c r="D66" i="8" a="1"/>
  <c r="D66" i="8" s="1"/>
  <c r="D67" i="8" a="1"/>
  <c r="D67" i="8" s="1"/>
  <c r="D68" i="8" a="1"/>
  <c r="D68" i="8" s="1"/>
  <c r="D69" i="8" a="1"/>
  <c r="D69" i="8"/>
  <c r="D70" i="8" a="1"/>
  <c r="D70" i="8" s="1"/>
  <c r="D71" i="8" a="1"/>
  <c r="D71" i="8" s="1"/>
  <c r="D72" i="8" a="1"/>
  <c r="D72" i="8" s="1"/>
  <c r="D73" i="8" a="1"/>
  <c r="D73" i="8"/>
  <c r="D74" i="8" a="1"/>
  <c r="D74" i="8" s="1"/>
  <c r="D75" i="8" a="1"/>
  <c r="D75" i="8" s="1"/>
  <c r="D76" i="8" a="1"/>
  <c r="D76" i="8" s="1"/>
  <c r="D77" i="8" a="1"/>
  <c r="D77" i="8"/>
  <c r="D78" i="8" a="1"/>
  <c r="D78" i="8" s="1"/>
  <c r="D79" i="8" a="1"/>
  <c r="D79" i="8" s="1"/>
  <c r="D80" i="8" a="1"/>
  <c r="D80" i="8" s="1"/>
  <c r="D81" i="8" a="1"/>
  <c r="D81" i="8"/>
  <c r="D82" i="8" a="1"/>
  <c r="D82" i="8" s="1"/>
  <c r="D83" i="8" a="1"/>
  <c r="D83" i="8" s="1"/>
  <c r="D84" i="8" a="1"/>
  <c r="D84" i="8" s="1"/>
  <c r="D85" i="8" a="1"/>
  <c r="D85" i="8"/>
  <c r="D86" i="8" a="1"/>
  <c r="D86" i="8" s="1"/>
  <c r="D87" i="8" a="1"/>
  <c r="D87" i="8" s="1"/>
  <c r="D88" i="8" a="1"/>
  <c r="D88" i="8" s="1"/>
  <c r="D89" i="8" a="1"/>
  <c r="D89" i="8"/>
  <c r="D90" i="8" a="1"/>
  <c r="D90" i="8" s="1"/>
  <c r="D91" i="8" a="1"/>
  <c r="D91" i="8" s="1"/>
  <c r="D92" i="8" a="1"/>
  <c r="D92" i="8" s="1"/>
  <c r="D93" i="8" a="1"/>
  <c r="D93" i="8"/>
  <c r="D94" i="8" a="1"/>
  <c r="D94" i="8" s="1"/>
  <c r="D95" i="8" a="1"/>
  <c r="D95" i="8" s="1"/>
  <c r="D96" i="8" a="1"/>
  <c r="D96" i="8" s="1"/>
  <c r="D97" i="8" a="1"/>
  <c r="D97" i="8"/>
  <c r="D98" i="8" a="1"/>
  <c r="D98" i="8" s="1"/>
  <c r="D99" i="8" a="1"/>
  <c r="D99" i="8" s="1"/>
  <c r="D2" i="8" a="1"/>
  <c r="D2" i="8" s="1"/>
  <c r="D3" i="7" a="1"/>
  <c r="D3" i="7" s="1"/>
  <c r="D4" i="7" a="1"/>
  <c r="D4" i="7" s="1"/>
  <c r="D5" i="7" a="1"/>
  <c r="D5" i="7" s="1"/>
  <c r="D6" i="7" a="1"/>
  <c r="D6" i="7"/>
  <c r="D7" i="7" a="1"/>
  <c r="D7" i="7" s="1"/>
  <c r="D8" i="7" a="1"/>
  <c r="D8" i="7" s="1"/>
  <c r="D9" i="7" a="1"/>
  <c r="D9" i="7" s="1"/>
  <c r="D10" i="7" a="1"/>
  <c r="D10" i="7"/>
  <c r="D11" i="7" a="1"/>
  <c r="D11" i="7" s="1"/>
  <c r="D12" i="7" a="1"/>
  <c r="D12" i="7" s="1"/>
  <c r="D13" i="7" a="1"/>
  <c r="D13" i="7" s="1"/>
  <c r="D14" i="7" a="1"/>
  <c r="D14" i="7"/>
  <c r="D15" i="7" a="1"/>
  <c r="D15" i="7" s="1"/>
  <c r="D16" i="7" a="1"/>
  <c r="D16" i="7" s="1"/>
  <c r="D17" i="7" a="1"/>
  <c r="D17" i="7" s="1"/>
  <c r="D18" i="7" a="1"/>
  <c r="D18" i="7"/>
  <c r="D19" i="7" a="1"/>
  <c r="D19" i="7" s="1"/>
  <c r="D20" i="7" a="1"/>
  <c r="D20" i="7" s="1"/>
  <c r="D21" i="7" a="1"/>
  <c r="D21" i="7" s="1"/>
  <c r="D22" i="7" a="1"/>
  <c r="D22" i="7"/>
  <c r="D2" i="7" a="1"/>
  <c r="D2" i="7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2" i="6" a="1"/>
  <c r="C2" i="6" s="1"/>
  <c r="D3" i="5" a="1"/>
  <c r="D3" i="5" s="1"/>
  <c r="D4" i="5" a="1"/>
  <c r="D4" i="5" s="1"/>
  <c r="D5" i="5" a="1"/>
  <c r="D5" i="5" s="1"/>
  <c r="D6" i="5" a="1"/>
  <c r="D6" i="5"/>
  <c r="D7" i="5" a="1"/>
  <c r="D7" i="5" s="1"/>
  <c r="D8" i="5" a="1"/>
  <c r="D8" i="5" s="1"/>
  <c r="D9" i="5" a="1"/>
  <c r="D9" i="5" s="1"/>
  <c r="D10" i="5" a="1"/>
  <c r="D10" i="5"/>
  <c r="D11" i="5" a="1"/>
  <c r="D11" i="5" s="1"/>
  <c r="D12" i="5" a="1"/>
  <c r="D12" i="5" s="1"/>
  <c r="D13" i="5" a="1"/>
  <c r="D13" i="5" s="1"/>
  <c r="D14" i="5" a="1"/>
  <c r="D14" i="5"/>
  <c r="D15" i="5" a="1"/>
  <c r="D15" i="5" s="1"/>
  <c r="D16" i="5" a="1"/>
  <c r="D16" i="5" s="1"/>
  <c r="D17" i="5" a="1"/>
  <c r="D17" i="5" s="1"/>
  <c r="D18" i="5" a="1"/>
  <c r="D18" i="5"/>
  <c r="D19" i="5" a="1"/>
  <c r="D19" i="5" s="1"/>
  <c r="D20" i="5" a="1"/>
  <c r="D20" i="5" s="1"/>
  <c r="D21" i="5" a="1"/>
  <c r="D21" i="5" s="1"/>
  <c r="D22" i="5" a="1"/>
  <c r="D22" i="5"/>
  <c r="D23" i="5" a="1"/>
  <c r="D23" i="5" s="1"/>
  <c r="D24" i="5" a="1"/>
  <c r="D24" i="5" s="1"/>
  <c r="D25" i="5" a="1"/>
  <c r="D25" i="5" s="1"/>
  <c r="D26" i="5" a="1"/>
  <c r="D26" i="5"/>
  <c r="D27" i="5" a="1"/>
  <c r="D27" i="5" s="1"/>
  <c r="D28" i="5" a="1"/>
  <c r="D28" i="5" s="1"/>
  <c r="D29" i="5" a="1"/>
  <c r="D29" i="5" s="1"/>
  <c r="D30" i="5" a="1"/>
  <c r="D30" i="5"/>
  <c r="D31" i="5" a="1"/>
  <c r="D31" i="5" s="1"/>
  <c r="D32" i="5" a="1"/>
  <c r="D32" i="5" s="1"/>
  <c r="D33" i="5" a="1"/>
  <c r="D33" i="5" s="1"/>
  <c r="D34" i="5" a="1"/>
  <c r="D34" i="5"/>
  <c r="D35" i="5" a="1"/>
  <c r="D35" i="5" s="1"/>
  <c r="D36" i="5" a="1"/>
  <c r="D36" i="5" s="1"/>
  <c r="D37" i="5" a="1"/>
  <c r="D37" i="5" s="1"/>
  <c r="D38" i="5" a="1"/>
  <c r="D38" i="5"/>
  <c r="D39" i="5" a="1"/>
  <c r="D39" i="5" s="1"/>
  <c r="D40" i="5" a="1"/>
  <c r="D40" i="5" s="1"/>
  <c r="D41" i="5" a="1"/>
  <c r="D41" i="5" s="1"/>
  <c r="D42" i="5" a="1"/>
  <c r="D42" i="5"/>
  <c r="D43" i="5" a="1"/>
  <c r="D43" i="5" s="1"/>
  <c r="D44" i="5" a="1"/>
  <c r="D44" i="5" s="1"/>
  <c r="D45" i="5" a="1"/>
  <c r="D45" i="5" s="1"/>
  <c r="D46" i="5" a="1"/>
  <c r="D46" i="5"/>
  <c r="D47" i="5" a="1"/>
  <c r="D47" i="5" s="1"/>
  <c r="D48" i="5" a="1"/>
  <c r="D48" i="5" s="1"/>
  <c r="D49" i="5" a="1"/>
  <c r="D49" i="5" s="1"/>
  <c r="D50" i="5" a="1"/>
  <c r="D50" i="5"/>
  <c r="D51" i="5" a="1"/>
  <c r="D51" i="5" s="1"/>
  <c r="D52" i="5" a="1"/>
  <c r="D52" i="5" s="1"/>
  <c r="D53" i="5" a="1"/>
  <c r="D53" i="5" s="1"/>
  <c r="D54" i="5" a="1"/>
  <c r="D54" i="5"/>
  <c r="D55" i="5" a="1"/>
  <c r="D55" i="5" s="1"/>
  <c r="D56" i="5" a="1"/>
  <c r="D56" i="5" s="1"/>
  <c r="D57" i="5" a="1"/>
  <c r="D57" i="5" s="1"/>
  <c r="D58" i="5" a="1"/>
  <c r="D58" i="5"/>
  <c r="D59" i="5" a="1"/>
  <c r="D59" i="5" s="1"/>
  <c r="D60" i="5" a="1"/>
  <c r="D60" i="5" s="1"/>
  <c r="D61" i="5" a="1"/>
  <c r="D61" i="5" s="1"/>
  <c r="D62" i="5" a="1"/>
  <c r="D62" i="5"/>
  <c r="D63" i="5" a="1"/>
  <c r="D63" i="5" s="1"/>
  <c r="D64" i="5" a="1"/>
  <c r="D64" i="5" s="1"/>
  <c r="D2" i="5" a="1"/>
  <c r="D2" i="5" s="1"/>
  <c r="D7" i="3" a="1"/>
  <c r="D7" i="3" s="1"/>
  <c r="D8" i="3" a="1"/>
  <c r="D8" i="3" s="1"/>
  <c r="D9" i="3" a="1"/>
  <c r="D9" i="3" s="1"/>
  <c r="D10" i="3" a="1"/>
  <c r="D10" i="3"/>
  <c r="D11" i="3" a="1"/>
  <c r="D11" i="3" s="1"/>
  <c r="D12" i="3" a="1"/>
  <c r="D12" i="3" s="1"/>
  <c r="D13" i="3" a="1"/>
  <c r="D13" i="3" s="1"/>
  <c r="D14" i="3" a="1"/>
  <c r="D14" i="3"/>
  <c r="D15" i="3" a="1"/>
  <c r="D15" i="3" s="1"/>
  <c r="D16" i="3" a="1"/>
  <c r="D16" i="3" s="1"/>
  <c r="D17" i="3" a="1"/>
  <c r="D17" i="3" s="1"/>
  <c r="D18" i="3" a="1"/>
  <c r="D18" i="3"/>
  <c r="D19" i="3" a="1"/>
  <c r="D19" i="3" s="1"/>
  <c r="D20" i="3" a="1"/>
  <c r="D20" i="3" s="1"/>
  <c r="D21" i="3" a="1"/>
  <c r="D21" i="3" s="1"/>
  <c r="D22" i="3" a="1"/>
  <c r="D22" i="3"/>
  <c r="D23" i="3" a="1"/>
  <c r="D23" i="3" s="1"/>
  <c r="D24" i="3" a="1"/>
  <c r="D24" i="3" s="1"/>
  <c r="D25" i="3" a="1"/>
  <c r="D25" i="3" s="1"/>
  <c r="D26" i="3" a="1"/>
  <c r="D26" i="3"/>
  <c r="D27" i="3" a="1"/>
  <c r="D27" i="3" s="1"/>
  <c r="D28" i="3" a="1"/>
  <c r="D28" i="3" s="1"/>
  <c r="D29" i="3" a="1"/>
  <c r="D29" i="3" s="1"/>
  <c r="D30" i="3" a="1"/>
  <c r="D30" i="3"/>
  <c r="D31" i="3" a="1"/>
  <c r="D31" i="3" s="1"/>
  <c r="D32" i="3" a="1"/>
  <c r="D32" i="3" s="1"/>
  <c r="D33" i="3" a="1"/>
  <c r="D33" i="3" s="1"/>
  <c r="D34" i="3" a="1"/>
  <c r="D34" i="3"/>
  <c r="D35" i="3" a="1"/>
  <c r="D35" i="3" s="1"/>
  <c r="D36" i="3" a="1"/>
  <c r="D36" i="3" s="1"/>
  <c r="D2" i="3" a="1"/>
  <c r="D2" i="3" s="1"/>
  <c r="D3" i="3" a="1"/>
  <c r="D3" i="3"/>
  <c r="D4" i="3" a="1"/>
  <c r="D4" i="3" s="1"/>
  <c r="D5" i="3" a="1"/>
  <c r="D5" i="3"/>
  <c r="D6" i="3" a="1"/>
  <c r="D6" i="3"/>
  <c r="D3" i="9"/>
  <c r="D4" i="9"/>
  <c r="D5" i="9"/>
  <c r="D6" i="9"/>
  <c r="D7" i="9"/>
  <c r="D8" i="9"/>
  <c r="D2" i="9"/>
  <c r="C3" i="9"/>
  <c r="C4" i="9"/>
  <c r="C5" i="9"/>
  <c r="C6" i="9"/>
  <c r="C7" i="9"/>
  <c r="C8" i="9"/>
  <c r="B8" i="6"/>
  <c r="B7" i="6"/>
  <c r="B6" i="6"/>
  <c r="B5" i="6"/>
  <c r="B4" i="6"/>
  <c r="B3" i="6"/>
  <c r="B2" i="6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2" i="5"/>
  <c r="J8" i="4"/>
  <c r="I8" i="4"/>
  <c r="H8" i="4"/>
  <c r="G8" i="4"/>
  <c r="F8" i="4"/>
  <c r="E8" i="4"/>
  <c r="D8" i="4"/>
  <c r="C8" i="4"/>
  <c r="B8" i="4"/>
  <c r="J7" i="4"/>
  <c r="I7" i="4"/>
  <c r="H7" i="4"/>
  <c r="G7" i="4"/>
  <c r="F7" i="4"/>
  <c r="E7" i="4"/>
  <c r="D7" i="4"/>
  <c r="C7" i="4"/>
  <c r="B7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J4" i="4"/>
  <c r="I4" i="4"/>
  <c r="H4" i="4"/>
  <c r="G4" i="4"/>
  <c r="F4" i="4"/>
  <c r="E4" i="4"/>
  <c r="D4" i="4"/>
  <c r="C4" i="4"/>
  <c r="B4" i="4"/>
  <c r="J3" i="4"/>
  <c r="I3" i="4"/>
  <c r="H3" i="4"/>
  <c r="G3" i="4"/>
  <c r="F3" i="4"/>
  <c r="E3" i="4"/>
  <c r="D3" i="4"/>
  <c r="C3" i="4"/>
  <c r="B3" i="4"/>
  <c r="B2" i="4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K8" i="4" l="1"/>
  <c r="K4" i="4"/>
  <c r="K5" i="4"/>
  <c r="K6" i="4"/>
  <c r="K3" i="4"/>
  <c r="K7" i="4"/>
  <c r="K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<sst xmlns="http://schemas.openxmlformats.org/spreadsheetml/2006/main" count="257" uniqueCount="50">
  <si>
    <t>Social</t>
  </si>
  <si>
    <t>year</t>
  </si>
  <si>
    <t>Year</t>
  </si>
  <si>
    <t>Performance</t>
  </si>
  <si>
    <t>Sustainable</t>
  </si>
  <si>
    <t>Transition</t>
  </si>
  <si>
    <t>Green</t>
  </si>
  <si>
    <t>category</t>
  </si>
  <si>
    <t>value</t>
  </si>
  <si>
    <t>Bond</t>
  </si>
  <si>
    <t>Global Notes</t>
  </si>
  <si>
    <t>Total</t>
  </si>
  <si>
    <t>Debenture</t>
  </si>
  <si>
    <t>Infrastructure debentures</t>
  </si>
  <si>
    <t>Loans</t>
  </si>
  <si>
    <t>Financial Letter</t>
  </si>
  <si>
    <t>Agribusiness Credit Receivable Certificate (CRA)</t>
  </si>
  <si>
    <t>Real Estate Receivables Certificate (CRI)</t>
  </si>
  <si>
    <t>Credit Receivables Investment Funds (FIDC)</t>
  </si>
  <si>
    <t>type</t>
  </si>
  <si>
    <t>volume</t>
  </si>
  <si>
    <t>total</t>
  </si>
  <si>
    <t>Bonds</t>
  </si>
  <si>
    <t>Agribusiness Credit Receivable Certificates (CRA)</t>
  </si>
  <si>
    <t>Real Estate Receivables Certificates (CRI)</t>
  </si>
  <si>
    <t>Debentures</t>
  </si>
  <si>
    <t>Infrastructure Debentures</t>
  </si>
  <si>
    <t>Financial Letters</t>
  </si>
  <si>
    <t>Non-financial corporate</t>
  </si>
  <si>
    <t>Financial corporate</t>
  </si>
  <si>
    <t>State-owned enterprise</t>
  </si>
  <si>
    <t>Agricultural</t>
  </si>
  <si>
    <t>Energy storage</t>
  </si>
  <si>
    <t>Bioenergy</t>
  </si>
  <si>
    <t>Eco-efficiency</t>
  </si>
  <si>
    <t>Energy efficiency</t>
  </si>
  <si>
    <t>Renewable energy</t>
  </si>
  <si>
    <t>Forests</t>
  </si>
  <si>
    <t>Popular housing</t>
  </si>
  <si>
    <t>Micro, small and medium enterprises</t>
  </si>
  <si>
    <t>Multiples</t>
  </si>
  <si>
    <t>Sanitation</t>
  </si>
  <si>
    <t>Energy transmission</t>
  </si>
  <si>
    <t>Transportation</t>
  </si>
  <si>
    <t>cpi</t>
  </si>
  <si>
    <t>index</t>
  </si>
  <si>
    <t>number_index</t>
  </si>
  <si>
    <t>value_r</t>
  </si>
  <si>
    <t>volume_r</t>
  </si>
  <si>
    <t>total_r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</si>
</sst>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2" fontId="2" fillId="0" borderId="0" xfId="0" applyNumberFormat="1" applyFont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1">
    <dxf>
      <font>
        <b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US$ bi</a:t>
            </a:r>
          </a:p>
        </c:rich>
      </c:tx>
      <c:layout>
        <c:manualLayout>
          <c:xMode val="edge"/>
          <c:yMode val="edge"/>
          <c:x val="6.1167614464858414E-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'[1]Evolução (2015-21)'!$B$11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(2015-21)'!$B$12:$B$18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8-413C-913F-4BE4601DBA5E}"/>
            </c:ext>
          </c:extLst>
        </c:ser>
        <c:ser>
          <c:idx val="2"/>
          <c:order val="1"/>
          <c:tx>
            <c:strRef>
              <c:f>'[1]Evolução (2015-21)'!$C$11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(2015-21)'!$C$12:$C$18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8-413C-913F-4BE4601DBA5E}"/>
            </c:ext>
          </c:extLst>
        </c:ser>
        <c:ser>
          <c:idx val="3"/>
          <c:order val="2"/>
          <c:tx>
            <c:strRef>
              <c:f>'[1]Evolução (2015-21)'!$D$11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(2015-21)'!$D$12:$D$18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8-413C-913F-4BE4601DBA5E}"/>
            </c:ext>
          </c:extLst>
        </c:ser>
        <c:ser>
          <c:idx val="4"/>
          <c:order val="3"/>
          <c:tx>
            <c:strRef>
              <c:f>'[1]Evolução (2015-21)'!$E$11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(2015-21)'!$E$12:$E$18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C8-413C-913F-4BE4601DBA5E}"/>
            </c:ext>
          </c:extLst>
        </c:ser>
        <c:ser>
          <c:idx val="5"/>
          <c:order val="4"/>
          <c:tx>
            <c:strRef>
              <c:f>'[1]Evolução (2015-21)'!$F$11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(2015-21)'!$F$12:$F$18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C8-413C-913F-4BE4601DB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1099487"/>
        <c:axId val="706224543"/>
      </c:barChart>
      <c:lineChart>
        <c:grouping val="standard"/>
        <c:varyColors val="0"/>
        <c:ser>
          <c:idx val="6"/>
          <c:order val="5"/>
          <c:tx>
            <c:strRef>
              <c:f>'[1]Evolução (2015-21)'!$G$11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(2015-21)'!$G$12:$G$18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C8-413C-913F-4BE4601DBA5E}"/>
            </c:ext>
          </c:extLst>
        </c:ser>
        <c:ser>
          <c:idx val="7"/>
          <c:order val="6"/>
          <c:tx>
            <c:strRef>
              <c:f>'[1]Evolução (2015-21)'!$H$11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(2015-21)'!$H$12:$H$18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C8-413C-913F-4BE4601DBA5E}"/>
            </c:ext>
          </c:extLst>
        </c:ser>
        <c:ser>
          <c:idx val="8"/>
          <c:order val="7"/>
          <c:tx>
            <c:strRef>
              <c:f>'[1]Evolução (2015-21)'!$I$11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(2015-21)'!$I$12:$I$18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C8-413C-913F-4BE4601DBA5E}"/>
            </c:ext>
          </c:extLst>
        </c:ser>
        <c:ser>
          <c:idx val="9"/>
          <c:order val="8"/>
          <c:tx>
            <c:strRef>
              <c:f>'[1]Evolução (2015-21)'!$J$11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(2015-21)'!$J$12:$J$18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C8-413C-913F-4BE4601DBA5E}"/>
            </c:ext>
          </c:extLst>
        </c:ser>
        <c:ser>
          <c:idx val="10"/>
          <c:order val="9"/>
          <c:tx>
            <c:strRef>
              <c:f>'[1]Evolução (2015-21)'!$K$11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'[1]Evolução (2015-21)'!$A$12:$A$18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'[1]Evolução (2015-21)'!$K$12:$K$18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C8-413C-913F-4BE4601DB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513535"/>
        <c:axId val="414511039"/>
      </c:lineChart>
      <c:catAx>
        <c:axId val="621099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Número</a:t>
                </a:r>
              </a:p>
              <a:p>
                <a:pPr>
                  <a:defRPr/>
                </a:pPr>
                <a:r>
                  <a:rPr lang="en-US" sz="800"/>
                  <a:t>de</a:t>
                </a:r>
                <a:r>
                  <a:rPr lang="en-US" sz="800" baseline="0"/>
                  <a:t> emissões</a:t>
                </a:r>
                <a:endParaRPr lang="en-US" sz="800"/>
              </a:p>
            </c:rich>
          </c:tx>
          <c:layout>
            <c:manualLayout>
              <c:xMode val="edge"/>
              <c:yMode val="edge"/>
              <c:x val="0.88918981481481485"/>
              <c:y val="4.984689413823272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6224543"/>
        <c:crosses val="autoZero"/>
        <c:auto val="1"/>
        <c:lblAlgn val="ctr"/>
        <c:lblOffset val="100"/>
        <c:noMultiLvlLbl val="0"/>
      </c:catAx>
      <c:valAx>
        <c:axId val="70622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099487"/>
        <c:crosses val="autoZero"/>
        <c:crossBetween val="between"/>
      </c:valAx>
      <c:valAx>
        <c:axId val="4145110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513535"/>
        <c:crosses val="max"/>
        <c:crossBetween val="between"/>
      </c:valAx>
      <c:catAx>
        <c:axId val="414513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451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145A33-E320-4FD8-B2B9-A39C39995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olu&#231;&#227;o%20(2015-21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ção (2015-21)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DE62F-7B99-4A5D-B088-5A5EFE78B5CE}" name="Tabela3" displayName="Tabela3" ref="A1:F8" totalsRowShown="0">
  <autoFilter ref="A1:F8" xr:uid="{CD8DE62F-7B99-4A5D-B088-5A5EFE78B5CE}"/>
  <tableColumns count="6">
    <tableColumn id="1" xr3:uid="{E125C532-8E54-4195-8514-9BD4E84228A5}" name="Year"/>
    <tableColumn id="6" xr3:uid="{B0FFF218-4154-4289-BC70-F2B3262FB096}" name="Performance"/>
    <tableColumn id="9" xr3:uid="{86C330AD-F728-4DAC-B482-50B087B9F012}" name="Social"/>
    <tableColumn id="10" xr3:uid="{D1DCEB39-6934-4D44-BA4E-3CE2499DBE90}" name="Sustainable"/>
    <tableColumn id="11" xr3:uid="{0813EFF5-C2FC-4B23-896F-E92403B13054}" name="Transition"/>
    <tableColumn id="12" xr3:uid="{B8F30F1D-5F93-4438-9A02-6A9056B9B873}" name="Gre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256B69-45C3-4557-8C15-EC504B0B9D91}" name="Tabela2" displayName="Tabela2" ref="A1:K8" totalsRowShown="0">
  <autoFilter ref="A1:K8" xr:uid="{40256B69-45C3-4557-8C15-EC504B0B9D91}"/>
  <tableColumns count="11">
    <tableColumn id="1" xr3:uid="{F0994A7C-5BAE-4A88-A606-FAB7B392CE67}" name="Year"/>
    <tableColumn id="2" xr3:uid="{95279676-AF41-4DEF-857D-E14C5E3C2A3C}" name="Bond"/>
    <tableColumn id="3" xr3:uid="{9AB39266-85CF-4AB3-8E92-9C3D38AFCD88}" name="Agribusiness Credit Receivable Certificate (CRA)"/>
    <tableColumn id="4" xr3:uid="{4DB01F74-BBFD-4437-8427-54B626D2E553}" name="Real Estate Receivables Certificate (CRI)"/>
    <tableColumn id="5" xr3:uid="{4C883E85-0934-4C92-9A67-F7C19D8EACAC}" name="Debenture"/>
    <tableColumn id="6" xr3:uid="{A7D9A933-212A-4233-9CD9-C79E4AC2487E}" name="Infrastructure debentures"/>
    <tableColumn id="7" xr3:uid="{E92C390A-4E43-42EC-AEE8-202AC72C5128}" name="Loans"/>
    <tableColumn id="8" xr3:uid="{3B9C499C-0DCE-4390-BAEF-AA01C8A938D4}" name="Credit Receivables Investment Funds (FIDC)"/>
    <tableColumn id="9" xr3:uid="{51A9A9C5-1A63-407A-9D94-024757E35A0A}" name="Global Notes"/>
    <tableColumn id="10" xr3:uid="{F74D53E1-8823-48AC-BB57-8099EF95F735}" name="Financial Letter"/>
    <tableColumn id="11" xr3:uid="{79D481B7-9D2A-4ADC-BD52-5233EE529C7E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9400-F876-44FA-9F9E-A6297E615FA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4D7B-06D5-4463-B72F-CEC9559623B3}">
  <dimension ref="A1:F8"/>
  <sheetViews>
    <sheetView workbookViewId="0">
      <selection activeCell="H7" sqref="H7"/>
    </sheetView>
  </sheetViews>
  <sheetFormatPr defaultRowHeight="15" x14ac:dyDescent="0.25"/>
  <sheetData>
    <row r="1" spans="1:6" x14ac:dyDescent="0.25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</row>
    <row r="2" spans="1:6" x14ac:dyDescent="0.25">
      <c r="A2">
        <v>2015</v>
      </c>
      <c r="B2">
        <v>0</v>
      </c>
      <c r="C2">
        <v>0</v>
      </c>
      <c r="D2">
        <v>0</v>
      </c>
      <c r="E2">
        <v>0</v>
      </c>
      <c r="F2">
        <v>1</v>
      </c>
    </row>
    <row r="3" spans="1:6" x14ac:dyDescent="0.25">
      <c r="A3">
        <v>2016</v>
      </c>
      <c r="B3">
        <v>0</v>
      </c>
      <c r="C3">
        <v>0</v>
      </c>
      <c r="D3">
        <v>0</v>
      </c>
      <c r="E3">
        <v>0</v>
      </c>
      <c r="F3">
        <v>3</v>
      </c>
    </row>
    <row r="4" spans="1:6" x14ac:dyDescent="0.25">
      <c r="A4">
        <v>2017</v>
      </c>
      <c r="B4">
        <v>0</v>
      </c>
      <c r="C4">
        <v>0</v>
      </c>
      <c r="D4">
        <v>0</v>
      </c>
      <c r="E4">
        <v>0</v>
      </c>
      <c r="F4">
        <v>9</v>
      </c>
    </row>
    <row r="5" spans="1:6" x14ac:dyDescent="0.25">
      <c r="A5">
        <v>2018</v>
      </c>
      <c r="B5">
        <v>0</v>
      </c>
      <c r="C5">
        <v>1</v>
      </c>
      <c r="D5">
        <v>0</v>
      </c>
      <c r="E5">
        <v>0</v>
      </c>
      <c r="F5">
        <v>3</v>
      </c>
    </row>
    <row r="6" spans="1:6" x14ac:dyDescent="0.25">
      <c r="A6">
        <v>2019</v>
      </c>
      <c r="B6">
        <v>3</v>
      </c>
      <c r="C6">
        <v>0</v>
      </c>
      <c r="D6">
        <v>0</v>
      </c>
      <c r="E6">
        <v>1</v>
      </c>
      <c r="F6">
        <v>15</v>
      </c>
    </row>
    <row r="7" spans="1:6" x14ac:dyDescent="0.25">
      <c r="A7">
        <v>2020</v>
      </c>
      <c r="B7">
        <v>8</v>
      </c>
      <c r="C7">
        <v>2</v>
      </c>
      <c r="D7">
        <v>5</v>
      </c>
      <c r="E7">
        <v>2</v>
      </c>
      <c r="F7">
        <v>21</v>
      </c>
    </row>
    <row r="8" spans="1:6" x14ac:dyDescent="0.25">
      <c r="A8">
        <v>2021</v>
      </c>
      <c r="B8">
        <v>13</v>
      </c>
      <c r="C8">
        <v>0</v>
      </c>
      <c r="D8">
        <v>3</v>
      </c>
      <c r="E8">
        <v>0</v>
      </c>
      <c r="F8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8EDF-B281-47F0-99AC-B108109AF2BE}">
  <dimension ref="A1:D36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1</v>
      </c>
      <c r="B1" t="s">
        <v>7</v>
      </c>
      <c r="C1" t="s">
        <v>8</v>
      </c>
      <c r="D1" t="s">
        <v>47</v>
      </c>
    </row>
    <row r="2" spans="1:4" x14ac:dyDescent="0.25">
      <c r="A2">
        <v>2015</v>
      </c>
      <c r="B2" s="3" t="s">
        <v>3</v>
      </c>
      <c r="C2" s="2">
        <f>0</f>
        <v>0</v>
      </c>
      <c r="D2" cm="1">
        <f t="array" ref="D2">C2/_xlfn._xlws.FILTER(Planilha9!$D$2:$D$8,(Planilha9!$A$2:$A$8)=A2)</f>
        <v>0</v>
      </c>
    </row>
    <row r="3" spans="1:4" x14ac:dyDescent="0.25">
      <c r="A3">
        <v>2015</v>
      </c>
      <c r="B3" s="3" t="s">
        <v>0</v>
      </c>
      <c r="C3" s="2">
        <f>0</f>
        <v>0</v>
      </c>
      <c r="D3" cm="1">
        <f t="array" ref="D3">C3/_xlfn._xlws.FILTER(Planilha9!$D$2:$D$8,(Planilha9!$A$2:$A$8)=A3)</f>
        <v>0</v>
      </c>
    </row>
    <row r="4" spans="1:4" x14ac:dyDescent="0.25">
      <c r="A4">
        <v>2015</v>
      </c>
      <c r="B4" s="3" t="s">
        <v>4</v>
      </c>
      <c r="C4" s="2">
        <f>0</f>
        <v>0</v>
      </c>
      <c r="D4" cm="1">
        <f t="array" ref="D4">C4/_xlfn._xlws.FILTER(Planilha9!$D$2:$D$8,(Planilha9!$A$2:$A$8)=A4)</f>
        <v>0</v>
      </c>
    </row>
    <row r="5" spans="1:4" x14ac:dyDescent="0.25">
      <c r="A5">
        <v>2015</v>
      </c>
      <c r="B5" s="3" t="s">
        <v>5</v>
      </c>
      <c r="C5" s="2">
        <f>0</f>
        <v>0</v>
      </c>
      <c r="D5" cm="1">
        <f t="array" ref="D5">C5/_xlfn._xlws.FILTER(Planilha9!$D$2:$D$8,(Planilha9!$A$2:$A$8)=A5)</f>
        <v>0</v>
      </c>
    </row>
    <row r="6" spans="1:4" x14ac:dyDescent="0.25">
      <c r="A6">
        <v>2015</v>
      </c>
      <c r="B6" s="3" t="s">
        <v>6</v>
      </c>
      <c r="C6" s="2">
        <f>549.45/1000</f>
        <v>0.54944999999999999</v>
      </c>
      <c r="D6" cm="1">
        <f t="array" ref="D6">C6/_xlfn._xlws.FILTER(Planilha9!$D$2:$D$8,(Planilha9!$A$2:$A$8)=A6)</f>
        <v>0.54944999999999999</v>
      </c>
    </row>
    <row r="7" spans="1:4" x14ac:dyDescent="0.25">
      <c r="A7">
        <v>2016</v>
      </c>
      <c r="B7" s="3" t="s">
        <v>3</v>
      </c>
      <c r="C7" s="6">
        <f>0</f>
        <v>0</v>
      </c>
      <c r="D7" cm="1">
        <f t="array" ref="D7">C7/_xlfn._xlws.FILTER(Planilha9!$D$2:$D$8,(Planilha9!$A$2:$A$8)=A7)</f>
        <v>0</v>
      </c>
    </row>
    <row r="8" spans="1:4" x14ac:dyDescent="0.25">
      <c r="A8">
        <v>2016</v>
      </c>
      <c r="B8" s="3" t="s">
        <v>0</v>
      </c>
      <c r="C8" s="6">
        <f>0</f>
        <v>0</v>
      </c>
      <c r="D8" cm="1">
        <f t="array" ref="D8">C8/_xlfn._xlws.FILTER(Planilha9!$D$2:$D$8,(Planilha9!$A$2:$A$8)=A8)</f>
        <v>0</v>
      </c>
    </row>
    <row r="9" spans="1:4" x14ac:dyDescent="0.25">
      <c r="A9">
        <v>2016</v>
      </c>
      <c r="B9" s="3" t="s">
        <v>4</v>
      </c>
      <c r="C9" s="6">
        <f>0</f>
        <v>0</v>
      </c>
      <c r="D9" cm="1">
        <f t="array" ref="D9">C9/_xlfn._xlws.FILTER(Planilha9!$D$2:$D$8,(Planilha9!$A$2:$A$8)=A9)</f>
        <v>0</v>
      </c>
    </row>
    <row r="10" spans="1:4" x14ac:dyDescent="0.25">
      <c r="A10">
        <v>2016</v>
      </c>
      <c r="B10" s="3" t="s">
        <v>5</v>
      </c>
      <c r="C10" s="6">
        <f>0</f>
        <v>0</v>
      </c>
      <c r="D10" cm="1">
        <f t="array" ref="D10">C10/_xlfn._xlws.FILTER(Planilha9!$D$2:$D$8,(Planilha9!$A$2:$A$8)=A10)</f>
        <v>0</v>
      </c>
    </row>
    <row r="11" spans="1:4" x14ac:dyDescent="0.25">
      <c r="A11">
        <v>2016</v>
      </c>
      <c r="B11" s="3" t="s">
        <v>6</v>
      </c>
      <c r="C11" s="6">
        <f>(700+61.6+291.77)/1000</f>
        <v>1.0533699999999999</v>
      </c>
      <c r="D11" cm="1">
        <f t="array" ref="D11">C11/_xlfn._xlws.FILTER(Planilha9!$D$2:$D$8,(Planilha9!$A$2:$A$8)=A11)</f>
        <v>1.0446461579824391</v>
      </c>
    </row>
    <row r="12" spans="1:4" x14ac:dyDescent="0.25">
      <c r="A12">
        <v>2017</v>
      </c>
      <c r="B12" s="3" t="s">
        <v>3</v>
      </c>
      <c r="C12" s="2">
        <f>0</f>
        <v>0</v>
      </c>
      <c r="D12" cm="1">
        <f t="array" ref="D12">C12/_xlfn._xlws.FILTER(Planilha9!$D$2:$D$8,(Planilha9!$A$2:$A$8)=A12)</f>
        <v>0</v>
      </c>
    </row>
    <row r="13" spans="1:4" x14ac:dyDescent="0.25">
      <c r="A13">
        <v>2017</v>
      </c>
      <c r="B13" s="3" t="s">
        <v>0</v>
      </c>
      <c r="C13" s="2">
        <f>0</f>
        <v>0</v>
      </c>
      <c r="D13" cm="1">
        <f t="array" ref="D13">C13/_xlfn._xlws.FILTER(Planilha9!$D$2:$D$8,(Planilha9!$A$2:$A$8)=A13)</f>
        <v>0</v>
      </c>
    </row>
    <row r="14" spans="1:4" x14ac:dyDescent="0.25">
      <c r="A14">
        <v>2017</v>
      </c>
      <c r="B14" s="3" t="s">
        <v>4</v>
      </c>
      <c r="C14" s="2">
        <f>0</f>
        <v>0</v>
      </c>
      <c r="D14" cm="1">
        <f t="array" ref="D14">C14/_xlfn._xlws.FILTER(Planilha9!$D$2:$D$8,(Planilha9!$A$2:$A$8)=A14)</f>
        <v>0</v>
      </c>
    </row>
    <row r="15" spans="1:4" x14ac:dyDescent="0.25">
      <c r="A15">
        <v>2017</v>
      </c>
      <c r="B15" s="3" t="s">
        <v>5</v>
      </c>
      <c r="C15" s="2">
        <f>0</f>
        <v>0</v>
      </c>
      <c r="D15" cm="1">
        <f t="array" ref="D15">C15/_xlfn._xlws.FILTER(Planilha9!$D$2:$D$8,(Planilha9!$A$2:$A$8)=A15)</f>
        <v>0</v>
      </c>
    </row>
    <row r="16" spans="1:4" x14ac:dyDescent="0.25">
      <c r="A16">
        <v>2017</v>
      </c>
      <c r="B16" s="3" t="s">
        <v>6</v>
      </c>
      <c r="C16" s="2">
        <f>(700+13.28+1000+34.06+500+69.62+14.67+3.39+3.24)/1000</f>
        <v>2.3382599999999996</v>
      </c>
      <c r="D16" cm="1">
        <f t="array" ref="D16">C16/_xlfn._xlws.FILTER(Planilha9!$D$2:$D$8,(Planilha9!$A$2:$A$8)=A16)</f>
        <v>2.2796855295645986</v>
      </c>
    </row>
    <row r="17" spans="1:4" x14ac:dyDescent="0.25">
      <c r="A17">
        <v>2018</v>
      </c>
      <c r="B17" s="3" t="s">
        <v>3</v>
      </c>
      <c r="C17" s="6">
        <f>0</f>
        <v>0</v>
      </c>
      <c r="D17" cm="1">
        <f t="array" ref="D17">C17/_xlfn._xlws.FILTER(Planilha9!$D$2:$D$8,(Planilha9!$A$2:$A$8)=A17)</f>
        <v>0</v>
      </c>
    </row>
    <row r="18" spans="1:4" x14ac:dyDescent="0.25">
      <c r="A18">
        <v>2018</v>
      </c>
      <c r="B18" s="3" t="s">
        <v>0</v>
      </c>
      <c r="C18" s="6">
        <f>1.51/1000</f>
        <v>1.5100000000000001E-3</v>
      </c>
      <c r="D18" cm="1">
        <f t="array" ref="D18">C18/_xlfn._xlws.FILTER(Planilha9!$D$2:$D$8,(Planilha9!$A$2:$A$8)=A18)</f>
        <v>1.4299958731141323E-3</v>
      </c>
    </row>
    <row r="19" spans="1:4" x14ac:dyDescent="0.25">
      <c r="A19">
        <v>2018</v>
      </c>
      <c r="B19" s="3" t="s">
        <v>4</v>
      </c>
      <c r="C19" s="6">
        <f>0</f>
        <v>0</v>
      </c>
      <c r="D19" cm="1">
        <f t="array" ref="D19">C19/_xlfn._xlws.FILTER(Planilha9!$D$2:$D$8,(Planilha9!$A$2:$A$8)=A19)</f>
        <v>0</v>
      </c>
    </row>
    <row r="20" spans="1:4" x14ac:dyDescent="0.25">
      <c r="A20">
        <v>2018</v>
      </c>
      <c r="B20" s="3" t="s">
        <v>5</v>
      </c>
      <c r="C20" s="6">
        <f>0</f>
        <v>0</v>
      </c>
      <c r="D20" cm="1">
        <f t="array" ref="D20">C20/_xlfn._xlws.FILTER(Planilha9!$D$2:$D$8,(Planilha9!$A$2:$A$8)=A20)</f>
        <v>0</v>
      </c>
    </row>
    <row r="21" spans="1:4" x14ac:dyDescent="0.25">
      <c r="A21">
        <v>2018</v>
      </c>
      <c r="B21" s="3" t="s">
        <v>6</v>
      </c>
      <c r="C21" s="6">
        <f>(181.28+9.82+31.38)/1000</f>
        <v>0.22247999999999998</v>
      </c>
      <c r="D21" cm="1">
        <f t="array" ref="D21">C21/_xlfn._xlws.FILTER(Planilha9!$D$2:$D$8,(Planilha9!$A$2:$A$8)=A21)</f>
        <v>0.21069237208637887</v>
      </c>
    </row>
    <row r="22" spans="1:4" x14ac:dyDescent="0.25">
      <c r="A22">
        <v>2019</v>
      </c>
      <c r="B22" s="3" t="s">
        <v>3</v>
      </c>
      <c r="C22" s="2">
        <f>(18.61+250)/1000</f>
        <v>0.26861000000000002</v>
      </c>
      <c r="D22" cm="1">
        <f t="array" ref="D22">C22/_xlfn._xlws.FILTER(Planilha9!$D$2:$D$8,(Planilha9!$A$2:$A$8)=A22)</f>
        <v>0.24985228626773873</v>
      </c>
    </row>
    <row r="23" spans="1:4" x14ac:dyDescent="0.25">
      <c r="A23">
        <v>2019</v>
      </c>
      <c r="B23" s="3" t="s">
        <v>0</v>
      </c>
      <c r="C23" s="2">
        <f>0</f>
        <v>0</v>
      </c>
      <c r="D23" cm="1">
        <f t="array" ref="D23">C23/_xlfn._xlws.FILTER(Planilha9!$D$2:$D$8,(Planilha9!$A$2:$A$8)=A23)</f>
        <v>0</v>
      </c>
    </row>
    <row r="24" spans="1:4" x14ac:dyDescent="0.25">
      <c r="A24">
        <v>2019</v>
      </c>
      <c r="B24" s="3" t="s">
        <v>4</v>
      </c>
      <c r="C24" s="2">
        <f>0</f>
        <v>0</v>
      </c>
      <c r="D24" cm="1">
        <f t="array" ref="D24">C24/_xlfn._xlws.FILTER(Planilha9!$D$2:$D$8,(Planilha9!$A$2:$A$8)=A24)</f>
        <v>0</v>
      </c>
    </row>
    <row r="25" spans="1:4" x14ac:dyDescent="0.25">
      <c r="A25">
        <v>2019</v>
      </c>
      <c r="B25" s="3" t="s">
        <v>5</v>
      </c>
      <c r="C25" s="2">
        <f>500/1000</f>
        <v>0.5</v>
      </c>
      <c r="D25" cm="1">
        <f t="array" ref="D25">C25/_xlfn._xlws.FILTER(Planilha9!$D$2:$D$8,(Planilha9!$A$2:$A$8)=A25)</f>
        <v>0.46508373900401828</v>
      </c>
    </row>
    <row r="26" spans="1:4" x14ac:dyDescent="0.25">
      <c r="A26">
        <v>2019</v>
      </c>
      <c r="B26" s="3" t="s">
        <v>6</v>
      </c>
      <c r="C26" s="2">
        <f>(213.89+500+52.47+344.52+135.02+10.7+5.28+4.49+9.65+13.18+9.64+98.05+129.92+140.95+73.01)/1000</f>
        <v>1.7407700000000004</v>
      </c>
      <c r="D26" cm="1">
        <f t="array" ref="D26">C26/_xlfn._xlws.FILTER(Planilha9!$D$2:$D$8,(Planilha9!$A$2:$A$8)=A26)</f>
        <v>1.6192076406920501</v>
      </c>
    </row>
    <row r="27" spans="1:4" x14ac:dyDescent="0.25">
      <c r="A27">
        <v>2020</v>
      </c>
      <c r="B27" s="3" t="s">
        <v>3</v>
      </c>
      <c r="C27" s="6">
        <f>(105+25.63+33.31+750+12.48+32.08+500+194.93)/1000</f>
        <v>1.65343</v>
      </c>
      <c r="D27" cm="1">
        <f t="array" ref="D27">C27/_xlfn._xlws.FILTER(Planilha9!$D$2:$D$8,(Planilha9!$A$2:$A$8)=A27)</f>
        <v>1.5229492870347854</v>
      </c>
    </row>
    <row r="28" spans="1:4" x14ac:dyDescent="0.25">
      <c r="A28">
        <v>2020</v>
      </c>
      <c r="B28" s="3" t="s">
        <v>0</v>
      </c>
      <c r="C28" s="6">
        <f>(100.38+8.85)/1000</f>
        <v>0.10922999999999999</v>
      </c>
      <c r="D28" cm="1">
        <f t="array" ref="D28">C28/_xlfn._xlws.FILTER(Planilha9!$D$2:$D$8,(Planilha9!$A$2:$A$8)=A28)</f>
        <v>0.10061009575416534</v>
      </c>
    </row>
    <row r="29" spans="1:4" x14ac:dyDescent="0.25">
      <c r="A29">
        <v>2020</v>
      </c>
      <c r="B29" s="3" t="s">
        <v>4</v>
      </c>
      <c r="C29" s="6">
        <f>(48.42+120.27+193.66+0.2+50)/1000</f>
        <v>0.41255000000000003</v>
      </c>
      <c r="D29" cm="1">
        <f t="array" ref="D29">C29/_xlfn._xlws.FILTER(Planilha9!$D$2:$D$8,(Planilha9!$A$2:$A$8)=A29)</f>
        <v>0.37999354576014754</v>
      </c>
    </row>
    <row r="30" spans="1:4" x14ac:dyDescent="0.25">
      <c r="A30">
        <v>2020</v>
      </c>
      <c r="B30" s="3" t="s">
        <v>5</v>
      </c>
      <c r="C30" s="6">
        <f>(66.65+102.29)/1000</f>
        <v>0.16894000000000001</v>
      </c>
      <c r="D30" cm="1">
        <f t="array" ref="D30">C30/_xlfn._xlws.FILTER(Planilha9!$D$2:$D$8,(Planilha9!$A$2:$A$8)=A30)</f>
        <v>0.15560807082952205</v>
      </c>
    </row>
    <row r="31" spans="1:4" x14ac:dyDescent="0.25">
      <c r="A31">
        <v>2020</v>
      </c>
      <c r="B31" s="3" t="s">
        <v>6</v>
      </c>
      <c r="C31" s="6">
        <f>(200+3.57+59.51+48.54+64.64+50+87.15+54.2+500+305.49+394.51+45.7+4.66+178.89+4.36+50+2.25+28.74+550+233.92+93.57)/1000</f>
        <v>2.9597000000000002</v>
      </c>
      <c r="D31" cm="1">
        <f t="array" ref="D31">C31/_xlfn._xlws.FILTER(Planilha9!$D$2:$D$8,(Planilha9!$A$2:$A$8)=A31)</f>
        <v>2.72613476520739</v>
      </c>
    </row>
    <row r="32" spans="1:4" x14ac:dyDescent="0.25">
      <c r="A32">
        <v>2021</v>
      </c>
      <c r="B32" s="3" t="s">
        <v>3</v>
      </c>
      <c r="C32" s="2">
        <f>(500+625+500+1570+81.82+30+82.12+17.86+47.7+1000+400+137.87+137.87)/1000</f>
        <v>5.1302399999999997</v>
      </c>
      <c r="D32" cm="1">
        <f t="array" ref="D32">C32/_xlfn._xlws.FILTER(Planilha9!$D$2:$D$8,(Planilha9!$A$2:$A$8)=A32)</f>
        <v>4.4847576655201582</v>
      </c>
    </row>
    <row r="33" spans="1:4" x14ac:dyDescent="0.25">
      <c r="A33">
        <v>2021</v>
      </c>
      <c r="B33" s="3" t="s">
        <v>0</v>
      </c>
      <c r="C33" s="2">
        <f>0</f>
        <v>0</v>
      </c>
      <c r="D33" cm="1">
        <f t="array" ref="D33">C33/_xlfn._xlws.FILTER(Planilha9!$D$2:$D$8,(Planilha9!$A$2:$A$8)=A33)</f>
        <v>0</v>
      </c>
    </row>
    <row r="34" spans="1:4" x14ac:dyDescent="0.25">
      <c r="A34">
        <v>2021</v>
      </c>
      <c r="B34" s="3" t="s">
        <v>4</v>
      </c>
      <c r="C34" s="2">
        <f>(500+750+81.82)/1000</f>
        <v>1.33182</v>
      </c>
      <c r="D34" cm="1">
        <f t="array" ref="D34">C34/_xlfn._xlws.FILTER(Planilha9!$D$2:$D$8,(Planilha9!$A$2:$A$8)=A34)</f>
        <v>1.164251566026747</v>
      </c>
    </row>
    <row r="35" spans="1:4" x14ac:dyDescent="0.25">
      <c r="A35">
        <v>2021</v>
      </c>
      <c r="B35" s="3" t="s">
        <v>5</v>
      </c>
      <c r="C35" s="2">
        <f>0</f>
        <v>0</v>
      </c>
      <c r="D35" cm="1">
        <f t="array" ref="D35">C35/_xlfn._xlws.FILTER(Planilha9!$D$2:$D$8,(Planilha9!$A$2:$A$8)=A35)</f>
        <v>0</v>
      </c>
    </row>
    <row r="36" spans="1:4" x14ac:dyDescent="0.25">
      <c r="A36">
        <v>2021</v>
      </c>
      <c r="B36" s="3" t="s">
        <v>6</v>
      </c>
      <c r="C36" s="2">
        <f>(500+77.46+50+230.77+16.79+121.61+26.46+11.43+190.91+10.91+142.39+64+45.29+26.79+62.11+32.92+25.59+14.71)/1000</f>
        <v>1.6501399999999999</v>
      </c>
      <c r="D36" cm="1">
        <f t="array" ref="D36">C36/_xlfn._xlws.FILTER(Planilha9!$D$2:$D$8,(Planilha9!$A$2:$A$8)=A36)</f>
        <v>1.4425208205038038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0DE7-2188-4B14-A958-918BB93BEFA9}">
  <dimension ref="A1:K8"/>
  <sheetViews>
    <sheetView workbookViewId="0">
      <selection activeCell="K2" sqref="K2:K8"/>
    </sheetView>
  </sheetViews>
  <sheetFormatPr defaultRowHeight="15" x14ac:dyDescent="0.25"/>
  <sheetData>
    <row r="1" spans="1:11" x14ac:dyDescent="0.25">
      <c r="A1" t="s">
        <v>2</v>
      </c>
      <c r="B1" t="s">
        <v>9</v>
      </c>
      <c r="C1" t="s">
        <v>16</v>
      </c>
      <c r="D1" t="s">
        <v>17</v>
      </c>
      <c r="E1" t="s">
        <v>12</v>
      </c>
      <c r="F1" t="s">
        <v>13</v>
      </c>
      <c r="G1" t="s">
        <v>14</v>
      </c>
      <c r="H1" t="s">
        <v>18</v>
      </c>
      <c r="I1" t="s">
        <v>10</v>
      </c>
      <c r="J1" t="s">
        <v>15</v>
      </c>
      <c r="K1" t="s">
        <v>11</v>
      </c>
    </row>
    <row r="2" spans="1:11" x14ac:dyDescent="0.25">
      <c r="A2">
        <v>2015</v>
      </c>
      <c r="B2">
        <f>549.45/1000</f>
        <v>0.54944999999999999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7">
        <f>SUM(Tabela2[[#This Row],[Bond]:[Financial Letter]])</f>
        <v>0.54944999999999999</v>
      </c>
    </row>
    <row r="3" spans="1:11" x14ac:dyDescent="0.25">
      <c r="A3">
        <v>2016</v>
      </c>
      <c r="B3">
        <f>700/1000</f>
        <v>0.7</v>
      </c>
      <c r="C3">
        <f>291.77/1000</f>
        <v>0.29176999999999997</v>
      </c>
      <c r="D3">
        <f>0</f>
        <v>0</v>
      </c>
      <c r="E3">
        <f>61.6/1000</f>
        <v>6.1600000000000002E-2</v>
      </c>
      <c r="F3">
        <f>0</f>
        <v>0</v>
      </c>
      <c r="G3">
        <f>0</f>
        <v>0</v>
      </c>
      <c r="H3">
        <f>0</f>
        <v>0</v>
      </c>
      <c r="I3">
        <f>0</f>
        <v>0</v>
      </c>
      <c r="J3">
        <f>0</f>
        <v>0</v>
      </c>
      <c r="K3" s="7">
        <f>SUM(Tabela2[[#This Row],[Bond]:[Financial Letter]])</f>
        <v>1.0533699999999999</v>
      </c>
    </row>
    <row r="4" spans="1:11" x14ac:dyDescent="0.25">
      <c r="A4">
        <v>2017</v>
      </c>
      <c r="B4">
        <f>(700+1000+500)/1000</f>
        <v>2.2000000000000002</v>
      </c>
      <c r="C4">
        <f>0</f>
        <v>0</v>
      </c>
      <c r="D4">
        <f>0</f>
        <v>0</v>
      </c>
      <c r="E4">
        <f>0</f>
        <v>0</v>
      </c>
      <c r="F4">
        <f>(13.28+34.06+69.62+14.67+3.39+3.24)/1000</f>
        <v>0.13825999999999999</v>
      </c>
      <c r="G4">
        <f>0</f>
        <v>0</v>
      </c>
      <c r="H4">
        <f>0</f>
        <v>0</v>
      </c>
      <c r="I4">
        <f>0</f>
        <v>0</v>
      </c>
      <c r="J4">
        <f>0</f>
        <v>0</v>
      </c>
      <c r="K4" s="7">
        <f>SUM(Tabela2[[#This Row],[Bond]:[Financial Letter]])</f>
        <v>2.33826</v>
      </c>
    </row>
    <row r="5" spans="1:11" x14ac:dyDescent="0.25">
      <c r="A5">
        <v>2018</v>
      </c>
      <c r="B5">
        <f>0</f>
        <v>0</v>
      </c>
      <c r="C5">
        <f>0</f>
        <v>0</v>
      </c>
      <c r="D5">
        <f>0</f>
        <v>0</v>
      </c>
      <c r="E5">
        <f>(1.51+9.82)/1000</f>
        <v>1.133E-2</v>
      </c>
      <c r="F5">
        <f>(181.28+31.38)/1000</f>
        <v>0.21265999999999999</v>
      </c>
      <c r="G5">
        <f>0</f>
        <v>0</v>
      </c>
      <c r="H5">
        <f>0</f>
        <v>0</v>
      </c>
      <c r="I5">
        <f>0</f>
        <v>0</v>
      </c>
      <c r="J5">
        <f>0</f>
        <v>0</v>
      </c>
      <c r="K5" s="7">
        <f>SUM(Tabela2[[#This Row],[Bond]:[Financial Letter]])</f>
        <v>0.22398999999999999</v>
      </c>
    </row>
    <row r="6" spans="1:11" x14ac:dyDescent="0.25">
      <c r="A6">
        <v>2019</v>
      </c>
      <c r="B6">
        <f>(500+500)/1000</f>
        <v>1</v>
      </c>
      <c r="C6">
        <f>9.65/1000</f>
        <v>9.6500000000000006E-3</v>
      </c>
      <c r="D6">
        <f>4.49/1000</f>
        <v>4.4900000000000001E-3</v>
      </c>
      <c r="E6">
        <f>(135.02+10.7+5.28+13.18+9.64)/1000</f>
        <v>0.17382</v>
      </c>
      <c r="F6">
        <f>(213.89+52.47+344.52+98.05+129.92+140.95+73.01)/1000</f>
        <v>1.05281</v>
      </c>
      <c r="G6">
        <f>(18.61+250)/1000</f>
        <v>0.26861000000000002</v>
      </c>
      <c r="H6">
        <f>0</f>
        <v>0</v>
      </c>
      <c r="I6">
        <f>0</f>
        <v>0</v>
      </c>
      <c r="J6">
        <f>0</f>
        <v>0</v>
      </c>
      <c r="K6" s="7">
        <f>SUM(Tabela2[[#This Row],[Bond]:[Financial Letter]])</f>
        <v>2.5093800000000002</v>
      </c>
    </row>
    <row r="7" spans="1:11" x14ac:dyDescent="0.25">
      <c r="A7">
        <v>2020</v>
      </c>
      <c r="B7">
        <f>(200+50+500+305.49+394.51+750+500+50+550+50)/1000</f>
        <v>3.35</v>
      </c>
      <c r="C7">
        <f>(48.54+4.66+28.74+0.2+93.57)/1000</f>
        <v>0.17570999999999998</v>
      </c>
      <c r="D7">
        <f>25.63/1000</f>
        <v>2.563E-2</v>
      </c>
      <c r="E7">
        <f>(3.57+8.85+194.93)/1000</f>
        <v>0.20735000000000001</v>
      </c>
      <c r="F7">
        <f>(64.64+87.15+54.2+48.42+120.27+66.65+102.29+193.66)/1000</f>
        <v>0.73727999999999994</v>
      </c>
      <c r="G7">
        <f>(59.51+105+33.31+45.7+12.48+32.08+4.36+2.25)/1000</f>
        <v>0.29469000000000001</v>
      </c>
      <c r="H7">
        <f>0</f>
        <v>0</v>
      </c>
      <c r="I7">
        <f>0</f>
        <v>0</v>
      </c>
      <c r="J7">
        <f>(100.38+178.89+233.92)/1000</f>
        <v>0.51318999999999992</v>
      </c>
      <c r="K7" s="7">
        <f>SUM(Tabela2[[#This Row],[Bond]:[Financial Letter]])</f>
        <v>5.3038499999999997</v>
      </c>
    </row>
    <row r="8" spans="1:11" x14ac:dyDescent="0.25">
      <c r="A8">
        <v>2021</v>
      </c>
      <c r="B8">
        <f>(500+50+500+625+750+500+81.82+1000+400)/1000</f>
        <v>4.4068199999999997</v>
      </c>
      <c r="C8">
        <f>(10.91+142.39+64+45.29+62.11+14.71)/1000</f>
        <v>0.33940999999999999</v>
      </c>
      <c r="D8">
        <f>11.43/1000</f>
        <v>1.1429999999999999E-2</v>
      </c>
      <c r="E8">
        <f>(190.91+81.82+82.12+26.79+47.7+25.59+137.87+137.87)/1000</f>
        <v>0.73066999999999993</v>
      </c>
      <c r="F8">
        <f>(77.46+230.77+121.61)/1000</f>
        <v>0.42984000000000006</v>
      </c>
      <c r="G8">
        <f>(1570+30+26.46+17.86)/1000</f>
        <v>1.64432</v>
      </c>
      <c r="H8">
        <f>(16.79+32.92)/1000</f>
        <v>4.9710000000000004E-2</v>
      </c>
      <c r="I8">
        <f>500/1000</f>
        <v>0.5</v>
      </c>
      <c r="J8">
        <f>0</f>
        <v>0</v>
      </c>
      <c r="K8" s="7">
        <f>SUM(Tabela2[[#This Row],[Bond]:[Financial Letter]])</f>
        <v>8.1122000000000014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DACB-B97E-44A7-969B-9FA829B989FC}">
  <dimension ref="A1:D64"/>
  <sheetViews>
    <sheetView workbookViewId="0">
      <selection activeCell="D2" sqref="D2:D64"/>
    </sheetView>
  </sheetViews>
  <sheetFormatPr defaultRowHeight="15" x14ac:dyDescent="0.25"/>
  <sheetData>
    <row r="1" spans="1:4" x14ac:dyDescent="0.25">
      <c r="A1" t="s">
        <v>1</v>
      </c>
      <c r="B1" t="s">
        <v>19</v>
      </c>
      <c r="C1" t="s">
        <v>20</v>
      </c>
      <c r="D1" t="s">
        <v>48</v>
      </c>
    </row>
    <row r="2" spans="1:4" x14ac:dyDescent="0.25">
      <c r="A2">
        <v>2015</v>
      </c>
      <c r="B2" s="3" t="s">
        <v>22</v>
      </c>
      <c r="C2" s="2">
        <f>549.45/1000</f>
        <v>0.54944999999999999</v>
      </c>
      <c r="D2" cm="1">
        <f t="array" ref="D2">C2/_xlfn._xlws.FILTER(Planilha9!$D$2:$D$8,(Planilha9!$A$2:$A$8)=A2)</f>
        <v>0.54944999999999999</v>
      </c>
    </row>
    <row r="3" spans="1:4" x14ac:dyDescent="0.25">
      <c r="A3">
        <v>2015</v>
      </c>
      <c r="B3" s="3" t="s">
        <v>23</v>
      </c>
      <c r="C3" s="2">
        <v>0</v>
      </c>
      <c r="D3" cm="1">
        <f t="array" ref="D3">C3/_xlfn._xlws.FILTER(Planilha9!$D$2:$D$8,(Planilha9!$A$2:$A$8)=A3)</f>
        <v>0</v>
      </c>
    </row>
    <row r="4" spans="1:4" x14ac:dyDescent="0.25">
      <c r="A4">
        <v>2015</v>
      </c>
      <c r="B4" s="3" t="s">
        <v>24</v>
      </c>
      <c r="C4" s="2">
        <v>0</v>
      </c>
      <c r="D4" cm="1">
        <f t="array" ref="D4">C4/_xlfn._xlws.FILTER(Planilha9!$D$2:$D$8,(Planilha9!$A$2:$A$8)=A4)</f>
        <v>0</v>
      </c>
    </row>
    <row r="5" spans="1:4" x14ac:dyDescent="0.25">
      <c r="A5">
        <v>2015</v>
      </c>
      <c r="B5" s="3" t="s">
        <v>25</v>
      </c>
      <c r="C5" s="2">
        <v>0</v>
      </c>
      <c r="D5" cm="1">
        <f t="array" ref="D5">C5/_xlfn._xlws.FILTER(Planilha9!$D$2:$D$8,(Planilha9!$A$2:$A$8)=A5)</f>
        <v>0</v>
      </c>
    </row>
    <row r="6" spans="1:4" x14ac:dyDescent="0.25">
      <c r="A6">
        <v>2015</v>
      </c>
      <c r="B6" s="3" t="s">
        <v>26</v>
      </c>
      <c r="C6" s="2">
        <v>0</v>
      </c>
      <c r="D6" cm="1">
        <f t="array" ref="D6">C6/_xlfn._xlws.FILTER(Planilha9!$D$2:$D$8,(Planilha9!$A$2:$A$8)=A6)</f>
        <v>0</v>
      </c>
    </row>
    <row r="7" spans="1:4" x14ac:dyDescent="0.25">
      <c r="A7">
        <v>2015</v>
      </c>
      <c r="B7" s="3" t="s">
        <v>14</v>
      </c>
      <c r="C7" s="2">
        <v>0</v>
      </c>
      <c r="D7" cm="1">
        <f t="array" ref="D7">C7/_xlfn._xlws.FILTER(Planilha9!$D$2:$D$8,(Planilha9!$A$2:$A$8)=A7)</f>
        <v>0</v>
      </c>
    </row>
    <row r="8" spans="1:4" x14ac:dyDescent="0.25">
      <c r="A8">
        <v>2015</v>
      </c>
      <c r="B8" s="3" t="s">
        <v>18</v>
      </c>
      <c r="C8" s="2">
        <v>0</v>
      </c>
      <c r="D8" cm="1">
        <f t="array" ref="D8">C8/_xlfn._xlws.FILTER(Planilha9!$D$2:$D$8,(Planilha9!$A$2:$A$8)=A8)</f>
        <v>0</v>
      </c>
    </row>
    <row r="9" spans="1:4" x14ac:dyDescent="0.25">
      <c r="A9">
        <v>2015</v>
      </c>
      <c r="B9" s="3" t="s">
        <v>10</v>
      </c>
      <c r="C9" s="2">
        <v>0</v>
      </c>
      <c r="D9" cm="1">
        <f t="array" ref="D9">C9/_xlfn._xlws.FILTER(Planilha9!$D$2:$D$8,(Planilha9!$A$2:$A$8)=A9)</f>
        <v>0</v>
      </c>
    </row>
    <row r="10" spans="1:4" x14ac:dyDescent="0.25">
      <c r="A10">
        <v>2015</v>
      </c>
      <c r="B10" s="3" t="s">
        <v>27</v>
      </c>
      <c r="C10" s="2">
        <v>0</v>
      </c>
      <c r="D10" cm="1">
        <f t="array" ref="D10">C10/_xlfn._xlws.FILTER(Planilha9!$D$2:$D$8,(Planilha9!$A$2:$A$8)=A10)</f>
        <v>0</v>
      </c>
    </row>
    <row r="11" spans="1:4" x14ac:dyDescent="0.25">
      <c r="A11">
        <v>2016</v>
      </c>
      <c r="B11" s="3" t="s">
        <v>22</v>
      </c>
      <c r="C11" s="6">
        <f>700/1000</f>
        <v>0.7</v>
      </c>
      <c r="D11" cm="1">
        <f t="array" ref="D11">C11/_xlfn._xlws.FILTER(Planilha9!$D$2:$D$8,(Planilha9!$A$2:$A$8)=A11)</f>
        <v>0.69420271185595495</v>
      </c>
    </row>
    <row r="12" spans="1:4" x14ac:dyDescent="0.25">
      <c r="A12">
        <v>2016</v>
      </c>
      <c r="B12" s="3" t="s">
        <v>23</v>
      </c>
      <c r="C12" s="6">
        <f>291.77/1000</f>
        <v>0.29176999999999997</v>
      </c>
      <c r="D12" cm="1">
        <f t="array" ref="D12">C12/_xlfn._xlws.FILTER(Planilha9!$D$2:$D$8,(Planilha9!$A$2:$A$8)=A12)</f>
        <v>0.28935360748315997</v>
      </c>
    </row>
    <row r="13" spans="1:4" x14ac:dyDescent="0.25">
      <c r="A13">
        <v>2016</v>
      </c>
      <c r="B13" s="3" t="s">
        <v>24</v>
      </c>
      <c r="C13" s="6">
        <f>0</f>
        <v>0</v>
      </c>
      <c r="D13" cm="1">
        <f t="array" ref="D13">C13/_xlfn._xlws.FILTER(Planilha9!$D$2:$D$8,(Planilha9!$A$2:$A$8)=A13)</f>
        <v>0</v>
      </c>
    </row>
    <row r="14" spans="1:4" x14ac:dyDescent="0.25">
      <c r="A14">
        <v>2016</v>
      </c>
      <c r="B14" s="3" t="s">
        <v>25</v>
      </c>
      <c r="C14" s="6">
        <f>61.6/1000</f>
        <v>6.1600000000000002E-2</v>
      </c>
      <c r="D14" cm="1">
        <f t="array" ref="D14">C14/_xlfn._xlws.FILTER(Planilha9!$D$2:$D$8,(Planilha9!$A$2:$A$8)=A14)</f>
        <v>6.1089838643324047E-2</v>
      </c>
    </row>
    <row r="15" spans="1:4" x14ac:dyDescent="0.25">
      <c r="A15">
        <v>2016</v>
      </c>
      <c r="B15" s="3" t="s">
        <v>26</v>
      </c>
      <c r="C15" s="6">
        <f>0</f>
        <v>0</v>
      </c>
      <c r="D15" cm="1">
        <f t="array" ref="D15">C15/_xlfn._xlws.FILTER(Planilha9!$D$2:$D$8,(Planilha9!$A$2:$A$8)=A15)</f>
        <v>0</v>
      </c>
    </row>
    <row r="16" spans="1:4" x14ac:dyDescent="0.25">
      <c r="A16">
        <v>2016</v>
      </c>
      <c r="B16" s="3" t="s">
        <v>14</v>
      </c>
      <c r="C16" s="6">
        <f>0</f>
        <v>0</v>
      </c>
      <c r="D16" cm="1">
        <f t="array" ref="D16">C16/_xlfn._xlws.FILTER(Planilha9!$D$2:$D$8,(Planilha9!$A$2:$A$8)=A16)</f>
        <v>0</v>
      </c>
    </row>
    <row r="17" spans="1:4" x14ac:dyDescent="0.25">
      <c r="A17">
        <v>2016</v>
      </c>
      <c r="B17" s="3" t="s">
        <v>18</v>
      </c>
      <c r="C17" s="6">
        <f>0</f>
        <v>0</v>
      </c>
      <c r="D17" cm="1">
        <f t="array" ref="D17">C17/_xlfn._xlws.FILTER(Planilha9!$D$2:$D$8,(Planilha9!$A$2:$A$8)=A17)</f>
        <v>0</v>
      </c>
    </row>
    <row r="18" spans="1:4" x14ac:dyDescent="0.25">
      <c r="A18">
        <v>2016</v>
      </c>
      <c r="B18" s="3" t="s">
        <v>10</v>
      </c>
      <c r="C18" s="6">
        <f>0</f>
        <v>0</v>
      </c>
      <c r="D18" cm="1">
        <f t="array" ref="D18">C18/_xlfn._xlws.FILTER(Planilha9!$D$2:$D$8,(Planilha9!$A$2:$A$8)=A18)</f>
        <v>0</v>
      </c>
    </row>
    <row r="19" spans="1:4" x14ac:dyDescent="0.25">
      <c r="A19">
        <v>2016</v>
      </c>
      <c r="B19" s="3" t="s">
        <v>27</v>
      </c>
      <c r="C19" s="6">
        <f>0</f>
        <v>0</v>
      </c>
      <c r="D19" cm="1">
        <f t="array" ref="D19">C19/_xlfn._xlws.FILTER(Planilha9!$D$2:$D$8,(Planilha9!$A$2:$A$8)=A19)</f>
        <v>0</v>
      </c>
    </row>
    <row r="20" spans="1:4" x14ac:dyDescent="0.25">
      <c r="A20">
        <v>2017</v>
      </c>
      <c r="B20" s="3" t="s">
        <v>22</v>
      </c>
      <c r="C20" s="2">
        <f>(700+1000+500)/1000</f>
        <v>2.2000000000000002</v>
      </c>
      <c r="D20" cm="1">
        <f t="array" ref="D20">C20/_xlfn._xlws.FILTER(Planilha9!$D$2:$D$8,(Planilha9!$A$2:$A$8)=A20)</f>
        <v>2.1448890050901603</v>
      </c>
    </row>
    <row r="21" spans="1:4" x14ac:dyDescent="0.25">
      <c r="A21">
        <v>2017</v>
      </c>
      <c r="B21" s="3" t="s">
        <v>23</v>
      </c>
      <c r="C21" s="2">
        <f>0</f>
        <v>0</v>
      </c>
      <c r="D21" cm="1">
        <f t="array" ref="D21">C21/_xlfn._xlws.FILTER(Planilha9!$D$2:$D$8,(Planilha9!$A$2:$A$8)=A21)</f>
        <v>0</v>
      </c>
    </row>
    <row r="22" spans="1:4" x14ac:dyDescent="0.25">
      <c r="A22">
        <v>2017</v>
      </c>
      <c r="B22" s="3" t="s">
        <v>24</v>
      </c>
      <c r="C22" s="2">
        <f>0</f>
        <v>0</v>
      </c>
      <c r="D22" cm="1">
        <f t="array" ref="D22">C22/_xlfn._xlws.FILTER(Planilha9!$D$2:$D$8,(Planilha9!$A$2:$A$8)=A22)</f>
        <v>0</v>
      </c>
    </row>
    <row r="23" spans="1:4" x14ac:dyDescent="0.25">
      <c r="A23">
        <v>2017</v>
      </c>
      <c r="B23" s="3" t="s">
        <v>25</v>
      </c>
      <c r="C23" s="2">
        <f>0</f>
        <v>0</v>
      </c>
      <c r="D23" cm="1">
        <f t="array" ref="D23">C23/_xlfn._xlws.FILTER(Planilha9!$D$2:$D$8,(Planilha9!$A$2:$A$8)=A23)</f>
        <v>0</v>
      </c>
    </row>
    <row r="24" spans="1:4" x14ac:dyDescent="0.25">
      <c r="A24">
        <v>2017</v>
      </c>
      <c r="B24" s="3" t="s">
        <v>26</v>
      </c>
      <c r="C24" s="2">
        <f>(13.28+34.06+69.62+14.67+3.39+3.24)/1000</f>
        <v>0.13825999999999999</v>
      </c>
      <c r="D24" cm="1">
        <f t="array" ref="D24">C24/_xlfn._xlws.FILTER(Planilha9!$D$2:$D$8,(Planilha9!$A$2:$A$8)=A24)</f>
        <v>0.13479652447443888</v>
      </c>
    </row>
    <row r="25" spans="1:4" x14ac:dyDescent="0.25">
      <c r="A25">
        <v>2017</v>
      </c>
      <c r="B25" s="3" t="s">
        <v>14</v>
      </c>
      <c r="C25" s="2">
        <f>0</f>
        <v>0</v>
      </c>
      <c r="D25" cm="1">
        <f t="array" ref="D25">C25/_xlfn._xlws.FILTER(Planilha9!$D$2:$D$8,(Planilha9!$A$2:$A$8)=A25)</f>
        <v>0</v>
      </c>
    </row>
    <row r="26" spans="1:4" x14ac:dyDescent="0.25">
      <c r="A26">
        <v>2017</v>
      </c>
      <c r="B26" s="3" t="s">
        <v>18</v>
      </c>
      <c r="C26" s="2">
        <f>0</f>
        <v>0</v>
      </c>
      <c r="D26" cm="1">
        <f t="array" ref="D26">C26/_xlfn._xlws.FILTER(Planilha9!$D$2:$D$8,(Planilha9!$A$2:$A$8)=A26)</f>
        <v>0</v>
      </c>
    </row>
    <row r="27" spans="1:4" x14ac:dyDescent="0.25">
      <c r="A27">
        <v>2017</v>
      </c>
      <c r="B27" s="3" t="s">
        <v>10</v>
      </c>
      <c r="C27" s="2">
        <f>0</f>
        <v>0</v>
      </c>
      <c r="D27" cm="1">
        <f t="array" ref="D27">C27/_xlfn._xlws.FILTER(Planilha9!$D$2:$D$8,(Planilha9!$A$2:$A$8)=A27)</f>
        <v>0</v>
      </c>
    </row>
    <row r="28" spans="1:4" x14ac:dyDescent="0.25">
      <c r="A28">
        <v>2017</v>
      </c>
      <c r="B28" s="3" t="s">
        <v>27</v>
      </c>
      <c r="C28" s="2">
        <f>0</f>
        <v>0</v>
      </c>
      <c r="D28" cm="1">
        <f t="array" ref="D28">C28/_xlfn._xlws.FILTER(Planilha9!$D$2:$D$8,(Planilha9!$A$2:$A$8)=A28)</f>
        <v>0</v>
      </c>
    </row>
    <row r="29" spans="1:4" x14ac:dyDescent="0.25">
      <c r="A29">
        <v>2018</v>
      </c>
      <c r="B29" s="3" t="s">
        <v>22</v>
      </c>
      <c r="C29" s="6">
        <f>0</f>
        <v>0</v>
      </c>
      <c r="D29" cm="1">
        <f t="array" ref="D29">C29/_xlfn._xlws.FILTER(Planilha9!$D$2:$D$8,(Planilha9!$A$2:$A$8)=A29)</f>
        <v>0</v>
      </c>
    </row>
    <row r="30" spans="1:4" x14ac:dyDescent="0.25">
      <c r="A30">
        <v>2018</v>
      </c>
      <c r="B30" s="3" t="s">
        <v>23</v>
      </c>
      <c r="C30" s="6">
        <f>0</f>
        <v>0</v>
      </c>
      <c r="D30" cm="1">
        <f t="array" ref="D30">C30/_xlfn._xlws.FILTER(Planilha9!$D$2:$D$8,(Planilha9!$A$2:$A$8)=A30)</f>
        <v>0</v>
      </c>
    </row>
    <row r="31" spans="1:4" x14ac:dyDescent="0.25">
      <c r="A31">
        <v>2018</v>
      </c>
      <c r="B31" s="3" t="s">
        <v>24</v>
      </c>
      <c r="C31" s="6">
        <f>0</f>
        <v>0</v>
      </c>
      <c r="D31" cm="1">
        <f t="array" ref="D31">C31/_xlfn._xlws.FILTER(Planilha9!$D$2:$D$8,(Planilha9!$A$2:$A$8)=A31)</f>
        <v>0</v>
      </c>
    </row>
    <row r="32" spans="1:4" x14ac:dyDescent="0.25">
      <c r="A32">
        <v>2018</v>
      </c>
      <c r="B32" s="3" t="s">
        <v>25</v>
      </c>
      <c r="C32" s="6">
        <f>(1.51+9.82)/1000</f>
        <v>1.133E-2</v>
      </c>
      <c r="D32" cm="1">
        <f t="array" ref="D32">C32/_xlfn._xlws.FILTER(Planilha9!$D$2:$D$8,(Planilha9!$A$2:$A$8)=A32)</f>
        <v>1.0729704134028555E-2</v>
      </c>
    </row>
    <row r="33" spans="1:4" x14ac:dyDescent="0.25">
      <c r="A33">
        <v>2018</v>
      </c>
      <c r="B33" s="3" t="s">
        <v>26</v>
      </c>
      <c r="C33" s="6">
        <f>(181.28+31.38)/1000</f>
        <v>0.21265999999999999</v>
      </c>
      <c r="D33" cm="1">
        <f t="array" ref="D33">C33/_xlfn._xlws.FILTER(Planilha9!$D$2:$D$8,(Planilha9!$A$2:$A$8)=A33)</f>
        <v>0.20139266382546445</v>
      </c>
    </row>
    <row r="34" spans="1:4" x14ac:dyDescent="0.25">
      <c r="A34">
        <v>2018</v>
      </c>
      <c r="B34" s="3" t="s">
        <v>14</v>
      </c>
      <c r="C34" s="6">
        <f>0</f>
        <v>0</v>
      </c>
      <c r="D34" cm="1">
        <f t="array" ref="D34">C34/_xlfn._xlws.FILTER(Planilha9!$D$2:$D$8,(Planilha9!$A$2:$A$8)=A34)</f>
        <v>0</v>
      </c>
    </row>
    <row r="35" spans="1:4" x14ac:dyDescent="0.25">
      <c r="A35">
        <v>2018</v>
      </c>
      <c r="B35" s="3" t="s">
        <v>18</v>
      </c>
      <c r="C35" s="6">
        <f>0</f>
        <v>0</v>
      </c>
      <c r="D35" cm="1">
        <f t="array" ref="D35">C35/_xlfn._xlws.FILTER(Planilha9!$D$2:$D$8,(Planilha9!$A$2:$A$8)=A35)</f>
        <v>0</v>
      </c>
    </row>
    <row r="36" spans="1:4" x14ac:dyDescent="0.25">
      <c r="A36">
        <v>2018</v>
      </c>
      <c r="B36" s="3" t="s">
        <v>10</v>
      </c>
      <c r="C36" s="6">
        <f>0</f>
        <v>0</v>
      </c>
      <c r="D36" cm="1">
        <f t="array" ref="D36">C36/_xlfn._xlws.FILTER(Planilha9!$D$2:$D$8,(Planilha9!$A$2:$A$8)=A36)</f>
        <v>0</v>
      </c>
    </row>
    <row r="37" spans="1:4" x14ac:dyDescent="0.25">
      <c r="A37">
        <v>2018</v>
      </c>
      <c r="B37" s="3" t="s">
        <v>27</v>
      </c>
      <c r="C37" s="6">
        <f>0</f>
        <v>0</v>
      </c>
      <c r="D37" cm="1">
        <f t="array" ref="D37">C37/_xlfn._xlws.FILTER(Planilha9!$D$2:$D$8,(Planilha9!$A$2:$A$8)=A37)</f>
        <v>0</v>
      </c>
    </row>
    <row r="38" spans="1:4" x14ac:dyDescent="0.25">
      <c r="A38">
        <v>2019</v>
      </c>
      <c r="B38" s="3" t="s">
        <v>22</v>
      </c>
      <c r="C38" s="2">
        <f>(500+500)/1000</f>
        <v>1</v>
      </c>
      <c r="D38" cm="1">
        <f t="array" ref="D38">C38/_xlfn._xlws.FILTER(Planilha9!$D$2:$D$8,(Planilha9!$A$2:$A$8)=A38)</f>
        <v>0.93016747800803656</v>
      </c>
    </row>
    <row r="39" spans="1:4" x14ac:dyDescent="0.25">
      <c r="A39">
        <v>2019</v>
      </c>
      <c r="B39" s="3" t="s">
        <v>23</v>
      </c>
      <c r="C39" s="2">
        <f>9.65/1000</f>
        <v>9.6500000000000006E-3</v>
      </c>
      <c r="D39" cm="1">
        <f t="array" ref="D39">C39/_xlfn._xlws.FILTER(Planilha9!$D$2:$D$8,(Planilha9!$A$2:$A$8)=A39)</f>
        <v>8.9761161627775529E-3</v>
      </c>
    </row>
    <row r="40" spans="1:4" x14ac:dyDescent="0.25">
      <c r="A40">
        <v>2019</v>
      </c>
      <c r="B40" s="3" t="s">
        <v>24</v>
      </c>
      <c r="C40" s="2">
        <f>4.49/1000</f>
        <v>4.4900000000000001E-3</v>
      </c>
      <c r="D40" cm="1">
        <f t="array" ref="D40">C40/_xlfn._xlws.FILTER(Planilha9!$D$2:$D$8,(Planilha9!$A$2:$A$8)=A40)</f>
        <v>4.1764519762560841E-3</v>
      </c>
    </row>
    <row r="41" spans="1:4" x14ac:dyDescent="0.25">
      <c r="A41">
        <v>2019</v>
      </c>
      <c r="B41" s="3" t="s">
        <v>25</v>
      </c>
      <c r="C41" s="2">
        <f>(135.02+10.7+5.28+13.18+9.64)/1000</f>
        <v>0.17382</v>
      </c>
      <c r="D41" cm="1">
        <f t="array" ref="D41">C41/_xlfn._xlws.FILTER(Planilha9!$D$2:$D$8,(Planilha9!$A$2:$A$8)=A41)</f>
        <v>0.16168171102735693</v>
      </c>
    </row>
    <row r="42" spans="1:4" x14ac:dyDescent="0.25">
      <c r="A42">
        <v>2019</v>
      </c>
      <c r="B42" s="3" t="s">
        <v>26</v>
      </c>
      <c r="C42" s="2">
        <f>(213.89+52.47+344.52+98.05+129.92+140.95+73.01)/1000</f>
        <v>1.05281</v>
      </c>
      <c r="D42" cm="1">
        <f t="array" ref="D42">C42/_xlfn._xlws.FILTER(Planilha9!$D$2:$D$8,(Planilha9!$A$2:$A$8)=A42)</f>
        <v>0.97928962252164098</v>
      </c>
    </row>
    <row r="43" spans="1:4" x14ac:dyDescent="0.25">
      <c r="A43">
        <v>2019</v>
      </c>
      <c r="B43" s="3" t="s">
        <v>14</v>
      </c>
      <c r="C43" s="2">
        <f>(18.61+250)/1000</f>
        <v>0.26861000000000002</v>
      </c>
      <c r="D43" cm="1">
        <f t="array" ref="D43">C43/_xlfn._xlws.FILTER(Planilha9!$D$2:$D$8,(Planilha9!$A$2:$A$8)=A43)</f>
        <v>0.24985228626773873</v>
      </c>
    </row>
    <row r="44" spans="1:4" x14ac:dyDescent="0.25">
      <c r="A44">
        <v>2019</v>
      </c>
      <c r="B44" s="3" t="s">
        <v>18</v>
      </c>
      <c r="C44" s="2">
        <f>0</f>
        <v>0</v>
      </c>
      <c r="D44" cm="1">
        <f t="array" ref="D44">C44/_xlfn._xlws.FILTER(Planilha9!$D$2:$D$8,(Planilha9!$A$2:$A$8)=A44)</f>
        <v>0</v>
      </c>
    </row>
    <row r="45" spans="1:4" x14ac:dyDescent="0.25">
      <c r="A45">
        <v>2019</v>
      </c>
      <c r="B45" s="3" t="s">
        <v>10</v>
      </c>
      <c r="C45" s="2">
        <f>0</f>
        <v>0</v>
      </c>
      <c r="D45" cm="1">
        <f t="array" ref="D45">C45/_xlfn._xlws.FILTER(Planilha9!$D$2:$D$8,(Planilha9!$A$2:$A$8)=A45)</f>
        <v>0</v>
      </c>
    </row>
    <row r="46" spans="1:4" x14ac:dyDescent="0.25">
      <c r="A46">
        <v>2019</v>
      </c>
      <c r="B46" s="3" t="s">
        <v>27</v>
      </c>
      <c r="C46" s="2">
        <f>0</f>
        <v>0</v>
      </c>
      <c r="D46" cm="1">
        <f t="array" ref="D46">C46/_xlfn._xlws.FILTER(Planilha9!$D$2:$D$8,(Planilha9!$A$2:$A$8)=A46)</f>
        <v>0</v>
      </c>
    </row>
    <row r="47" spans="1:4" x14ac:dyDescent="0.25">
      <c r="A47">
        <v>2020</v>
      </c>
      <c r="B47" s="3" t="s">
        <v>22</v>
      </c>
      <c r="C47" s="6">
        <f>(200+50+500+305.49+394.51+750+500+50+550+50)/1000</f>
        <v>3.35</v>
      </c>
      <c r="D47" cm="1">
        <f t="array" ref="D47">C47/_xlfn._xlws.FILTER(Planilha9!$D$2:$D$8,(Planilha9!$A$2:$A$8)=A47)</f>
        <v>3.0856341735462229</v>
      </c>
    </row>
    <row r="48" spans="1:4" x14ac:dyDescent="0.25">
      <c r="A48">
        <v>2020</v>
      </c>
      <c r="B48" s="3" t="s">
        <v>23</v>
      </c>
      <c r="C48" s="6">
        <f>(48.54+4.66+28.74+0.2+93.57)/1000</f>
        <v>0.17570999999999998</v>
      </c>
      <c r="D48" cm="1">
        <f t="array" ref="D48">C48/_xlfn._xlws.FILTER(Planilha9!$D$2:$D$8,(Planilha9!$A$2:$A$8)=A48)</f>
        <v>0.16184381511456919</v>
      </c>
    </row>
    <row r="49" spans="1:4" x14ac:dyDescent="0.25">
      <c r="A49">
        <v>2020</v>
      </c>
      <c r="B49" s="3" t="s">
        <v>24</v>
      </c>
      <c r="C49" s="6">
        <f>25.63/1000</f>
        <v>2.563E-2</v>
      </c>
      <c r="D49" cm="1">
        <f t="array" ref="D49">C49/_xlfn._xlws.FILTER(Planilha9!$D$2:$D$8,(Planilha9!$A$2:$A$8)=A49)</f>
        <v>2.3607404139698415E-2</v>
      </c>
    </row>
    <row r="50" spans="1:4" x14ac:dyDescent="0.25">
      <c r="A50">
        <v>2020</v>
      </c>
      <c r="B50" s="3" t="s">
        <v>25</v>
      </c>
      <c r="C50" s="6">
        <f>(3.57+8.85+194.93)/1000</f>
        <v>0.20735000000000001</v>
      </c>
      <c r="D50" cm="1">
        <f t="array" ref="D50">C50/_xlfn._xlws.FILTER(Planilha9!$D$2:$D$8,(Planilha9!$A$2:$A$8)=A50)</f>
        <v>0.19098693907009234</v>
      </c>
    </row>
    <row r="51" spans="1:4" x14ac:dyDescent="0.25">
      <c r="A51">
        <v>2020</v>
      </c>
      <c r="B51" s="3" t="s">
        <v>26</v>
      </c>
      <c r="C51" s="6">
        <f>(64.64+87.15+54.2+48.42+120.27+66.65+102.29+193.66)/1000</f>
        <v>0.73727999999999994</v>
      </c>
      <c r="D51" cm="1">
        <f t="array" ref="D51">C51/_xlfn._xlws.FILTER(Planilha9!$D$2:$D$8,(Planilha9!$A$2:$A$8)=A51)</f>
        <v>0.67909742193198774</v>
      </c>
    </row>
    <row r="52" spans="1:4" x14ac:dyDescent="0.25">
      <c r="A52">
        <v>2020</v>
      </c>
      <c r="B52" s="3" t="s">
        <v>14</v>
      </c>
      <c r="C52" s="6">
        <f>(59.51+105+33.31+45.7+12.48+32.08+4.36+2.25)/1000</f>
        <v>0.29469000000000001</v>
      </c>
      <c r="D52" cm="1">
        <f t="array" ref="D52">C52/_xlfn._xlws.FILTER(Planilha9!$D$2:$D$8,(Planilha9!$A$2:$A$8)=A52)</f>
        <v>0.27143448794099595</v>
      </c>
    </row>
    <row r="53" spans="1:4" x14ac:dyDescent="0.25">
      <c r="A53">
        <v>2020</v>
      </c>
      <c r="B53" s="3" t="s">
        <v>18</v>
      </c>
      <c r="C53" s="6">
        <f>0</f>
        <v>0</v>
      </c>
      <c r="D53" cm="1">
        <f t="array" ref="D53">C53/_xlfn._xlws.FILTER(Planilha9!$D$2:$D$8,(Planilha9!$A$2:$A$8)=A53)</f>
        <v>0</v>
      </c>
    </row>
    <row r="54" spans="1:4" x14ac:dyDescent="0.25">
      <c r="A54">
        <v>2020</v>
      </c>
      <c r="B54" s="3" t="s">
        <v>10</v>
      </c>
      <c r="C54" s="6">
        <f>0</f>
        <v>0</v>
      </c>
      <c r="D54" cm="1">
        <f t="array" ref="D54">C54/_xlfn._xlws.FILTER(Planilha9!$D$2:$D$8,(Planilha9!$A$2:$A$8)=A54)</f>
        <v>0</v>
      </c>
    </row>
    <row r="55" spans="1:4" x14ac:dyDescent="0.25">
      <c r="A55">
        <v>2020</v>
      </c>
      <c r="B55" s="3" t="s">
        <v>27</v>
      </c>
      <c r="C55" s="6">
        <f>(100.38+178.89+233.92)/1000</f>
        <v>0.51318999999999992</v>
      </c>
      <c r="D55" cm="1">
        <f t="array" ref="D55">C55/_xlfn._xlws.FILTER(Planilha9!$D$2:$D$8,(Planilha9!$A$2:$A$8)=A55)</f>
        <v>0.47269152284244353</v>
      </c>
    </row>
    <row r="56" spans="1:4" x14ac:dyDescent="0.25">
      <c r="A56">
        <v>2021</v>
      </c>
      <c r="B56" s="3" t="s">
        <v>22</v>
      </c>
      <c r="C56" s="2">
        <f>(500+50+500+625+750+500+81.82+1000+400)/1000</f>
        <v>4.4068199999999997</v>
      </c>
      <c r="D56" cm="1">
        <f t="array" ref="D56">C56/_xlfn._xlws.FILTER(Planilha9!$D$2:$D$8,(Planilha9!$A$2:$A$8)=A56)</f>
        <v>3.8523577406841678</v>
      </c>
    </row>
    <row r="57" spans="1:4" x14ac:dyDescent="0.25">
      <c r="A57">
        <v>2021</v>
      </c>
      <c r="B57" s="3" t="s">
        <v>23</v>
      </c>
      <c r="C57" s="2">
        <f>(10.91+142.39+64+45.29+62.11+14.71)/1000</f>
        <v>0.33940999999999999</v>
      </c>
      <c r="D57" cm="1">
        <f t="array" ref="D57">C57/_xlfn._xlws.FILTER(Planilha9!$D$2:$D$8,(Planilha9!$A$2:$A$8)=A57)</f>
        <v>0.29670572902129277</v>
      </c>
    </row>
    <row r="58" spans="1:4" x14ac:dyDescent="0.25">
      <c r="A58">
        <v>2021</v>
      </c>
      <c r="B58" s="3" t="s">
        <v>24</v>
      </c>
      <c r="C58" s="2">
        <f>11.43/1000</f>
        <v>1.1429999999999999E-2</v>
      </c>
      <c r="D58" cm="1">
        <f t="array" ref="D58">C58/_xlfn._xlws.FILTER(Planilha9!$D$2:$D$8,(Planilha9!$A$2:$A$8)=A58)</f>
        <v>9.9918873418973399E-3</v>
      </c>
    </row>
    <row r="59" spans="1:4" x14ac:dyDescent="0.25">
      <c r="A59">
        <v>2021</v>
      </c>
      <c r="B59" s="3" t="s">
        <v>25</v>
      </c>
      <c r="C59" s="2">
        <f>(190.91+81.82+82.12+26.79+47.7+25.59+137.87+137.87)/1000</f>
        <v>0.73066999999999993</v>
      </c>
      <c r="D59" cm="1">
        <f t="array" ref="D59">C59/_xlfn._xlws.FILTER(Planilha9!$D$2:$D$8,(Planilha9!$A$2:$A$8)=A59)</f>
        <v>0.63873773614209362</v>
      </c>
    </row>
    <row r="60" spans="1:4" x14ac:dyDescent="0.25">
      <c r="A60">
        <v>2021</v>
      </c>
      <c r="B60" s="3" t="s">
        <v>26</v>
      </c>
      <c r="C60" s="2">
        <f>(77.46+230.77+121.61)/1000</f>
        <v>0.42984000000000006</v>
      </c>
      <c r="D60" cm="1">
        <f t="array" ref="D60">C60/_xlfn._xlws.FILTER(Planilha9!$D$2:$D$8,(Planilha9!$A$2:$A$8)=A60)</f>
        <v>0.37575790507796619</v>
      </c>
    </row>
    <row r="61" spans="1:4" x14ac:dyDescent="0.25">
      <c r="A61">
        <v>2021</v>
      </c>
      <c r="B61" s="3" t="s">
        <v>14</v>
      </c>
      <c r="C61" s="2">
        <f>(1570+30+26.46+17.86)/1000</f>
        <v>1.64432</v>
      </c>
      <c r="D61" cm="1">
        <f t="array" ref="D61">C61/_xlfn._xlws.FILTER(Planilha9!$D$2:$D$8,(Planilha9!$A$2:$A$8)=A61)</f>
        <v>1.4374330878415253</v>
      </c>
    </row>
    <row r="62" spans="1:4" x14ac:dyDescent="0.25">
      <c r="A62">
        <v>2021</v>
      </c>
      <c r="B62" s="3" t="s">
        <v>18</v>
      </c>
      <c r="C62" s="2">
        <f>(16.79+32.92)/1000</f>
        <v>4.9710000000000004E-2</v>
      </c>
      <c r="D62" cm="1">
        <f t="array" ref="D62">C62/_xlfn._xlws.FILTER(Planilha9!$D$2:$D$8,(Planilha9!$A$2:$A$8)=A62)</f>
        <v>4.3455531038120457E-2</v>
      </c>
    </row>
    <row r="63" spans="1:4" x14ac:dyDescent="0.25">
      <c r="A63">
        <v>2021</v>
      </c>
      <c r="B63" s="3" t="s">
        <v>10</v>
      </c>
      <c r="C63" s="2">
        <f>500/1000</f>
        <v>0.5</v>
      </c>
      <c r="D63" cm="1">
        <f t="array" ref="D63">C63/_xlfn._xlws.FILTER(Planilha9!$D$2:$D$8,(Planilha9!$A$2:$A$8)=A63)</f>
        <v>0.43709043490364569</v>
      </c>
    </row>
    <row r="64" spans="1:4" x14ac:dyDescent="0.25">
      <c r="A64">
        <v>2021</v>
      </c>
      <c r="B64" s="3" t="s">
        <v>27</v>
      </c>
      <c r="C64" s="2">
        <f>0</f>
        <v>0</v>
      </c>
      <c r="D64" cm="1">
        <f t="array" ref="D64">C64/_xlfn._xlws.FILTER(Planilha9!$D$2:$D$8,(Planilha9!$A$2:$A$8)=A64)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E0CD-C5CF-4799-9231-165406AA9B8B}">
  <dimension ref="A1:C8"/>
  <sheetViews>
    <sheetView workbookViewId="0">
      <selection activeCell="C2" sqref="C2:C8"/>
    </sheetView>
  </sheetViews>
  <sheetFormatPr defaultRowHeight="15" x14ac:dyDescent="0.25"/>
  <sheetData>
    <row r="1" spans="1:3" x14ac:dyDescent="0.25">
      <c r="A1" t="s">
        <v>1</v>
      </c>
      <c r="B1" t="s">
        <v>21</v>
      </c>
      <c r="C1" t="s">
        <v>49</v>
      </c>
    </row>
    <row r="2" spans="1:3" x14ac:dyDescent="0.25">
      <c r="A2" s="1">
        <v>2015</v>
      </c>
      <c r="B2">
        <f>SUM(Tabela2[[#This Row],[Bond]:[Financial Letter]])</f>
        <v>0.54944999999999999</v>
      </c>
      <c r="C2" cm="1">
        <f t="array" ref="C2">B2/_xlfn._xlws.FILTER(Planilha9!$D$2:$D$8,(Planilha9!$A$2:$A$8)=A2)</f>
        <v>0.54944999999999999</v>
      </c>
    </row>
    <row r="3" spans="1:3" x14ac:dyDescent="0.25">
      <c r="A3" s="5">
        <v>2016</v>
      </c>
      <c r="B3">
        <f>SUM(Tabela2[[#This Row],[Bond]:[Financial Letter]])</f>
        <v>1.0533699999999999</v>
      </c>
      <c r="C3" cm="1">
        <f t="array" ref="C3">B3/_xlfn._xlws.FILTER(Planilha9!$D$2:$D$8,(Planilha9!$A$2:$A$8)=A3)</f>
        <v>1.0446461579824391</v>
      </c>
    </row>
    <row r="4" spans="1:3" x14ac:dyDescent="0.25">
      <c r="A4" s="1">
        <v>2017</v>
      </c>
      <c r="B4">
        <f>SUM(Tabela2[[#This Row],[Bond]:[Financial Letter]])</f>
        <v>2.33826</v>
      </c>
      <c r="C4" cm="1">
        <f t="array" ref="C4">B4/_xlfn._xlws.FILTER(Planilha9!$D$2:$D$8,(Planilha9!$A$2:$A$8)=A4)</f>
        <v>2.279685529564599</v>
      </c>
    </row>
    <row r="5" spans="1:3" x14ac:dyDescent="0.25">
      <c r="A5" s="5">
        <v>2018</v>
      </c>
      <c r="B5">
        <f>SUM(Tabela2[[#This Row],[Bond]:[Financial Letter]])</f>
        <v>0.22398999999999999</v>
      </c>
      <c r="C5" cm="1">
        <f t="array" ref="C5">B5/_xlfn._xlws.FILTER(Planilha9!$D$2:$D$8,(Planilha9!$A$2:$A$8)=A5)</f>
        <v>0.21212236795949302</v>
      </c>
    </row>
    <row r="6" spans="1:3" x14ac:dyDescent="0.25">
      <c r="A6" s="1">
        <v>2019</v>
      </c>
      <c r="B6">
        <f>SUM(Tabela2[[#This Row],[Bond]:[Financial Letter]])</f>
        <v>2.5093800000000002</v>
      </c>
      <c r="C6" cm="1">
        <f t="array" ref="C6">B6/_xlfn._xlws.FILTER(Planilha9!$D$2:$D$8,(Planilha9!$A$2:$A$8)=A6)</f>
        <v>2.3341436659638068</v>
      </c>
    </row>
    <row r="7" spans="1:3" x14ac:dyDescent="0.25">
      <c r="A7" s="5">
        <v>2020</v>
      </c>
      <c r="B7">
        <f>SUM(Tabela2[[#This Row],[Bond]:[Financial Letter]])</f>
        <v>5.3038499999999997</v>
      </c>
      <c r="C7" cm="1">
        <f t="array" ref="C7">B7/_xlfn._xlws.FILTER(Planilha9!$D$2:$D$8,(Planilha9!$A$2:$A$8)=A7)</f>
        <v>4.8852957645860098</v>
      </c>
    </row>
    <row r="8" spans="1:3" x14ac:dyDescent="0.25">
      <c r="A8" s="1">
        <v>2021</v>
      </c>
      <c r="B8">
        <f>SUM(Tabela2[[#This Row],[Bond]:[Financial Letter]])</f>
        <v>8.1122000000000014</v>
      </c>
      <c r="C8" cm="1">
        <f t="array" ref="C8">B8/_xlfn._xlws.FILTER(Planilha9!$D$2:$D$8,(Planilha9!$A$2:$A$8)=A8)</f>
        <v>7.091530052050711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6DDD-5569-4DC0-B6BE-7B2BE310FE6F}">
  <dimension ref="A1:D22"/>
  <sheetViews>
    <sheetView workbookViewId="0">
      <selection activeCell="D2" sqref="D2:D22"/>
    </sheetView>
  </sheetViews>
  <sheetFormatPr defaultRowHeight="15" x14ac:dyDescent="0.25"/>
  <sheetData>
    <row r="1" spans="1:4" x14ac:dyDescent="0.25">
      <c r="A1" t="s">
        <v>1</v>
      </c>
      <c r="B1" t="s">
        <v>19</v>
      </c>
      <c r="C1" t="s">
        <v>20</v>
      </c>
      <c r="D1" t="s">
        <v>48</v>
      </c>
    </row>
    <row r="2" spans="1:4" x14ac:dyDescent="0.25">
      <c r="A2">
        <v>2015</v>
      </c>
      <c r="B2" t="s">
        <v>28</v>
      </c>
      <c r="C2" s="8">
        <v>0.54949999999999999</v>
      </c>
      <c r="D2" cm="1">
        <f t="array" ref="D2">C2/_xlfn._xlws.FILTER(Planilha9!$D$2:$D$8,(Planilha9!$A$2:$A$8)=A2)</f>
        <v>0.54949999999999999</v>
      </c>
    </row>
    <row r="3" spans="1:4" x14ac:dyDescent="0.25">
      <c r="A3">
        <v>2015</v>
      </c>
      <c r="B3" t="s">
        <v>30</v>
      </c>
      <c r="C3" s="8">
        <v>0</v>
      </c>
      <c r="D3" cm="1">
        <f t="array" ref="D3">C3/_xlfn._xlws.FILTER(Planilha9!$D$2:$D$8,(Planilha9!$A$2:$A$8)=A3)</f>
        <v>0</v>
      </c>
    </row>
    <row r="4" spans="1:4" x14ac:dyDescent="0.25">
      <c r="A4">
        <v>2015</v>
      </c>
      <c r="B4" t="s">
        <v>29</v>
      </c>
      <c r="C4" s="8">
        <v>0</v>
      </c>
      <c r="D4" cm="1">
        <f t="array" ref="D4">C4/_xlfn._xlws.FILTER(Planilha9!$D$2:$D$8,(Planilha9!$A$2:$A$8)=A4)</f>
        <v>0</v>
      </c>
    </row>
    <row r="5" spans="1:4" x14ac:dyDescent="0.25">
      <c r="A5">
        <v>2016</v>
      </c>
      <c r="B5" t="s">
        <v>28</v>
      </c>
      <c r="C5" s="9">
        <v>1.0533699999999999</v>
      </c>
      <c r="D5" cm="1">
        <f t="array" ref="D5">C5/_xlfn._xlws.FILTER(Planilha9!$D$2:$D$8,(Planilha9!$A$2:$A$8)=A5)</f>
        <v>1.0446461579824391</v>
      </c>
    </row>
    <row r="6" spans="1:4" x14ac:dyDescent="0.25">
      <c r="A6">
        <v>2016</v>
      </c>
      <c r="B6" t="s">
        <v>30</v>
      </c>
      <c r="C6" s="9">
        <v>0</v>
      </c>
      <c r="D6" cm="1">
        <f t="array" ref="D6">C6/_xlfn._xlws.FILTER(Planilha9!$D$2:$D$8,(Planilha9!$A$2:$A$8)=A6)</f>
        <v>0</v>
      </c>
    </row>
    <row r="7" spans="1:4" x14ac:dyDescent="0.25">
      <c r="A7">
        <v>2016</v>
      </c>
      <c r="B7" t="s">
        <v>29</v>
      </c>
      <c r="C7" s="9">
        <v>0</v>
      </c>
      <c r="D7" cm="1">
        <f t="array" ref="D7">C7/_xlfn._xlws.FILTER(Planilha9!$D$2:$D$8,(Planilha9!$A$2:$A$8)=A7)</f>
        <v>0</v>
      </c>
    </row>
    <row r="8" spans="1:4" x14ac:dyDescent="0.25">
      <c r="A8">
        <v>2017</v>
      </c>
      <c r="B8" t="s">
        <v>28</v>
      </c>
      <c r="C8" s="8">
        <v>1.33826</v>
      </c>
      <c r="D8" cm="1">
        <f t="array" ref="D8">C8/_xlfn._xlws.FILTER(Planilha9!$D$2:$D$8,(Planilha9!$A$2:$A$8)=A8)</f>
        <v>1.3047359817963444</v>
      </c>
    </row>
    <row r="9" spans="1:4" x14ac:dyDescent="0.25">
      <c r="A9">
        <v>2017</v>
      </c>
      <c r="B9" t="s">
        <v>30</v>
      </c>
      <c r="C9" s="8">
        <v>1</v>
      </c>
      <c r="D9" cm="1">
        <f t="array" ref="D9">C9/_xlfn._xlws.FILTER(Planilha9!$D$2:$D$8,(Planilha9!$A$2:$A$8)=A9)</f>
        <v>0.9749495477682546</v>
      </c>
    </row>
    <row r="10" spans="1:4" x14ac:dyDescent="0.25">
      <c r="A10">
        <v>2017</v>
      </c>
      <c r="B10" t="s">
        <v>29</v>
      </c>
      <c r="C10" s="8">
        <v>0</v>
      </c>
      <c r="D10" cm="1">
        <f t="array" ref="D10">C10/_xlfn._xlws.FILTER(Planilha9!$D$2:$D$8,(Planilha9!$A$2:$A$8)=A10)</f>
        <v>0</v>
      </c>
    </row>
    <row r="11" spans="1:4" x14ac:dyDescent="0.25">
      <c r="A11">
        <v>2018</v>
      </c>
      <c r="B11" t="s">
        <v>28</v>
      </c>
      <c r="C11" s="9">
        <v>0.22398999999999999</v>
      </c>
      <c r="D11" cm="1">
        <f t="array" ref="D11">C11/_xlfn._xlws.FILTER(Planilha9!$D$2:$D$8,(Planilha9!$A$2:$A$8)=A11)</f>
        <v>0.21212236795949302</v>
      </c>
    </row>
    <row r="12" spans="1:4" x14ac:dyDescent="0.25">
      <c r="A12">
        <v>2018</v>
      </c>
      <c r="B12" t="s">
        <v>30</v>
      </c>
      <c r="C12" s="9">
        <v>0</v>
      </c>
      <c r="D12" cm="1">
        <f t="array" ref="D12">C12/_xlfn._xlws.FILTER(Planilha9!$D$2:$D$8,(Planilha9!$A$2:$A$8)=A12)</f>
        <v>0</v>
      </c>
    </row>
    <row r="13" spans="1:4" x14ac:dyDescent="0.25">
      <c r="A13">
        <v>2018</v>
      </c>
      <c r="B13" t="s">
        <v>29</v>
      </c>
      <c r="C13" s="9">
        <v>0</v>
      </c>
      <c r="D13" cm="1">
        <f t="array" ref="D13">C13/_xlfn._xlws.FILTER(Planilha9!$D$2:$D$8,(Planilha9!$A$2:$A$8)=A13)</f>
        <v>0</v>
      </c>
    </row>
    <row r="14" spans="1:4" x14ac:dyDescent="0.25">
      <c r="A14">
        <v>2019</v>
      </c>
      <c r="B14" t="s">
        <v>28</v>
      </c>
      <c r="C14" s="8">
        <v>2.5093800000000002</v>
      </c>
      <c r="D14" cm="1">
        <f t="array" ref="D14">C14/_xlfn._xlws.FILTER(Planilha9!$D$2:$D$8,(Planilha9!$A$2:$A$8)=A14)</f>
        <v>2.3341436659638068</v>
      </c>
    </row>
    <row r="15" spans="1:4" x14ac:dyDescent="0.25">
      <c r="A15">
        <v>2019</v>
      </c>
      <c r="B15" t="s">
        <v>30</v>
      </c>
      <c r="C15" s="8">
        <v>0</v>
      </c>
      <c r="D15" cm="1">
        <f t="array" ref="D15">C15/_xlfn._xlws.FILTER(Planilha9!$D$2:$D$8,(Planilha9!$A$2:$A$8)=A15)</f>
        <v>0</v>
      </c>
    </row>
    <row r="16" spans="1:4" x14ac:dyDescent="0.25">
      <c r="A16">
        <v>2019</v>
      </c>
      <c r="B16" t="s">
        <v>29</v>
      </c>
      <c r="C16" s="8">
        <v>0</v>
      </c>
      <c r="D16" cm="1">
        <f t="array" ref="D16">C16/_xlfn._xlws.FILTER(Planilha9!$D$2:$D$8,(Planilha9!$A$2:$A$8)=A16)</f>
        <v>0</v>
      </c>
    </row>
    <row r="17" spans="1:4" x14ac:dyDescent="0.25">
      <c r="A17">
        <v>2020</v>
      </c>
      <c r="B17" t="s">
        <v>28</v>
      </c>
      <c r="C17" s="9">
        <v>4.6318099999999998</v>
      </c>
      <c r="D17" cm="1">
        <f t="array" ref="D17">C17/_xlfn._xlws.FILTER(Planilha9!$D$2:$D$8,(Planilha9!$A$2:$A$8)=A17)</f>
        <v>4.2662899168277999</v>
      </c>
    </row>
    <row r="18" spans="1:4" x14ac:dyDescent="0.25">
      <c r="A18">
        <v>2020</v>
      </c>
      <c r="B18" t="s">
        <v>30</v>
      </c>
      <c r="C18" s="9">
        <v>0.22889000000000001</v>
      </c>
      <c r="D18" cm="1">
        <f t="array" ref="D18">C18/_xlfn._xlws.FILTER(Planilha9!$D$2:$D$8,(Planilha9!$A$2:$A$8)=A18)</f>
        <v>0.21082710626358059</v>
      </c>
    </row>
    <row r="19" spans="1:4" x14ac:dyDescent="0.25">
      <c r="A19">
        <v>2020</v>
      </c>
      <c r="B19" t="s">
        <v>29</v>
      </c>
      <c r="C19" s="9">
        <v>0.44314999999999999</v>
      </c>
      <c r="D19" cm="1">
        <f t="array" ref="D19">C19/_xlfn._xlws.FILTER(Planilha9!$D$2:$D$8,(Planilha9!$A$2:$A$8)=A19)</f>
        <v>0.40817874149462946</v>
      </c>
    </row>
    <row r="20" spans="1:4" x14ac:dyDescent="0.25">
      <c r="A20">
        <v>2021</v>
      </c>
      <c r="B20" t="s">
        <v>28</v>
      </c>
      <c r="C20" s="8">
        <v>7.1121999999999996</v>
      </c>
      <c r="D20" cm="1">
        <f t="array" ref="D20">C20/_xlfn._xlws.FILTER(Planilha9!$D$2:$D$8,(Planilha9!$A$2:$A$8)=A20)</f>
        <v>6.2173491822434181</v>
      </c>
    </row>
    <row r="21" spans="1:4" x14ac:dyDescent="0.25">
      <c r="A21">
        <v>2021</v>
      </c>
      <c r="B21" t="s">
        <v>30</v>
      </c>
      <c r="C21" s="8">
        <v>0</v>
      </c>
      <c r="D21" cm="1">
        <f t="array" ref="D21">C21/_xlfn._xlws.FILTER(Planilha9!$D$2:$D$8,(Planilha9!$A$2:$A$8)=A21)</f>
        <v>0</v>
      </c>
    </row>
    <row r="22" spans="1:4" x14ac:dyDescent="0.25">
      <c r="A22">
        <v>2021</v>
      </c>
      <c r="B22" t="s">
        <v>29</v>
      </c>
      <c r="C22" s="8">
        <v>1</v>
      </c>
      <c r="D22" cm="1">
        <f t="array" ref="D22">C22/_xlfn._xlws.FILTER(Planilha9!$D$2:$D$8,(Planilha9!$A$2:$A$8)=A22)</f>
        <v>0.87418086980729137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461B-394E-4364-94AC-4FF511096A55}">
  <dimension ref="A1:D99"/>
  <sheetViews>
    <sheetView topLeftCell="A45" workbookViewId="0">
      <selection activeCell="D2" sqref="D2:D99"/>
    </sheetView>
  </sheetViews>
  <sheetFormatPr defaultRowHeight="15" x14ac:dyDescent="0.25"/>
  <sheetData>
    <row r="1" spans="1:4" x14ac:dyDescent="0.25">
      <c r="A1" t="s">
        <v>1</v>
      </c>
      <c r="B1" t="s">
        <v>19</v>
      </c>
      <c r="C1" t="s">
        <v>20</v>
      </c>
      <c r="D1" t="s">
        <v>48</v>
      </c>
    </row>
    <row r="2" spans="1:4" x14ac:dyDescent="0.25">
      <c r="A2">
        <v>2015</v>
      </c>
      <c r="B2" s="3" t="s">
        <v>31</v>
      </c>
      <c r="C2" s="8">
        <v>0</v>
      </c>
      <c r="D2" cm="1">
        <f t="array" ref="D2">C2/_xlfn._xlws.FILTER(Planilha9!$D$2:$D$8,(Planilha9!$A$2:$A$8)=A2)</f>
        <v>0</v>
      </c>
    </row>
    <row r="3" spans="1:4" x14ac:dyDescent="0.25">
      <c r="A3">
        <v>2015</v>
      </c>
      <c r="B3" s="3" t="s">
        <v>32</v>
      </c>
      <c r="C3" s="8">
        <v>0</v>
      </c>
      <c r="D3" cm="1">
        <f t="array" ref="D3">C3/_xlfn._xlws.FILTER(Planilha9!$D$2:$D$8,(Planilha9!$A$2:$A$8)=A3)</f>
        <v>0</v>
      </c>
    </row>
    <row r="4" spans="1:4" x14ac:dyDescent="0.25">
      <c r="A4">
        <v>2015</v>
      </c>
      <c r="B4" s="3" t="s">
        <v>33</v>
      </c>
      <c r="C4" s="8">
        <v>0</v>
      </c>
      <c r="D4" cm="1">
        <f t="array" ref="D4">C4/_xlfn._xlws.FILTER(Planilha9!$D$2:$D$8,(Planilha9!$A$2:$A$8)=A4)</f>
        <v>0</v>
      </c>
    </row>
    <row r="5" spans="1:4" x14ac:dyDescent="0.25">
      <c r="A5">
        <v>2015</v>
      </c>
      <c r="B5" s="3" t="s">
        <v>3</v>
      </c>
      <c r="C5" s="8">
        <v>0</v>
      </c>
      <c r="D5" cm="1">
        <f t="array" ref="D5">C5/_xlfn._xlws.FILTER(Planilha9!$D$2:$D$8,(Planilha9!$A$2:$A$8)=A5)</f>
        <v>0</v>
      </c>
    </row>
    <row r="6" spans="1:4" x14ac:dyDescent="0.25">
      <c r="A6">
        <v>2015</v>
      </c>
      <c r="B6" s="3" t="s">
        <v>34</v>
      </c>
      <c r="C6" s="8">
        <v>0.54944999999999999</v>
      </c>
      <c r="D6" cm="1">
        <f t="array" ref="D6">C6/_xlfn._xlws.FILTER(Planilha9!$D$2:$D$8,(Planilha9!$A$2:$A$8)=A6)</f>
        <v>0.54944999999999999</v>
      </c>
    </row>
    <row r="7" spans="1:4" x14ac:dyDescent="0.25">
      <c r="A7">
        <v>2015</v>
      </c>
      <c r="B7" s="3" t="s">
        <v>35</v>
      </c>
      <c r="C7" s="8">
        <v>0</v>
      </c>
      <c r="D7" cm="1">
        <f t="array" ref="D7">C7/_xlfn._xlws.FILTER(Planilha9!$D$2:$D$8,(Planilha9!$A$2:$A$8)=A7)</f>
        <v>0</v>
      </c>
    </row>
    <row r="8" spans="1:4" x14ac:dyDescent="0.25">
      <c r="A8">
        <v>2015</v>
      </c>
      <c r="B8" s="3" t="s">
        <v>36</v>
      </c>
      <c r="C8" s="8">
        <v>0</v>
      </c>
      <c r="D8" cm="1">
        <f t="array" ref="D8">C8/_xlfn._xlws.FILTER(Planilha9!$D$2:$D$8,(Planilha9!$A$2:$A$8)=A8)</f>
        <v>0</v>
      </c>
    </row>
    <row r="9" spans="1:4" x14ac:dyDescent="0.25">
      <c r="A9">
        <v>2015</v>
      </c>
      <c r="B9" s="3" t="s">
        <v>37</v>
      </c>
      <c r="C9" s="8">
        <v>0</v>
      </c>
      <c r="D9" cm="1">
        <f t="array" ref="D9">C9/_xlfn._xlws.FILTER(Planilha9!$D$2:$D$8,(Planilha9!$A$2:$A$8)=A9)</f>
        <v>0</v>
      </c>
    </row>
    <row r="10" spans="1:4" x14ac:dyDescent="0.25">
      <c r="A10">
        <v>2015</v>
      </c>
      <c r="B10" s="3" t="s">
        <v>38</v>
      </c>
      <c r="C10" s="8">
        <v>0</v>
      </c>
      <c r="D10" cm="1">
        <f t="array" ref="D10">C10/_xlfn._xlws.FILTER(Planilha9!$D$2:$D$8,(Planilha9!$A$2:$A$8)=A10)</f>
        <v>0</v>
      </c>
    </row>
    <row r="11" spans="1:4" x14ac:dyDescent="0.25">
      <c r="A11">
        <v>2015</v>
      </c>
      <c r="B11" s="3" t="s">
        <v>39</v>
      </c>
      <c r="C11" s="8">
        <v>0</v>
      </c>
      <c r="D11" cm="1">
        <f t="array" ref="D11">C11/_xlfn._xlws.FILTER(Planilha9!$D$2:$D$8,(Planilha9!$A$2:$A$8)=A11)</f>
        <v>0</v>
      </c>
    </row>
    <row r="12" spans="1:4" x14ac:dyDescent="0.25">
      <c r="A12">
        <v>2015</v>
      </c>
      <c r="B12" s="3" t="s">
        <v>40</v>
      </c>
      <c r="C12" s="8">
        <v>0</v>
      </c>
      <c r="D12" cm="1">
        <f t="array" ref="D12">C12/_xlfn._xlws.FILTER(Planilha9!$D$2:$D$8,(Planilha9!$A$2:$A$8)=A12)</f>
        <v>0</v>
      </c>
    </row>
    <row r="13" spans="1:4" x14ac:dyDescent="0.25">
      <c r="A13">
        <v>2015</v>
      </c>
      <c r="B13" s="3" t="s">
        <v>41</v>
      </c>
      <c r="C13" s="8">
        <v>0</v>
      </c>
      <c r="D13" cm="1">
        <f t="array" ref="D13">C13/_xlfn._xlws.FILTER(Planilha9!$D$2:$D$8,(Planilha9!$A$2:$A$8)=A13)</f>
        <v>0</v>
      </c>
    </row>
    <row r="14" spans="1:4" x14ac:dyDescent="0.25">
      <c r="A14">
        <v>2015</v>
      </c>
      <c r="B14" s="3" t="s">
        <v>42</v>
      </c>
      <c r="C14" s="8">
        <v>0</v>
      </c>
      <c r="D14" cm="1">
        <f t="array" ref="D14">C14/_xlfn._xlws.FILTER(Planilha9!$D$2:$D$8,(Planilha9!$A$2:$A$8)=A14)</f>
        <v>0</v>
      </c>
    </row>
    <row r="15" spans="1:4" x14ac:dyDescent="0.25">
      <c r="A15">
        <v>2015</v>
      </c>
      <c r="B15" s="4" t="s">
        <v>43</v>
      </c>
      <c r="C15" s="10">
        <v>0</v>
      </c>
      <c r="D15" cm="1">
        <f t="array" ref="D15">C15/_xlfn._xlws.FILTER(Planilha9!$D$2:$D$8,(Planilha9!$A$2:$A$8)=A15)</f>
        <v>0</v>
      </c>
    </row>
    <row r="16" spans="1:4" x14ac:dyDescent="0.25">
      <c r="A16">
        <v>2016</v>
      </c>
      <c r="B16" s="3" t="s">
        <v>31</v>
      </c>
      <c r="C16" s="9">
        <v>0</v>
      </c>
      <c r="D16" cm="1">
        <f t="array" ref="D16">C16/_xlfn._xlws.FILTER(Planilha9!$D$2:$D$8,(Planilha9!$A$2:$A$8)=A16)</f>
        <v>0</v>
      </c>
    </row>
    <row r="17" spans="1:4" x14ac:dyDescent="0.25">
      <c r="A17">
        <v>2016</v>
      </c>
      <c r="B17" s="3" t="s">
        <v>32</v>
      </c>
      <c r="C17" s="9">
        <v>0</v>
      </c>
      <c r="D17" cm="1">
        <f t="array" ref="D17">C17/_xlfn._xlws.FILTER(Planilha9!$D$2:$D$8,(Planilha9!$A$2:$A$8)=A17)</f>
        <v>0</v>
      </c>
    </row>
    <row r="18" spans="1:4" x14ac:dyDescent="0.25">
      <c r="A18">
        <v>2016</v>
      </c>
      <c r="B18" s="3" t="s">
        <v>33</v>
      </c>
      <c r="C18" s="9">
        <v>0</v>
      </c>
      <c r="D18" cm="1">
        <f t="array" ref="D18">C18/_xlfn._xlws.FILTER(Planilha9!$D$2:$D$8,(Planilha9!$A$2:$A$8)=A18)</f>
        <v>0</v>
      </c>
    </row>
    <row r="19" spans="1:4" x14ac:dyDescent="0.25">
      <c r="A19">
        <v>2016</v>
      </c>
      <c r="B19" s="3" t="s">
        <v>3</v>
      </c>
      <c r="C19" s="9">
        <v>0</v>
      </c>
      <c r="D19" cm="1">
        <f t="array" ref="D19">C19/_xlfn._xlws.FILTER(Planilha9!$D$2:$D$8,(Planilha9!$A$2:$A$8)=A19)</f>
        <v>0</v>
      </c>
    </row>
    <row r="20" spans="1:4" x14ac:dyDescent="0.25">
      <c r="A20">
        <v>2016</v>
      </c>
      <c r="B20" s="3" t="s">
        <v>34</v>
      </c>
      <c r="C20" s="9">
        <v>0</v>
      </c>
      <c r="D20" cm="1">
        <f t="array" ref="D20">C20/_xlfn._xlws.FILTER(Planilha9!$D$2:$D$8,(Planilha9!$A$2:$A$8)=A20)</f>
        <v>0</v>
      </c>
    </row>
    <row r="21" spans="1:4" x14ac:dyDescent="0.25">
      <c r="A21">
        <v>2016</v>
      </c>
      <c r="B21" s="3" t="s">
        <v>35</v>
      </c>
      <c r="C21" s="9">
        <v>0</v>
      </c>
      <c r="D21" cm="1">
        <f t="array" ref="D21">C21/_xlfn._xlws.FILTER(Planilha9!$D$2:$D$8,(Planilha9!$A$2:$A$8)=A21)</f>
        <v>0</v>
      </c>
    </row>
    <row r="22" spans="1:4" x14ac:dyDescent="0.25">
      <c r="A22">
        <v>2016</v>
      </c>
      <c r="B22" s="3" t="s">
        <v>36</v>
      </c>
      <c r="C22" s="9">
        <v>6.1600000000000002E-2</v>
      </c>
      <c r="D22" cm="1">
        <f t="array" ref="D22">C22/_xlfn._xlws.FILTER(Planilha9!$D$2:$D$8,(Planilha9!$A$2:$A$8)=A22)</f>
        <v>6.1089838643324047E-2</v>
      </c>
    </row>
    <row r="23" spans="1:4" x14ac:dyDescent="0.25">
      <c r="A23">
        <v>2016</v>
      </c>
      <c r="B23" s="3" t="s">
        <v>37</v>
      </c>
      <c r="C23" s="9">
        <v>0.99177000000000004</v>
      </c>
      <c r="D23" cm="1">
        <f t="array" ref="D23">C23/_xlfn._xlws.FILTER(Planilha9!$D$2:$D$8,(Planilha9!$A$2:$A$8)=A23)</f>
        <v>0.98355631933911503</v>
      </c>
    </row>
    <row r="24" spans="1:4" x14ac:dyDescent="0.25">
      <c r="A24">
        <v>2016</v>
      </c>
      <c r="B24" s="3" t="s">
        <v>38</v>
      </c>
      <c r="C24" s="9">
        <v>0</v>
      </c>
      <c r="D24" cm="1">
        <f t="array" ref="D24">C24/_xlfn._xlws.FILTER(Planilha9!$D$2:$D$8,(Planilha9!$A$2:$A$8)=A24)</f>
        <v>0</v>
      </c>
    </row>
    <row r="25" spans="1:4" x14ac:dyDescent="0.25">
      <c r="A25">
        <v>2016</v>
      </c>
      <c r="B25" s="3" t="s">
        <v>39</v>
      </c>
      <c r="C25" s="9">
        <v>0</v>
      </c>
      <c r="D25" cm="1">
        <f t="array" ref="D25">C25/_xlfn._xlws.FILTER(Planilha9!$D$2:$D$8,(Planilha9!$A$2:$A$8)=A25)</f>
        <v>0</v>
      </c>
    </row>
    <row r="26" spans="1:4" x14ac:dyDescent="0.25">
      <c r="A26">
        <v>2016</v>
      </c>
      <c r="B26" s="3" t="s">
        <v>40</v>
      </c>
      <c r="C26" s="9">
        <v>0</v>
      </c>
      <c r="D26" cm="1">
        <f t="array" ref="D26">C26/_xlfn._xlws.FILTER(Planilha9!$D$2:$D$8,(Planilha9!$A$2:$A$8)=A26)</f>
        <v>0</v>
      </c>
    </row>
    <row r="27" spans="1:4" x14ac:dyDescent="0.25">
      <c r="A27">
        <v>2016</v>
      </c>
      <c r="B27" s="3" t="s">
        <v>41</v>
      </c>
      <c r="C27" s="9">
        <v>0</v>
      </c>
      <c r="D27" cm="1">
        <f t="array" ref="D27">C27/_xlfn._xlws.FILTER(Planilha9!$D$2:$D$8,(Planilha9!$A$2:$A$8)=A27)</f>
        <v>0</v>
      </c>
    </row>
    <row r="28" spans="1:4" x14ac:dyDescent="0.25">
      <c r="A28">
        <v>2016</v>
      </c>
      <c r="B28" s="3" t="s">
        <v>42</v>
      </c>
      <c r="C28" s="9">
        <v>0</v>
      </c>
      <c r="D28" cm="1">
        <f t="array" ref="D28">C28/_xlfn._xlws.FILTER(Planilha9!$D$2:$D$8,(Planilha9!$A$2:$A$8)=A28)</f>
        <v>0</v>
      </c>
    </row>
    <row r="29" spans="1:4" x14ac:dyDescent="0.25">
      <c r="A29">
        <v>2016</v>
      </c>
      <c r="B29" s="4" t="s">
        <v>43</v>
      </c>
      <c r="C29" s="11">
        <v>0</v>
      </c>
      <c r="D29" cm="1">
        <f t="array" ref="D29">C29/_xlfn._xlws.FILTER(Planilha9!$D$2:$D$8,(Planilha9!$A$2:$A$8)=A29)</f>
        <v>0</v>
      </c>
    </row>
    <row r="30" spans="1:4" x14ac:dyDescent="0.25">
      <c r="A30">
        <v>2017</v>
      </c>
      <c r="B30" s="3" t="s">
        <v>31</v>
      </c>
      <c r="C30" s="8">
        <v>0</v>
      </c>
      <c r="D30" cm="1">
        <f t="array" ref="D30">C30/_xlfn._xlws.FILTER(Planilha9!$D$2:$D$8,(Planilha9!$A$2:$A$8)=A30)</f>
        <v>0</v>
      </c>
    </row>
    <row r="31" spans="1:4" x14ac:dyDescent="0.25">
      <c r="A31">
        <v>2017</v>
      </c>
      <c r="B31" s="3" t="s">
        <v>32</v>
      </c>
      <c r="C31" s="8">
        <v>0</v>
      </c>
      <c r="D31" cm="1">
        <f t="array" ref="D31">C31/_xlfn._xlws.FILTER(Planilha9!$D$2:$D$8,(Planilha9!$A$2:$A$8)=A31)</f>
        <v>0</v>
      </c>
    </row>
    <row r="32" spans="1:4" x14ac:dyDescent="0.25">
      <c r="A32">
        <v>2017</v>
      </c>
      <c r="B32" s="3" t="s">
        <v>33</v>
      </c>
      <c r="C32" s="8">
        <v>0</v>
      </c>
      <c r="D32" cm="1">
        <f t="array" ref="D32">C32/_xlfn._xlws.FILTER(Planilha9!$D$2:$D$8,(Planilha9!$A$2:$A$8)=A32)</f>
        <v>0</v>
      </c>
    </row>
    <row r="33" spans="1:4" x14ac:dyDescent="0.25">
      <c r="A33">
        <v>2017</v>
      </c>
      <c r="B33" s="3" t="s">
        <v>3</v>
      </c>
      <c r="C33" s="8">
        <v>0</v>
      </c>
      <c r="D33" cm="1">
        <f t="array" ref="D33">C33/_xlfn._xlws.FILTER(Planilha9!$D$2:$D$8,(Planilha9!$A$2:$A$8)=A33)</f>
        <v>0</v>
      </c>
    </row>
    <row r="34" spans="1:4" x14ac:dyDescent="0.25">
      <c r="A34">
        <v>2017</v>
      </c>
      <c r="B34" s="3" t="s">
        <v>34</v>
      </c>
      <c r="C34" s="8">
        <v>0</v>
      </c>
      <c r="D34" cm="1">
        <f t="array" ref="D34">C34/_xlfn._xlws.FILTER(Planilha9!$D$2:$D$8,(Planilha9!$A$2:$A$8)=A34)</f>
        <v>0</v>
      </c>
    </row>
    <row r="35" spans="1:4" x14ac:dyDescent="0.25">
      <c r="A35">
        <v>2017</v>
      </c>
      <c r="B35" s="3" t="s">
        <v>35</v>
      </c>
      <c r="C35" s="8">
        <v>0</v>
      </c>
      <c r="D35" cm="1">
        <f t="array" ref="D35">C35/_xlfn._xlws.FILTER(Planilha9!$D$2:$D$8,(Planilha9!$A$2:$A$8)=A35)</f>
        <v>0</v>
      </c>
    </row>
    <row r="36" spans="1:4" x14ac:dyDescent="0.25">
      <c r="A36">
        <v>2017</v>
      </c>
      <c r="B36" s="3" t="s">
        <v>36</v>
      </c>
      <c r="C36" s="8">
        <v>1.13826</v>
      </c>
      <c r="D36" cm="1">
        <f t="array" ref="D36">C36/_xlfn._xlws.FILTER(Planilha9!$D$2:$D$8,(Planilha9!$A$2:$A$8)=A36)</f>
        <v>1.1097460722426935</v>
      </c>
    </row>
    <row r="37" spans="1:4" x14ac:dyDescent="0.25">
      <c r="A37">
        <v>2017</v>
      </c>
      <c r="B37" s="3" t="s">
        <v>37</v>
      </c>
      <c r="C37" s="8">
        <v>1.2</v>
      </c>
      <c r="D37" cm="1">
        <f t="array" ref="D37">C37/_xlfn._xlws.FILTER(Planilha9!$D$2:$D$8,(Planilha9!$A$2:$A$8)=A37)</f>
        <v>1.1699394573219055</v>
      </c>
    </row>
    <row r="38" spans="1:4" x14ac:dyDescent="0.25">
      <c r="A38">
        <v>2017</v>
      </c>
      <c r="B38" s="3" t="s">
        <v>38</v>
      </c>
      <c r="C38" s="8">
        <v>0</v>
      </c>
      <c r="D38" cm="1">
        <f t="array" ref="D38">C38/_xlfn._xlws.FILTER(Planilha9!$D$2:$D$8,(Planilha9!$A$2:$A$8)=A38)</f>
        <v>0</v>
      </c>
    </row>
    <row r="39" spans="1:4" x14ac:dyDescent="0.25">
      <c r="A39">
        <v>2017</v>
      </c>
      <c r="B39" s="3" t="s">
        <v>39</v>
      </c>
      <c r="C39" s="8">
        <v>0</v>
      </c>
      <c r="D39" cm="1">
        <f t="array" ref="D39">C39/_xlfn._xlws.FILTER(Planilha9!$D$2:$D$8,(Planilha9!$A$2:$A$8)=A39)</f>
        <v>0</v>
      </c>
    </row>
    <row r="40" spans="1:4" x14ac:dyDescent="0.25">
      <c r="A40">
        <v>2017</v>
      </c>
      <c r="B40" s="3" t="s">
        <v>40</v>
      </c>
      <c r="C40" s="8">
        <v>0</v>
      </c>
      <c r="D40" cm="1">
        <f t="array" ref="D40">C40/_xlfn._xlws.FILTER(Planilha9!$D$2:$D$8,(Planilha9!$A$2:$A$8)=A40)</f>
        <v>0</v>
      </c>
    </row>
    <row r="41" spans="1:4" x14ac:dyDescent="0.25">
      <c r="A41">
        <v>2017</v>
      </c>
      <c r="B41" s="3" t="s">
        <v>41</v>
      </c>
      <c r="C41" s="8">
        <v>0</v>
      </c>
      <c r="D41" cm="1">
        <f t="array" ref="D41">C41/_xlfn._xlws.FILTER(Planilha9!$D$2:$D$8,(Planilha9!$A$2:$A$8)=A41)</f>
        <v>0</v>
      </c>
    </row>
    <row r="42" spans="1:4" x14ac:dyDescent="0.25">
      <c r="A42">
        <v>2017</v>
      </c>
      <c r="B42" s="3" t="s">
        <v>42</v>
      </c>
      <c r="C42" s="8">
        <v>0</v>
      </c>
      <c r="D42" cm="1">
        <f t="array" ref="D42">C42/_xlfn._xlws.FILTER(Planilha9!$D$2:$D$8,(Planilha9!$A$2:$A$8)=A42)</f>
        <v>0</v>
      </c>
    </row>
    <row r="43" spans="1:4" x14ac:dyDescent="0.25">
      <c r="A43">
        <v>2017</v>
      </c>
      <c r="B43" s="4" t="s">
        <v>43</v>
      </c>
      <c r="C43" s="10">
        <v>0</v>
      </c>
      <c r="D43" cm="1">
        <f t="array" ref="D43">C43/_xlfn._xlws.FILTER(Planilha9!$D$2:$D$8,(Planilha9!$A$2:$A$8)=A43)</f>
        <v>0</v>
      </c>
    </row>
    <row r="44" spans="1:4" x14ac:dyDescent="0.25">
      <c r="A44">
        <v>2018</v>
      </c>
      <c r="B44" s="3" t="s">
        <v>31</v>
      </c>
      <c r="C44" s="9">
        <v>0</v>
      </c>
      <c r="D44" cm="1">
        <f t="array" ref="D44">C44/_xlfn._xlws.FILTER(Planilha9!$D$2:$D$8,(Planilha9!$A$2:$A$8)=A44)</f>
        <v>0</v>
      </c>
    </row>
    <row r="45" spans="1:4" x14ac:dyDescent="0.25">
      <c r="A45">
        <v>2018</v>
      </c>
      <c r="B45" s="3" t="s">
        <v>32</v>
      </c>
      <c r="C45" s="9">
        <v>0</v>
      </c>
      <c r="D45" cm="1">
        <f t="array" ref="D45">C45/_xlfn._xlws.FILTER(Planilha9!$D$2:$D$8,(Planilha9!$A$2:$A$8)=A45)</f>
        <v>0</v>
      </c>
    </row>
    <row r="46" spans="1:4" x14ac:dyDescent="0.25">
      <c r="A46">
        <v>2018</v>
      </c>
      <c r="B46" s="3" t="s">
        <v>33</v>
      </c>
      <c r="C46" s="9">
        <v>0</v>
      </c>
      <c r="D46" cm="1">
        <f t="array" ref="D46">C46/_xlfn._xlws.FILTER(Planilha9!$D$2:$D$8,(Planilha9!$A$2:$A$8)=A46)</f>
        <v>0</v>
      </c>
    </row>
    <row r="47" spans="1:4" x14ac:dyDescent="0.25">
      <c r="A47">
        <v>2018</v>
      </c>
      <c r="B47" s="3" t="s">
        <v>3</v>
      </c>
      <c r="C47" s="9">
        <v>0</v>
      </c>
      <c r="D47" cm="1">
        <f t="array" ref="D47">C47/_xlfn._xlws.FILTER(Planilha9!$D$2:$D$8,(Planilha9!$A$2:$A$8)=A47)</f>
        <v>0</v>
      </c>
    </row>
    <row r="48" spans="1:4" x14ac:dyDescent="0.25">
      <c r="A48">
        <v>2018</v>
      </c>
      <c r="B48" s="3" t="s">
        <v>34</v>
      </c>
      <c r="C48" s="9">
        <v>0</v>
      </c>
      <c r="D48" cm="1">
        <f t="array" ref="D48">C48/_xlfn._xlws.FILTER(Planilha9!$D$2:$D$8,(Planilha9!$A$2:$A$8)=A48)</f>
        <v>0</v>
      </c>
    </row>
    <row r="49" spans="1:4" x14ac:dyDescent="0.25">
      <c r="A49">
        <v>2018</v>
      </c>
      <c r="B49" s="3" t="s">
        <v>35</v>
      </c>
      <c r="C49" s="9">
        <v>0</v>
      </c>
      <c r="D49" cm="1">
        <f t="array" ref="D49">C49/_xlfn._xlws.FILTER(Planilha9!$D$2:$D$8,(Planilha9!$A$2:$A$8)=A49)</f>
        <v>0</v>
      </c>
    </row>
    <row r="50" spans="1:4" x14ac:dyDescent="0.25">
      <c r="A50">
        <v>2018</v>
      </c>
      <c r="B50" s="3" t="s">
        <v>36</v>
      </c>
      <c r="C50" s="9">
        <v>4.1200000000000001E-2</v>
      </c>
      <c r="D50" cm="1">
        <f t="array" ref="D50">C50/_xlfn._xlws.FILTER(Planilha9!$D$2:$D$8,(Planilha9!$A$2:$A$8)=A50)</f>
        <v>3.9017105941922016E-2</v>
      </c>
    </row>
    <row r="51" spans="1:4" x14ac:dyDescent="0.25">
      <c r="A51">
        <v>2018</v>
      </c>
      <c r="B51" s="3" t="s">
        <v>37</v>
      </c>
      <c r="C51" s="9">
        <v>0</v>
      </c>
      <c r="D51" cm="1">
        <f t="array" ref="D51">C51/_xlfn._xlws.FILTER(Planilha9!$D$2:$D$8,(Planilha9!$A$2:$A$8)=A51)</f>
        <v>0</v>
      </c>
    </row>
    <row r="52" spans="1:4" x14ac:dyDescent="0.25">
      <c r="A52">
        <v>2018</v>
      </c>
      <c r="B52" s="3" t="s">
        <v>38</v>
      </c>
      <c r="C52" s="9">
        <v>1.5100000000000001E-3</v>
      </c>
      <c r="D52" cm="1">
        <f t="array" ref="D52">C52/_xlfn._xlws.FILTER(Planilha9!$D$2:$D$8,(Planilha9!$A$2:$A$8)=A52)</f>
        <v>1.4299958731141323E-3</v>
      </c>
    </row>
    <row r="53" spans="1:4" x14ac:dyDescent="0.25">
      <c r="A53">
        <v>2018</v>
      </c>
      <c r="B53" s="3" t="s">
        <v>39</v>
      </c>
      <c r="C53" s="9">
        <v>0</v>
      </c>
      <c r="D53" cm="1">
        <f t="array" ref="D53">C53/_xlfn._xlws.FILTER(Planilha9!$D$2:$D$8,(Planilha9!$A$2:$A$8)=A53)</f>
        <v>0</v>
      </c>
    </row>
    <row r="54" spans="1:4" x14ac:dyDescent="0.25">
      <c r="A54">
        <v>2018</v>
      </c>
      <c r="B54" s="3" t="s">
        <v>40</v>
      </c>
      <c r="C54" s="9">
        <v>0</v>
      </c>
      <c r="D54" cm="1">
        <f t="array" ref="D54">C54/_xlfn._xlws.FILTER(Planilha9!$D$2:$D$8,(Planilha9!$A$2:$A$8)=A54)</f>
        <v>0</v>
      </c>
    </row>
    <row r="55" spans="1:4" x14ac:dyDescent="0.25">
      <c r="A55">
        <v>2018</v>
      </c>
      <c r="B55" s="3" t="s">
        <v>41</v>
      </c>
      <c r="C55" s="9">
        <v>0</v>
      </c>
      <c r="D55" cm="1">
        <f t="array" ref="D55">C55/_xlfn._xlws.FILTER(Planilha9!$D$2:$D$8,(Planilha9!$A$2:$A$8)=A55)</f>
        <v>0</v>
      </c>
    </row>
    <row r="56" spans="1:4" x14ac:dyDescent="0.25">
      <c r="A56">
        <v>2018</v>
      </c>
      <c r="B56" s="3" t="s">
        <v>42</v>
      </c>
      <c r="C56" s="9">
        <v>0.18128</v>
      </c>
      <c r="D56" cm="1">
        <f t="array" ref="D56">C56/_xlfn._xlws.FILTER(Planilha9!$D$2:$D$8,(Planilha9!$A$2:$A$8)=A56)</f>
        <v>0.17167526614445688</v>
      </c>
    </row>
    <row r="57" spans="1:4" x14ac:dyDescent="0.25">
      <c r="A57">
        <v>2018</v>
      </c>
      <c r="B57" s="4" t="s">
        <v>43</v>
      </c>
      <c r="C57" s="11">
        <v>0</v>
      </c>
      <c r="D57" cm="1">
        <f t="array" ref="D57">C57/_xlfn._xlws.FILTER(Planilha9!$D$2:$D$8,(Planilha9!$A$2:$A$8)=A57)</f>
        <v>0</v>
      </c>
    </row>
    <row r="58" spans="1:4" x14ac:dyDescent="0.25">
      <c r="A58">
        <v>2019</v>
      </c>
      <c r="B58" s="3" t="s">
        <v>31</v>
      </c>
      <c r="C58" s="8">
        <v>0.5</v>
      </c>
      <c r="D58" cm="1">
        <f t="array" ref="D58">C58/_xlfn._xlws.FILTER(Planilha9!$D$2:$D$8,(Planilha9!$A$2:$A$8)=A58)</f>
        <v>0.46508373900401828</v>
      </c>
    </row>
    <row r="59" spans="1:4" x14ac:dyDescent="0.25">
      <c r="A59">
        <v>2019</v>
      </c>
      <c r="B59" s="3" t="s">
        <v>32</v>
      </c>
      <c r="C59" s="8">
        <v>9.6399999999999993E-3</v>
      </c>
      <c r="D59" cm="1">
        <f t="array" ref="D59">C59/_xlfn._xlws.FILTER(Planilha9!$D$2:$D$8,(Planilha9!$A$2:$A$8)=A59)</f>
        <v>8.9668144879974723E-3</v>
      </c>
    </row>
    <row r="60" spans="1:4" x14ac:dyDescent="0.25">
      <c r="A60">
        <v>2019</v>
      </c>
      <c r="B60" s="3" t="s">
        <v>33</v>
      </c>
      <c r="C60" s="8">
        <v>0</v>
      </c>
      <c r="D60" cm="1">
        <f t="array" ref="D60">C60/_xlfn._xlws.FILTER(Planilha9!$D$2:$D$8,(Planilha9!$A$2:$A$8)=A60)</f>
        <v>0</v>
      </c>
    </row>
    <row r="61" spans="1:4" x14ac:dyDescent="0.25">
      <c r="A61">
        <v>2019</v>
      </c>
      <c r="B61" s="3" t="s">
        <v>3</v>
      </c>
      <c r="C61" s="8">
        <v>0.26861000000000002</v>
      </c>
      <c r="D61" cm="1">
        <f t="array" ref="D61">C61/_xlfn._xlws.FILTER(Planilha9!$D$2:$D$8,(Planilha9!$A$2:$A$8)=A61)</f>
        <v>0.24985228626773873</v>
      </c>
    </row>
    <row r="62" spans="1:4" x14ac:dyDescent="0.25">
      <c r="A62">
        <v>2019</v>
      </c>
      <c r="B62" s="3" t="s">
        <v>34</v>
      </c>
      <c r="C62" s="8">
        <v>5.28E-3</v>
      </c>
      <c r="D62" cm="1">
        <f t="array" ref="D62">C62/_xlfn._xlws.FILTER(Planilha9!$D$2:$D$8,(Planilha9!$A$2:$A$8)=A62)</f>
        <v>4.9112842838824333E-3</v>
      </c>
    </row>
    <row r="63" spans="1:4" x14ac:dyDescent="0.25">
      <c r="A63">
        <v>2019</v>
      </c>
      <c r="B63" s="3" t="s">
        <v>35</v>
      </c>
      <c r="C63" s="8">
        <v>0.5736</v>
      </c>
      <c r="D63" cm="1">
        <f t="array" ref="D63">C63/_xlfn._xlws.FILTER(Planilha9!$D$2:$D$8,(Planilha9!$A$2:$A$8)=A63)</f>
        <v>0.53354406538540977</v>
      </c>
    </row>
    <row r="64" spans="1:4" x14ac:dyDescent="0.25">
      <c r="A64">
        <v>2019</v>
      </c>
      <c r="B64" s="3" t="s">
        <v>36</v>
      </c>
      <c r="C64" s="8">
        <v>0</v>
      </c>
      <c r="D64" cm="1">
        <f t="array" ref="D64">C64/_xlfn._xlws.FILTER(Planilha9!$D$2:$D$8,(Planilha9!$A$2:$A$8)=A64)</f>
        <v>0</v>
      </c>
    </row>
    <row r="65" spans="1:4" x14ac:dyDescent="0.25">
      <c r="A65">
        <v>2019</v>
      </c>
      <c r="B65" s="3" t="s">
        <v>37</v>
      </c>
      <c r="C65" s="8">
        <v>0.64466999999999997</v>
      </c>
      <c r="D65" cm="1">
        <f t="array" ref="D65">C65/_xlfn._xlws.FILTER(Planilha9!$D$2:$D$8,(Planilha9!$A$2:$A$8)=A65)</f>
        <v>0.59965106804744095</v>
      </c>
    </row>
    <row r="66" spans="1:4" x14ac:dyDescent="0.25">
      <c r="A66">
        <v>2019</v>
      </c>
      <c r="B66" s="3" t="s">
        <v>38</v>
      </c>
      <c r="C66" s="8">
        <v>0</v>
      </c>
      <c r="D66" cm="1">
        <f t="array" ref="D66">C66/_xlfn._xlws.FILTER(Planilha9!$D$2:$D$8,(Planilha9!$A$2:$A$8)=A66)</f>
        <v>0</v>
      </c>
    </row>
    <row r="67" spans="1:4" x14ac:dyDescent="0.25">
      <c r="A67">
        <v>2019</v>
      </c>
      <c r="B67" s="3" t="s">
        <v>39</v>
      </c>
      <c r="C67" s="8">
        <v>0</v>
      </c>
      <c r="D67" cm="1">
        <f t="array" ref="D67">C67/_xlfn._xlws.FILTER(Planilha9!$D$2:$D$8,(Planilha9!$A$2:$A$8)=A67)</f>
        <v>0</v>
      </c>
    </row>
    <row r="68" spans="1:4" x14ac:dyDescent="0.25">
      <c r="A68">
        <v>2019</v>
      </c>
      <c r="B68" s="3" t="s">
        <v>40</v>
      </c>
      <c r="C68" s="8">
        <v>0</v>
      </c>
      <c r="D68" cm="1">
        <f t="array" ref="D68">C68/_xlfn._xlws.FILTER(Planilha9!$D$2:$D$8,(Planilha9!$A$2:$A$8)=A68)</f>
        <v>0</v>
      </c>
    </row>
    <row r="69" spans="1:4" x14ac:dyDescent="0.25">
      <c r="A69">
        <v>2019</v>
      </c>
      <c r="B69" s="3" t="s">
        <v>41</v>
      </c>
      <c r="C69" s="8">
        <v>1.3180000000000001E-2</v>
      </c>
      <c r="D69" cm="1">
        <f t="array" ref="D69">C69/_xlfn._xlws.FILTER(Planilha9!$D$2:$D$8,(Planilha9!$A$2:$A$8)=A69)</f>
        <v>1.2259607360145922E-2</v>
      </c>
    </row>
    <row r="70" spans="1:4" x14ac:dyDescent="0.25">
      <c r="A70">
        <v>2019</v>
      </c>
      <c r="B70" s="3" t="s">
        <v>42</v>
      </c>
      <c r="C70" s="8">
        <v>0.49440000000000001</v>
      </c>
      <c r="D70" cm="1">
        <f t="array" ref="D70">C70/_xlfn._xlws.FILTER(Planilha9!$D$2:$D$8,(Planilha9!$A$2:$A$8)=A70)</f>
        <v>0.45987480112717327</v>
      </c>
    </row>
    <row r="71" spans="1:4" x14ac:dyDescent="0.25">
      <c r="A71">
        <v>2019</v>
      </c>
      <c r="B71" s="4" t="s">
        <v>43</v>
      </c>
      <c r="C71" s="10">
        <v>0</v>
      </c>
      <c r="D71" cm="1">
        <f t="array" ref="D71">C71/_xlfn._xlws.FILTER(Planilha9!$D$2:$D$8,(Planilha9!$A$2:$A$8)=A71)</f>
        <v>0</v>
      </c>
    </row>
    <row r="72" spans="1:4" x14ac:dyDescent="0.25">
      <c r="A72">
        <v>2020</v>
      </c>
      <c r="B72" s="3" t="s">
        <v>31</v>
      </c>
      <c r="C72" s="9">
        <v>0.10503999999999999</v>
      </c>
      <c r="D72" cm="1">
        <f t="array" ref="D72">C72/_xlfn._xlws.FILTER(Planilha9!$D$2:$D$8,(Planilha9!$A$2:$A$8)=A72)</f>
        <v>9.6750750325162754E-2</v>
      </c>
    </row>
    <row r="73" spans="1:4" x14ac:dyDescent="0.25">
      <c r="A73">
        <v>2020</v>
      </c>
      <c r="B73" s="3" t="s">
        <v>32</v>
      </c>
      <c r="C73" s="9">
        <v>0</v>
      </c>
      <c r="D73" cm="1">
        <f t="array" ref="D73">C73/_xlfn._xlws.FILTER(Planilha9!$D$2:$D$8,(Planilha9!$A$2:$A$8)=A73)</f>
        <v>0</v>
      </c>
    </row>
    <row r="74" spans="1:4" x14ac:dyDescent="0.25">
      <c r="A74">
        <v>2020</v>
      </c>
      <c r="B74" s="3" t="s">
        <v>33</v>
      </c>
      <c r="C74" s="9">
        <v>0.79122000000000003</v>
      </c>
      <c r="D74" cm="1">
        <f t="array" ref="D74">C74/_xlfn._xlws.FILTER(Planilha9!$D$2:$D$8,(Planilha9!$A$2:$A$8)=A74)</f>
        <v>0.72878073755022166</v>
      </c>
    </row>
    <row r="75" spans="1:4" x14ac:dyDescent="0.25">
      <c r="A75">
        <v>2020</v>
      </c>
      <c r="B75" s="3" t="s">
        <v>3</v>
      </c>
      <c r="C75" s="9">
        <v>1.48949</v>
      </c>
      <c r="D75" cm="1">
        <f t="array" ref="D75">C75/_xlfn._xlws.FILTER(Planilha9!$D$2:$D$8,(Planilha9!$A$2:$A$8)=A75)</f>
        <v>1.3719466403448846</v>
      </c>
    </row>
    <row r="76" spans="1:4" x14ac:dyDescent="0.25">
      <c r="A76">
        <v>2020</v>
      </c>
      <c r="B76" s="3" t="s">
        <v>34</v>
      </c>
      <c r="C76" s="9">
        <v>0.10521</v>
      </c>
      <c r="D76" cm="1">
        <f t="array" ref="D76">C76/_xlfn._xlws.FILTER(Planilha9!$D$2:$D$8,(Planilha9!$A$2:$A$8)=A76)</f>
        <v>9.6907334745909887E-2</v>
      </c>
    </row>
    <row r="77" spans="1:4" x14ac:dyDescent="0.25">
      <c r="A77">
        <v>2020</v>
      </c>
      <c r="B77" s="3" t="s">
        <v>35</v>
      </c>
      <c r="C77" s="9">
        <v>0.16894000000000001</v>
      </c>
      <c r="D77" cm="1">
        <f t="array" ref="D77">C77/_xlfn._xlws.FILTER(Planilha9!$D$2:$D$8,(Planilha9!$A$2:$A$8)=A77)</f>
        <v>0.15560807082952205</v>
      </c>
    </row>
    <row r="78" spans="1:4" x14ac:dyDescent="0.25">
      <c r="A78">
        <v>2020</v>
      </c>
      <c r="B78" s="3" t="s">
        <v>36</v>
      </c>
      <c r="C78" s="9">
        <v>0.53102000000000005</v>
      </c>
      <c r="D78" cm="1">
        <f t="array" ref="D78">C78/_xlfn._xlws.FILTER(Planilha9!$D$2:$D$8,(Planilha9!$A$2:$A$8)=A78)</f>
        <v>0.48911446532433295</v>
      </c>
    </row>
    <row r="79" spans="1:4" x14ac:dyDescent="0.25">
      <c r="A79">
        <v>2020</v>
      </c>
      <c r="B79" s="3" t="s">
        <v>37</v>
      </c>
      <c r="C79" s="9">
        <v>0.9</v>
      </c>
      <c r="D79" cm="1">
        <f t="array" ref="D79">C79/_xlfn._xlws.FILTER(Planilha9!$D$2:$D$8,(Planilha9!$A$2:$A$8)=A79)</f>
        <v>0.82897634513182106</v>
      </c>
    </row>
    <row r="80" spans="1:4" x14ac:dyDescent="0.25">
      <c r="A80">
        <v>2020</v>
      </c>
      <c r="B80" s="3" t="s">
        <v>38</v>
      </c>
      <c r="C80" s="9">
        <v>0</v>
      </c>
      <c r="D80" cm="1">
        <f t="array" ref="D80">C80/_xlfn._xlws.FILTER(Planilha9!$D$2:$D$8,(Planilha9!$A$2:$A$8)=A80)</f>
        <v>0</v>
      </c>
    </row>
    <row r="81" spans="1:4" x14ac:dyDescent="0.25">
      <c r="A81">
        <v>2020</v>
      </c>
      <c r="B81" s="3" t="s">
        <v>39</v>
      </c>
      <c r="C81" s="9">
        <v>0.10922999999999999</v>
      </c>
      <c r="D81" cm="1">
        <f t="array" ref="D81">C81/_xlfn._xlws.FILTER(Planilha9!$D$2:$D$8,(Planilha9!$A$2:$A$8)=A81)</f>
        <v>0.10061009575416534</v>
      </c>
    </row>
    <row r="82" spans="1:4" x14ac:dyDescent="0.25">
      <c r="A82">
        <v>2020</v>
      </c>
      <c r="B82" s="3" t="s">
        <v>40</v>
      </c>
      <c r="C82" s="9">
        <v>0.1</v>
      </c>
      <c r="D82" cm="1">
        <f t="array" ref="D82">C82/_xlfn._xlws.FILTER(Planilha9!$D$2:$D$8,(Planilha9!$A$2:$A$8)=A82)</f>
        <v>9.2108482792424562E-2</v>
      </c>
    </row>
    <row r="83" spans="1:4" x14ac:dyDescent="0.25">
      <c r="A83">
        <v>2020</v>
      </c>
      <c r="B83" s="3" t="s">
        <v>41</v>
      </c>
      <c r="C83" s="9">
        <v>0.36235000000000001</v>
      </c>
      <c r="D83" cm="1">
        <f t="array" ref="D83">C83/_xlfn._xlws.FILTER(Planilha9!$D$2:$D$8,(Planilha9!$A$2:$A$8)=A83)</f>
        <v>0.33375508739835041</v>
      </c>
    </row>
    <row r="84" spans="1:4" x14ac:dyDescent="0.25">
      <c r="A84">
        <v>2020</v>
      </c>
      <c r="B84" s="3" t="s">
        <v>42</v>
      </c>
      <c r="C84" s="9">
        <v>0.14135</v>
      </c>
      <c r="D84" cm="1">
        <f t="array" ref="D84">C84/_xlfn._xlws.FILTER(Planilha9!$D$2:$D$8,(Planilha9!$A$2:$A$8)=A84)</f>
        <v>0.13019534042709213</v>
      </c>
    </row>
    <row r="85" spans="1:4" x14ac:dyDescent="0.25">
      <c r="A85">
        <v>2020</v>
      </c>
      <c r="B85" s="4" t="s">
        <v>43</v>
      </c>
      <c r="C85" s="11">
        <v>0.5</v>
      </c>
      <c r="D85" cm="1">
        <f t="array" ref="D85">C85/_xlfn._xlws.FILTER(Planilha9!$D$2:$D$8,(Planilha9!$A$2:$A$8)=A85)</f>
        <v>0.46054241396212281</v>
      </c>
    </row>
    <row r="86" spans="1:4" x14ac:dyDescent="0.25">
      <c r="A86">
        <v>2021</v>
      </c>
      <c r="B86" s="3" t="s">
        <v>31</v>
      </c>
      <c r="C86" s="8">
        <v>0.16885</v>
      </c>
      <c r="D86" cm="1">
        <f t="array" ref="D86">C86/_xlfn._xlws.FILTER(Planilha9!$D$2:$D$8,(Planilha9!$A$2:$A$8)=A86)</f>
        <v>0.14760543986696115</v>
      </c>
    </row>
    <row r="87" spans="1:4" x14ac:dyDescent="0.25">
      <c r="A87">
        <v>2021</v>
      </c>
      <c r="B87" s="3" t="s">
        <v>32</v>
      </c>
      <c r="C87" s="8">
        <v>0</v>
      </c>
      <c r="D87" cm="1">
        <f t="array" ref="D87">C87/_xlfn._xlws.FILTER(Planilha9!$D$2:$D$8,(Planilha9!$A$2:$A$8)=A87)</f>
        <v>0</v>
      </c>
    </row>
    <row r="88" spans="1:4" x14ac:dyDescent="0.25">
      <c r="A88">
        <v>2021</v>
      </c>
      <c r="B88" s="3" t="s">
        <v>33</v>
      </c>
      <c r="C88" s="8">
        <v>0.24701999999999999</v>
      </c>
      <c r="D88" cm="1">
        <f t="array" ref="D88">C88/_xlfn._xlws.FILTER(Planilha9!$D$2:$D$8,(Planilha9!$A$2:$A$8)=A88)</f>
        <v>0.21594015845979711</v>
      </c>
    </row>
    <row r="89" spans="1:4" x14ac:dyDescent="0.25">
      <c r="A89">
        <v>2021</v>
      </c>
      <c r="B89" s="3" t="s">
        <v>3</v>
      </c>
      <c r="C89" s="8">
        <v>5.1302399999999997</v>
      </c>
      <c r="D89" cm="1">
        <f t="array" ref="D89">C89/_xlfn._xlws.FILTER(Planilha9!$D$2:$D$8,(Planilha9!$A$2:$A$8)=A89)</f>
        <v>4.4847576655201582</v>
      </c>
    </row>
    <row r="90" spans="1:4" x14ac:dyDescent="0.25">
      <c r="A90">
        <v>2021</v>
      </c>
      <c r="B90" s="3" t="s">
        <v>34</v>
      </c>
      <c r="C90" s="8">
        <v>0</v>
      </c>
      <c r="D90" cm="1">
        <f t="array" ref="D90">C90/_xlfn._xlws.FILTER(Planilha9!$D$2:$D$8,(Planilha9!$A$2:$A$8)=A90)</f>
        <v>0</v>
      </c>
    </row>
    <row r="91" spans="1:4" x14ac:dyDescent="0.25">
      <c r="A91">
        <v>2021</v>
      </c>
      <c r="B91" s="3" t="s">
        <v>35</v>
      </c>
      <c r="C91" s="8">
        <v>0</v>
      </c>
      <c r="D91" cm="1">
        <f t="array" ref="D91">C91/_xlfn._xlws.FILTER(Planilha9!$D$2:$D$8,(Planilha9!$A$2:$A$8)=A91)</f>
        <v>0</v>
      </c>
    </row>
    <row r="92" spans="1:4" x14ac:dyDescent="0.25">
      <c r="A92">
        <v>2021</v>
      </c>
      <c r="B92" s="3" t="s">
        <v>36</v>
      </c>
      <c r="C92" s="8">
        <v>0.30442999999999998</v>
      </c>
      <c r="D92" cm="1">
        <f t="array" ref="D92">C92/_xlfn._xlws.FILTER(Planilha9!$D$2:$D$8,(Planilha9!$A$2:$A$8)=A92)</f>
        <v>0.26612688219543373</v>
      </c>
    </row>
    <row r="93" spans="1:4" x14ac:dyDescent="0.25">
      <c r="A93">
        <v>2021</v>
      </c>
      <c r="B93" s="3" t="s">
        <v>37</v>
      </c>
      <c r="C93" s="8">
        <v>0</v>
      </c>
      <c r="D93" cm="1">
        <f t="array" ref="D93">C93/_xlfn._xlws.FILTER(Planilha9!$D$2:$D$8,(Planilha9!$A$2:$A$8)=A93)</f>
        <v>0</v>
      </c>
    </row>
    <row r="94" spans="1:4" x14ac:dyDescent="0.25">
      <c r="A94">
        <v>2021</v>
      </c>
      <c r="B94" s="3" t="s">
        <v>38</v>
      </c>
      <c r="C94" s="8">
        <v>0</v>
      </c>
      <c r="D94" cm="1">
        <f t="array" ref="D94">C94/_xlfn._xlws.FILTER(Planilha9!$D$2:$D$8,(Planilha9!$A$2:$A$8)=A94)</f>
        <v>0</v>
      </c>
    </row>
    <row r="95" spans="1:4" x14ac:dyDescent="0.25">
      <c r="A95">
        <v>2021</v>
      </c>
      <c r="B95" s="3" t="s">
        <v>39</v>
      </c>
      <c r="C95" s="8">
        <v>0</v>
      </c>
      <c r="D95" cm="1">
        <f t="array" ref="D95">C95/_xlfn._xlws.FILTER(Planilha9!$D$2:$D$8,(Planilha9!$A$2:$A$8)=A95)</f>
        <v>0</v>
      </c>
    </row>
    <row r="96" spans="1:4" x14ac:dyDescent="0.25">
      <c r="A96">
        <v>2021</v>
      </c>
      <c r="B96" s="3" t="s">
        <v>40</v>
      </c>
      <c r="C96" s="8">
        <v>1.75</v>
      </c>
      <c r="D96" cm="1">
        <f t="array" ref="D96">C96/_xlfn._xlws.FILTER(Planilha9!$D$2:$D$8,(Planilha9!$A$2:$A$8)=A96)</f>
        <v>1.52981652216276</v>
      </c>
    </row>
    <row r="97" spans="1:4" x14ac:dyDescent="0.25">
      <c r="A97">
        <v>2021</v>
      </c>
      <c r="B97" s="3" t="s">
        <v>41</v>
      </c>
      <c r="C97" s="8">
        <v>8.1820000000000004E-2</v>
      </c>
      <c r="D97" cm="1">
        <f t="array" ref="D97">C97/_xlfn._xlws.FILTER(Planilha9!$D$2:$D$8,(Planilha9!$A$2:$A$8)=A97)</f>
        <v>7.1525478767632586E-2</v>
      </c>
    </row>
    <row r="98" spans="1:4" x14ac:dyDescent="0.25">
      <c r="A98">
        <v>2021</v>
      </c>
      <c r="B98" s="3" t="s">
        <v>42</v>
      </c>
      <c r="C98" s="8">
        <v>0.19907</v>
      </c>
      <c r="D98" cm="1">
        <f t="array" ref="D98">C98/_xlfn._xlws.FILTER(Planilha9!$D$2:$D$8,(Planilha9!$A$2:$A$8)=A98)</f>
        <v>0.1740231857525375</v>
      </c>
    </row>
    <row r="99" spans="1:4" x14ac:dyDescent="0.25">
      <c r="A99">
        <v>2021</v>
      </c>
      <c r="B99" s="4" t="s">
        <v>43</v>
      </c>
      <c r="C99" s="10">
        <v>0.23077</v>
      </c>
      <c r="D99" cm="1">
        <f t="array" ref="D99">C99/_xlfn._xlws.FILTER(Planilha9!$D$2:$D$8,(Planilha9!$A$2:$A$8)=A99)</f>
        <v>0.20173471932542864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52FF-4106-4152-AB38-1F3C81B12BC7}">
  <dimension ref="A1:D8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1</v>
      </c>
      <c r="B1" t="s">
        <v>44</v>
      </c>
      <c r="C1" t="s">
        <v>46</v>
      </c>
      <c r="D1" t="s">
        <v>45</v>
      </c>
    </row>
    <row r="2" spans="1:4" x14ac:dyDescent="0.25">
      <c r="A2">
        <v>2015</v>
      </c>
      <c r="B2">
        <v>238.654</v>
      </c>
      <c r="C2">
        <v>100</v>
      </c>
      <c r="D2">
        <f>C2/100</f>
        <v>1</v>
      </c>
    </row>
    <row r="3" spans="1:4" x14ac:dyDescent="0.25">
      <c r="A3">
        <v>2016</v>
      </c>
      <c r="B3">
        <v>240.64699999999999</v>
      </c>
      <c r="C3">
        <f>((B3-$B$2)/$B$2)*100+$C$2</f>
        <v>100.83510018688142</v>
      </c>
      <c r="D3">
        <f>C3/100</f>
        <v>1.0083510018688142</v>
      </c>
    </row>
    <row r="4" spans="1:4" x14ac:dyDescent="0.25">
      <c r="A4">
        <v>2017</v>
      </c>
      <c r="B4">
        <v>244.786</v>
      </c>
      <c r="C4">
        <f t="shared" ref="C4:C8" si="0">((B4-$B$2)/$B$2)*100+$C$2</f>
        <v>102.56941010835772</v>
      </c>
      <c r="D4">
        <f t="shared" ref="D3:D8" si="1">C4/100</f>
        <v>1.0256941010835772</v>
      </c>
    </row>
    <row r="5" spans="1:4" x14ac:dyDescent="0.25">
      <c r="A5">
        <v>2018</v>
      </c>
      <c r="B5">
        <v>252.006</v>
      </c>
      <c r="C5">
        <f t="shared" si="0"/>
        <v>105.59471033378867</v>
      </c>
      <c r="D5">
        <f t="shared" si="1"/>
        <v>1.0559471033378867</v>
      </c>
    </row>
    <row r="6" spans="1:4" x14ac:dyDescent="0.25">
      <c r="A6">
        <v>2019</v>
      </c>
      <c r="B6">
        <v>256.57100000000003</v>
      </c>
      <c r="C6">
        <f t="shared" si="0"/>
        <v>107.50752134889842</v>
      </c>
      <c r="D6">
        <f t="shared" si="1"/>
        <v>1.0750752134889843</v>
      </c>
    </row>
    <row r="7" spans="1:4" x14ac:dyDescent="0.25">
      <c r="A7">
        <v>2020</v>
      </c>
      <c r="B7">
        <v>259.101</v>
      </c>
      <c r="C7">
        <f t="shared" si="0"/>
        <v>108.56763347775441</v>
      </c>
      <c r="D7">
        <f t="shared" si="1"/>
        <v>1.0856763347775442</v>
      </c>
    </row>
    <row r="8" spans="1:4" x14ac:dyDescent="0.25">
      <c r="A8">
        <v>2021</v>
      </c>
      <c r="B8">
        <v>273.00299999999999</v>
      </c>
      <c r="C8">
        <f t="shared" si="0"/>
        <v>114.39280296999003</v>
      </c>
      <c r="D8">
        <f t="shared" si="1"/>
        <v>1.1439280296999004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2024-04-08T20:11:13Z</dcterms:created>
  <dcterms:modified xsi:type="dcterms:W3CDTF">2024-04-09T01:31:36Z</dcterms:modified>
</cp:coreProperties>
</file>